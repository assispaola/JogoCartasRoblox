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db8985067f0783/JOGO ROBLOX/"/>
    </mc:Choice>
  </mc:AlternateContent>
  <xr:revisionPtr revIDLastSave="0" documentId="11_7A9810B158BA1CE5051BC6B1CC931817EAC48E38" xr6:coauthVersionLast="47" xr6:coauthVersionMax="47" xr10:uidLastSave="{00000000-0000-0000-0000-000000000000}"/>
  <bookViews>
    <workbookView xWindow="-108" yWindow="-108" windowWidth="23256" windowHeight="12576" tabRatio="801" activeTab="1" xr2:uid="{00000000-000D-0000-FFFF-FFFF00000000}"/>
  </bookViews>
  <sheets>
    <sheet name="UI Style Guide" sheetId="1" r:id="rId1"/>
    <sheet name="Clãs - Visão Geral" sheetId="2" r:id="rId2"/>
    <sheet name="Criaturas - Base de Dados" sheetId="3" r:id="rId3"/>
    <sheet name="Sistema de Raridade e Evolução" sheetId="4" r:id="rId4"/>
    <sheet name="Matriz Completa (1800 cartas)" sheetId="5" r:id="rId5"/>
    <sheet name="Sistema de Despertar (Grau)" sheetId="6" r:id="rId6"/>
    <sheet name="Diamante do Índice" sheetId="7" r:id="rId7"/>
    <sheet name="Criaturas Divinas (Evento)" sheetId="8" r:id="rId8"/>
    <sheet name="Pacotes - Parâmetros" sheetId="9" r:id="rId9"/>
    <sheet name="Pacotes - Catálogo" sheetId="10" r:id="rId10"/>
    <sheet name="Metadata" sheetId="11" r:id="rId11"/>
    <sheet name="Pacotes - Legenda" sheetId="12" r:id="rId12"/>
  </sheets>
  <definedNames>
    <definedName name="_xlnm._FilterDatabase" localSheetId="4" hidden="1">'Matriz Completa (1800 cartas)'!$A$1:$L$1801</definedName>
    <definedName name="_xlnm._FilterDatabase" localSheetId="9" hidden="1">'Pacotes - Catálogo'!$A$1:$R$63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10" l="1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P37" i="10"/>
  <c r="N37" i="10"/>
  <c r="M37" i="10"/>
  <c r="P36" i="10"/>
  <c r="N36" i="10"/>
  <c r="M36" i="10"/>
  <c r="P35" i="10"/>
  <c r="N35" i="10"/>
  <c r="M35" i="10"/>
  <c r="P34" i="10"/>
  <c r="N34" i="10"/>
  <c r="M34" i="10"/>
  <c r="P33" i="10"/>
  <c r="N33" i="10"/>
  <c r="M33" i="10"/>
  <c r="N32" i="10"/>
  <c r="P32" i="10" s="1"/>
  <c r="M32" i="10"/>
  <c r="R31" i="10"/>
  <c r="P31" i="10"/>
  <c r="N31" i="10"/>
  <c r="M31" i="10"/>
  <c r="R30" i="10"/>
  <c r="P30" i="10"/>
  <c r="N30" i="10"/>
  <c r="M30" i="10"/>
  <c r="R29" i="10"/>
  <c r="P29" i="10"/>
  <c r="N29" i="10"/>
  <c r="M29" i="10"/>
  <c r="R28" i="10"/>
  <c r="P28" i="10"/>
  <c r="N28" i="10"/>
  <c r="M28" i="10"/>
  <c r="R27" i="10"/>
  <c r="P27" i="10"/>
  <c r="N27" i="10"/>
  <c r="M27" i="10"/>
  <c r="R26" i="10"/>
  <c r="P26" i="10"/>
  <c r="N26" i="10"/>
  <c r="M26" i="10"/>
  <c r="R25" i="10"/>
  <c r="P25" i="10"/>
  <c r="N25" i="10"/>
  <c r="M25" i="10"/>
  <c r="R24" i="10"/>
  <c r="P24" i="10"/>
  <c r="N24" i="10"/>
  <c r="M24" i="10"/>
  <c r="R23" i="10"/>
  <c r="P23" i="10"/>
  <c r="N23" i="10"/>
  <c r="M23" i="10"/>
  <c r="R22" i="10"/>
  <c r="P22" i="10"/>
  <c r="N22" i="10"/>
  <c r="M22" i="10"/>
  <c r="R21" i="10"/>
  <c r="P21" i="10"/>
  <c r="N21" i="10"/>
  <c r="M21" i="10"/>
  <c r="R20" i="10"/>
  <c r="P20" i="10"/>
  <c r="N20" i="10"/>
  <c r="M20" i="10"/>
  <c r="R19" i="10"/>
  <c r="P19" i="10"/>
  <c r="N19" i="10"/>
  <c r="M19" i="10"/>
  <c r="R18" i="10"/>
  <c r="P18" i="10"/>
  <c r="N18" i="10"/>
  <c r="M18" i="10"/>
  <c r="R17" i="10"/>
  <c r="P17" i="10"/>
  <c r="N17" i="10"/>
  <c r="M17" i="10"/>
  <c r="R16" i="10"/>
  <c r="P16" i="10"/>
  <c r="N16" i="10"/>
  <c r="M16" i="10"/>
  <c r="R15" i="10"/>
  <c r="P15" i="10"/>
  <c r="N15" i="10"/>
  <c r="M15" i="10"/>
  <c r="R14" i="10"/>
  <c r="P14" i="10"/>
  <c r="N14" i="10"/>
  <c r="M14" i="10"/>
  <c r="R13" i="10"/>
  <c r="P13" i="10"/>
  <c r="N13" i="10"/>
  <c r="M13" i="10"/>
  <c r="R12" i="10"/>
  <c r="P12" i="10"/>
  <c r="N12" i="10"/>
  <c r="M12" i="10"/>
  <c r="R11" i="10"/>
  <c r="P11" i="10"/>
  <c r="N11" i="10"/>
  <c r="M11" i="10"/>
  <c r="R10" i="10"/>
  <c r="P10" i="10"/>
  <c r="N10" i="10"/>
  <c r="M10" i="10"/>
  <c r="R9" i="10"/>
  <c r="P9" i="10"/>
  <c r="N9" i="10"/>
  <c r="M9" i="10"/>
  <c r="R8" i="10"/>
  <c r="P8" i="10"/>
  <c r="N8" i="10"/>
  <c r="M8" i="10"/>
  <c r="R7" i="10"/>
  <c r="P7" i="10"/>
  <c r="N7" i="10"/>
  <c r="M7" i="10"/>
  <c r="R6" i="10"/>
  <c r="P6" i="10"/>
  <c r="N6" i="10"/>
  <c r="M6" i="10"/>
  <c r="R5" i="10"/>
  <c r="P5" i="10"/>
  <c r="N5" i="10"/>
  <c r="M5" i="10"/>
  <c r="R4" i="10"/>
  <c r="P4" i="10"/>
  <c r="N4" i="10"/>
  <c r="M4" i="10"/>
  <c r="R3" i="10"/>
  <c r="P3" i="10"/>
  <c r="N3" i="10"/>
  <c r="M3" i="10"/>
  <c r="R2" i="10"/>
  <c r="P2" i="10"/>
  <c r="N2" i="10"/>
  <c r="M2" i="10"/>
  <c r="B14" i="7"/>
  <c r="B13" i="7"/>
  <c r="C10" i="6"/>
  <c r="J1801" i="5"/>
  <c r="I1801" i="5"/>
  <c r="H1801" i="5"/>
  <c r="G1801" i="5"/>
  <c r="F1801" i="5"/>
  <c r="L1801" i="5" s="1"/>
  <c r="E1801" i="5"/>
  <c r="D1801" i="5"/>
  <c r="C1801" i="5"/>
  <c r="B1801" i="5"/>
  <c r="J1800" i="5"/>
  <c r="I1800" i="5"/>
  <c r="H1800" i="5"/>
  <c r="G1800" i="5"/>
  <c r="F1800" i="5"/>
  <c r="L1800" i="5" s="1"/>
  <c r="E1800" i="5"/>
  <c r="D1800" i="5"/>
  <c r="C1800" i="5"/>
  <c r="B1800" i="5"/>
  <c r="L1799" i="5"/>
  <c r="J1799" i="5"/>
  <c r="I1799" i="5"/>
  <c r="H1799" i="5"/>
  <c r="G1799" i="5"/>
  <c r="F1799" i="5"/>
  <c r="E1799" i="5"/>
  <c r="D1799" i="5"/>
  <c r="C1799" i="5"/>
  <c r="B1799" i="5"/>
  <c r="L1798" i="5"/>
  <c r="J1798" i="5"/>
  <c r="I1798" i="5"/>
  <c r="H1798" i="5"/>
  <c r="G1798" i="5"/>
  <c r="F1798" i="5"/>
  <c r="E1798" i="5"/>
  <c r="D1798" i="5"/>
  <c r="C1798" i="5"/>
  <c r="B1798" i="5"/>
  <c r="L1797" i="5"/>
  <c r="J1797" i="5"/>
  <c r="I1797" i="5"/>
  <c r="H1797" i="5"/>
  <c r="G1797" i="5"/>
  <c r="F1797" i="5"/>
  <c r="E1797" i="5"/>
  <c r="D1797" i="5"/>
  <c r="C1797" i="5"/>
  <c r="B1797" i="5"/>
  <c r="J1796" i="5"/>
  <c r="I1796" i="5"/>
  <c r="H1796" i="5"/>
  <c r="G1796" i="5"/>
  <c r="F1796" i="5"/>
  <c r="L1796" i="5" s="1"/>
  <c r="E1796" i="5"/>
  <c r="D1796" i="5"/>
  <c r="C1796" i="5"/>
  <c r="B1796" i="5"/>
  <c r="L1795" i="5"/>
  <c r="J1795" i="5"/>
  <c r="I1795" i="5"/>
  <c r="H1795" i="5"/>
  <c r="G1795" i="5"/>
  <c r="F1795" i="5"/>
  <c r="E1795" i="5"/>
  <c r="D1795" i="5"/>
  <c r="C1795" i="5"/>
  <c r="B1795" i="5"/>
  <c r="L1794" i="5"/>
  <c r="J1794" i="5"/>
  <c r="I1794" i="5"/>
  <c r="H1794" i="5"/>
  <c r="G1794" i="5"/>
  <c r="F1794" i="5"/>
  <c r="E1794" i="5"/>
  <c r="D1794" i="5"/>
  <c r="C1794" i="5"/>
  <c r="B1794" i="5"/>
  <c r="J1793" i="5"/>
  <c r="I1793" i="5"/>
  <c r="H1793" i="5"/>
  <c r="G1793" i="5"/>
  <c r="F1793" i="5"/>
  <c r="L1793" i="5" s="1"/>
  <c r="E1793" i="5"/>
  <c r="D1793" i="5"/>
  <c r="C1793" i="5"/>
  <c r="B1793" i="5"/>
  <c r="J1792" i="5"/>
  <c r="I1792" i="5"/>
  <c r="H1792" i="5"/>
  <c r="G1792" i="5"/>
  <c r="F1792" i="5"/>
  <c r="L1792" i="5" s="1"/>
  <c r="E1792" i="5"/>
  <c r="D1792" i="5"/>
  <c r="C1792" i="5"/>
  <c r="B1792" i="5"/>
  <c r="L1791" i="5"/>
  <c r="J1791" i="5"/>
  <c r="I1791" i="5"/>
  <c r="H1791" i="5"/>
  <c r="G1791" i="5"/>
  <c r="F1791" i="5"/>
  <c r="E1791" i="5"/>
  <c r="D1791" i="5"/>
  <c r="C1791" i="5"/>
  <c r="B1791" i="5"/>
  <c r="L1790" i="5"/>
  <c r="J1790" i="5"/>
  <c r="I1790" i="5"/>
  <c r="H1790" i="5"/>
  <c r="G1790" i="5"/>
  <c r="F1790" i="5"/>
  <c r="E1790" i="5"/>
  <c r="D1790" i="5"/>
  <c r="C1790" i="5"/>
  <c r="B1790" i="5"/>
  <c r="L1789" i="5"/>
  <c r="J1789" i="5"/>
  <c r="I1789" i="5"/>
  <c r="H1789" i="5"/>
  <c r="G1789" i="5"/>
  <c r="F1789" i="5"/>
  <c r="E1789" i="5"/>
  <c r="D1789" i="5"/>
  <c r="C1789" i="5"/>
  <c r="B1789" i="5"/>
  <c r="J1788" i="5"/>
  <c r="I1788" i="5"/>
  <c r="H1788" i="5"/>
  <c r="G1788" i="5"/>
  <c r="F1788" i="5"/>
  <c r="L1788" i="5" s="1"/>
  <c r="E1788" i="5"/>
  <c r="D1788" i="5"/>
  <c r="C1788" i="5"/>
  <c r="B1788" i="5"/>
  <c r="L1787" i="5"/>
  <c r="J1787" i="5"/>
  <c r="I1787" i="5"/>
  <c r="H1787" i="5"/>
  <c r="G1787" i="5"/>
  <c r="F1787" i="5"/>
  <c r="E1787" i="5"/>
  <c r="D1787" i="5"/>
  <c r="C1787" i="5"/>
  <c r="B1787" i="5"/>
  <c r="L1786" i="5"/>
  <c r="J1786" i="5"/>
  <c r="I1786" i="5"/>
  <c r="H1786" i="5"/>
  <c r="G1786" i="5"/>
  <c r="F1786" i="5"/>
  <c r="E1786" i="5"/>
  <c r="D1786" i="5"/>
  <c r="C1786" i="5"/>
  <c r="B1786" i="5"/>
  <c r="L1785" i="5"/>
  <c r="J1785" i="5"/>
  <c r="I1785" i="5"/>
  <c r="H1785" i="5"/>
  <c r="G1785" i="5"/>
  <c r="F1785" i="5"/>
  <c r="E1785" i="5"/>
  <c r="D1785" i="5"/>
  <c r="C1785" i="5"/>
  <c r="B1785" i="5"/>
  <c r="J1784" i="5"/>
  <c r="I1784" i="5"/>
  <c r="H1784" i="5"/>
  <c r="G1784" i="5"/>
  <c r="F1784" i="5"/>
  <c r="L1784" i="5" s="1"/>
  <c r="E1784" i="5"/>
  <c r="D1784" i="5"/>
  <c r="C1784" i="5"/>
  <c r="B1784" i="5"/>
  <c r="L1783" i="5"/>
  <c r="J1783" i="5"/>
  <c r="I1783" i="5"/>
  <c r="H1783" i="5"/>
  <c r="G1783" i="5"/>
  <c r="F1783" i="5"/>
  <c r="E1783" i="5"/>
  <c r="D1783" i="5"/>
  <c r="C1783" i="5"/>
  <c r="B1783" i="5"/>
  <c r="L1782" i="5"/>
  <c r="J1782" i="5"/>
  <c r="I1782" i="5"/>
  <c r="H1782" i="5"/>
  <c r="G1782" i="5"/>
  <c r="F1782" i="5"/>
  <c r="E1782" i="5"/>
  <c r="D1782" i="5"/>
  <c r="C1782" i="5"/>
  <c r="B1782" i="5"/>
  <c r="L1781" i="5"/>
  <c r="J1781" i="5"/>
  <c r="I1781" i="5"/>
  <c r="H1781" i="5"/>
  <c r="G1781" i="5"/>
  <c r="F1781" i="5"/>
  <c r="E1781" i="5"/>
  <c r="D1781" i="5"/>
  <c r="C1781" i="5"/>
  <c r="B1781" i="5"/>
  <c r="J1780" i="5"/>
  <c r="I1780" i="5"/>
  <c r="H1780" i="5"/>
  <c r="G1780" i="5"/>
  <c r="F1780" i="5"/>
  <c r="L1780" i="5" s="1"/>
  <c r="E1780" i="5"/>
  <c r="D1780" i="5"/>
  <c r="C1780" i="5"/>
  <c r="B1780" i="5"/>
  <c r="L1779" i="5"/>
  <c r="J1779" i="5"/>
  <c r="I1779" i="5"/>
  <c r="H1779" i="5"/>
  <c r="G1779" i="5"/>
  <c r="F1779" i="5"/>
  <c r="E1779" i="5"/>
  <c r="D1779" i="5"/>
  <c r="C1779" i="5"/>
  <c r="B1779" i="5"/>
  <c r="L1778" i="5"/>
  <c r="J1778" i="5"/>
  <c r="I1778" i="5"/>
  <c r="H1778" i="5"/>
  <c r="G1778" i="5"/>
  <c r="F1778" i="5"/>
  <c r="E1778" i="5"/>
  <c r="D1778" i="5"/>
  <c r="C1778" i="5"/>
  <c r="B1778" i="5"/>
  <c r="L1777" i="5"/>
  <c r="J1777" i="5"/>
  <c r="I1777" i="5"/>
  <c r="H1777" i="5"/>
  <c r="G1777" i="5"/>
  <c r="F1777" i="5"/>
  <c r="E1777" i="5"/>
  <c r="D1777" i="5"/>
  <c r="C1777" i="5"/>
  <c r="B1777" i="5"/>
  <c r="J1776" i="5"/>
  <c r="I1776" i="5"/>
  <c r="H1776" i="5"/>
  <c r="G1776" i="5"/>
  <c r="F1776" i="5"/>
  <c r="L1776" i="5" s="1"/>
  <c r="E1776" i="5"/>
  <c r="D1776" i="5"/>
  <c r="C1776" i="5"/>
  <c r="B1776" i="5"/>
  <c r="L1775" i="5"/>
  <c r="J1775" i="5"/>
  <c r="I1775" i="5"/>
  <c r="H1775" i="5"/>
  <c r="G1775" i="5"/>
  <c r="F1775" i="5"/>
  <c r="E1775" i="5"/>
  <c r="D1775" i="5"/>
  <c r="C1775" i="5"/>
  <c r="B1775" i="5"/>
  <c r="L1774" i="5"/>
  <c r="J1774" i="5"/>
  <c r="I1774" i="5"/>
  <c r="H1774" i="5"/>
  <c r="G1774" i="5"/>
  <c r="F1774" i="5"/>
  <c r="E1774" i="5"/>
  <c r="D1774" i="5"/>
  <c r="C1774" i="5"/>
  <c r="B1774" i="5"/>
  <c r="L1773" i="5"/>
  <c r="J1773" i="5"/>
  <c r="I1773" i="5"/>
  <c r="H1773" i="5"/>
  <c r="G1773" i="5"/>
  <c r="F1773" i="5"/>
  <c r="E1773" i="5"/>
  <c r="D1773" i="5"/>
  <c r="C1773" i="5"/>
  <c r="B1773" i="5"/>
  <c r="J1772" i="5"/>
  <c r="I1772" i="5"/>
  <c r="H1772" i="5"/>
  <c r="G1772" i="5"/>
  <c r="F1772" i="5"/>
  <c r="L1772" i="5" s="1"/>
  <c r="E1772" i="5"/>
  <c r="D1772" i="5"/>
  <c r="C1772" i="5"/>
  <c r="B1772" i="5"/>
  <c r="L1771" i="5"/>
  <c r="J1771" i="5"/>
  <c r="I1771" i="5"/>
  <c r="H1771" i="5"/>
  <c r="G1771" i="5"/>
  <c r="F1771" i="5"/>
  <c r="E1771" i="5"/>
  <c r="D1771" i="5"/>
  <c r="C1771" i="5"/>
  <c r="B1771" i="5"/>
  <c r="L1770" i="5"/>
  <c r="J1770" i="5"/>
  <c r="I1770" i="5"/>
  <c r="H1770" i="5"/>
  <c r="G1770" i="5"/>
  <c r="F1770" i="5"/>
  <c r="E1770" i="5"/>
  <c r="D1770" i="5"/>
  <c r="C1770" i="5"/>
  <c r="B1770" i="5"/>
  <c r="L1769" i="5"/>
  <c r="J1769" i="5"/>
  <c r="I1769" i="5"/>
  <c r="H1769" i="5"/>
  <c r="G1769" i="5"/>
  <c r="F1769" i="5"/>
  <c r="E1769" i="5"/>
  <c r="D1769" i="5"/>
  <c r="C1769" i="5"/>
  <c r="B1769" i="5"/>
  <c r="J1768" i="5"/>
  <c r="I1768" i="5"/>
  <c r="H1768" i="5"/>
  <c r="G1768" i="5"/>
  <c r="F1768" i="5"/>
  <c r="L1768" i="5" s="1"/>
  <c r="E1768" i="5"/>
  <c r="D1768" i="5"/>
  <c r="C1768" i="5"/>
  <c r="B1768" i="5"/>
  <c r="L1767" i="5"/>
  <c r="J1767" i="5"/>
  <c r="I1767" i="5"/>
  <c r="H1767" i="5"/>
  <c r="G1767" i="5"/>
  <c r="F1767" i="5"/>
  <c r="E1767" i="5"/>
  <c r="D1767" i="5"/>
  <c r="C1767" i="5"/>
  <c r="B1767" i="5"/>
  <c r="L1766" i="5"/>
  <c r="J1766" i="5"/>
  <c r="I1766" i="5"/>
  <c r="H1766" i="5"/>
  <c r="G1766" i="5"/>
  <c r="F1766" i="5"/>
  <c r="E1766" i="5"/>
  <c r="D1766" i="5"/>
  <c r="C1766" i="5"/>
  <c r="B1766" i="5"/>
  <c r="L1765" i="5"/>
  <c r="J1765" i="5"/>
  <c r="I1765" i="5"/>
  <c r="H1765" i="5"/>
  <c r="G1765" i="5"/>
  <c r="F1765" i="5"/>
  <c r="E1765" i="5"/>
  <c r="D1765" i="5"/>
  <c r="C1765" i="5"/>
  <c r="B1765" i="5"/>
  <c r="J1764" i="5"/>
  <c r="I1764" i="5"/>
  <c r="H1764" i="5"/>
  <c r="G1764" i="5"/>
  <c r="F1764" i="5"/>
  <c r="L1764" i="5" s="1"/>
  <c r="E1764" i="5"/>
  <c r="D1764" i="5"/>
  <c r="C1764" i="5"/>
  <c r="B1764" i="5"/>
  <c r="L1763" i="5"/>
  <c r="J1763" i="5"/>
  <c r="I1763" i="5"/>
  <c r="H1763" i="5"/>
  <c r="G1763" i="5"/>
  <c r="F1763" i="5"/>
  <c r="E1763" i="5"/>
  <c r="D1763" i="5"/>
  <c r="C1763" i="5"/>
  <c r="B1763" i="5"/>
  <c r="L1762" i="5"/>
  <c r="J1762" i="5"/>
  <c r="I1762" i="5"/>
  <c r="H1762" i="5"/>
  <c r="G1762" i="5"/>
  <c r="F1762" i="5"/>
  <c r="E1762" i="5"/>
  <c r="D1762" i="5"/>
  <c r="C1762" i="5"/>
  <c r="B1762" i="5"/>
  <c r="L1761" i="5"/>
  <c r="J1761" i="5"/>
  <c r="I1761" i="5"/>
  <c r="H1761" i="5"/>
  <c r="G1761" i="5"/>
  <c r="F1761" i="5"/>
  <c r="E1761" i="5"/>
  <c r="D1761" i="5"/>
  <c r="C1761" i="5"/>
  <c r="B1761" i="5"/>
  <c r="J1760" i="5"/>
  <c r="I1760" i="5"/>
  <c r="H1760" i="5"/>
  <c r="G1760" i="5"/>
  <c r="F1760" i="5"/>
  <c r="L1760" i="5" s="1"/>
  <c r="E1760" i="5"/>
  <c r="D1760" i="5"/>
  <c r="C1760" i="5"/>
  <c r="B1760" i="5"/>
  <c r="L1759" i="5"/>
  <c r="J1759" i="5"/>
  <c r="I1759" i="5"/>
  <c r="H1759" i="5"/>
  <c r="G1759" i="5"/>
  <c r="F1759" i="5"/>
  <c r="E1759" i="5"/>
  <c r="D1759" i="5"/>
  <c r="C1759" i="5"/>
  <c r="B1759" i="5"/>
  <c r="L1758" i="5"/>
  <c r="J1758" i="5"/>
  <c r="I1758" i="5"/>
  <c r="H1758" i="5"/>
  <c r="G1758" i="5"/>
  <c r="F1758" i="5"/>
  <c r="E1758" i="5"/>
  <c r="D1758" i="5"/>
  <c r="C1758" i="5"/>
  <c r="B1758" i="5"/>
  <c r="L1757" i="5"/>
  <c r="J1757" i="5"/>
  <c r="I1757" i="5"/>
  <c r="H1757" i="5"/>
  <c r="G1757" i="5"/>
  <c r="F1757" i="5"/>
  <c r="E1757" i="5"/>
  <c r="D1757" i="5"/>
  <c r="C1757" i="5"/>
  <c r="B1757" i="5"/>
  <c r="J1756" i="5"/>
  <c r="I1756" i="5"/>
  <c r="H1756" i="5"/>
  <c r="G1756" i="5"/>
  <c r="F1756" i="5"/>
  <c r="L1756" i="5" s="1"/>
  <c r="E1756" i="5"/>
  <c r="D1756" i="5"/>
  <c r="C1756" i="5"/>
  <c r="B1756" i="5"/>
  <c r="L1755" i="5"/>
  <c r="J1755" i="5"/>
  <c r="I1755" i="5"/>
  <c r="H1755" i="5"/>
  <c r="G1755" i="5"/>
  <c r="F1755" i="5"/>
  <c r="E1755" i="5"/>
  <c r="D1755" i="5"/>
  <c r="C1755" i="5"/>
  <c r="B1755" i="5"/>
  <c r="L1754" i="5"/>
  <c r="J1754" i="5"/>
  <c r="I1754" i="5"/>
  <c r="H1754" i="5"/>
  <c r="G1754" i="5"/>
  <c r="F1754" i="5"/>
  <c r="E1754" i="5"/>
  <c r="D1754" i="5"/>
  <c r="C1754" i="5"/>
  <c r="B1754" i="5"/>
  <c r="L1753" i="5"/>
  <c r="J1753" i="5"/>
  <c r="I1753" i="5"/>
  <c r="H1753" i="5"/>
  <c r="G1753" i="5"/>
  <c r="F1753" i="5"/>
  <c r="E1753" i="5"/>
  <c r="D1753" i="5"/>
  <c r="C1753" i="5"/>
  <c r="B1753" i="5"/>
  <c r="J1752" i="5"/>
  <c r="I1752" i="5"/>
  <c r="H1752" i="5"/>
  <c r="G1752" i="5"/>
  <c r="F1752" i="5"/>
  <c r="L1752" i="5" s="1"/>
  <c r="E1752" i="5"/>
  <c r="D1752" i="5"/>
  <c r="C1752" i="5"/>
  <c r="B1752" i="5"/>
  <c r="L1751" i="5"/>
  <c r="J1751" i="5"/>
  <c r="I1751" i="5"/>
  <c r="H1751" i="5"/>
  <c r="G1751" i="5"/>
  <c r="F1751" i="5"/>
  <c r="E1751" i="5"/>
  <c r="D1751" i="5"/>
  <c r="C1751" i="5"/>
  <c r="B1751" i="5"/>
  <c r="L1750" i="5"/>
  <c r="J1750" i="5"/>
  <c r="I1750" i="5"/>
  <c r="H1750" i="5"/>
  <c r="G1750" i="5"/>
  <c r="F1750" i="5"/>
  <c r="E1750" i="5"/>
  <c r="D1750" i="5"/>
  <c r="C1750" i="5"/>
  <c r="B1750" i="5"/>
  <c r="L1749" i="5"/>
  <c r="J1749" i="5"/>
  <c r="I1749" i="5"/>
  <c r="H1749" i="5"/>
  <c r="G1749" i="5"/>
  <c r="F1749" i="5"/>
  <c r="E1749" i="5"/>
  <c r="D1749" i="5"/>
  <c r="C1749" i="5"/>
  <c r="B1749" i="5"/>
  <c r="J1748" i="5"/>
  <c r="I1748" i="5"/>
  <c r="H1748" i="5"/>
  <c r="G1748" i="5"/>
  <c r="F1748" i="5"/>
  <c r="L1748" i="5" s="1"/>
  <c r="E1748" i="5"/>
  <c r="D1748" i="5"/>
  <c r="C1748" i="5"/>
  <c r="B1748" i="5"/>
  <c r="L1747" i="5"/>
  <c r="J1747" i="5"/>
  <c r="I1747" i="5"/>
  <c r="H1747" i="5"/>
  <c r="G1747" i="5"/>
  <c r="F1747" i="5"/>
  <c r="E1747" i="5"/>
  <c r="D1747" i="5"/>
  <c r="C1747" i="5"/>
  <c r="B1747" i="5"/>
  <c r="L1746" i="5"/>
  <c r="J1746" i="5"/>
  <c r="I1746" i="5"/>
  <c r="H1746" i="5"/>
  <c r="G1746" i="5"/>
  <c r="F1746" i="5"/>
  <c r="E1746" i="5"/>
  <c r="D1746" i="5"/>
  <c r="C1746" i="5"/>
  <c r="B1746" i="5"/>
  <c r="L1745" i="5"/>
  <c r="J1745" i="5"/>
  <c r="I1745" i="5"/>
  <c r="H1745" i="5"/>
  <c r="G1745" i="5"/>
  <c r="F1745" i="5"/>
  <c r="E1745" i="5"/>
  <c r="D1745" i="5"/>
  <c r="C1745" i="5"/>
  <c r="B1745" i="5"/>
  <c r="J1744" i="5"/>
  <c r="I1744" i="5"/>
  <c r="H1744" i="5"/>
  <c r="G1744" i="5"/>
  <c r="F1744" i="5"/>
  <c r="L1744" i="5" s="1"/>
  <c r="E1744" i="5"/>
  <c r="D1744" i="5"/>
  <c r="C1744" i="5"/>
  <c r="B1744" i="5"/>
  <c r="L1743" i="5"/>
  <c r="J1743" i="5"/>
  <c r="I1743" i="5"/>
  <c r="H1743" i="5"/>
  <c r="G1743" i="5"/>
  <c r="F1743" i="5"/>
  <c r="E1743" i="5"/>
  <c r="D1743" i="5"/>
  <c r="C1743" i="5"/>
  <c r="B1743" i="5"/>
  <c r="L1742" i="5"/>
  <c r="J1742" i="5"/>
  <c r="I1742" i="5"/>
  <c r="H1742" i="5"/>
  <c r="G1742" i="5"/>
  <c r="F1742" i="5"/>
  <c r="E1742" i="5"/>
  <c r="D1742" i="5"/>
  <c r="C1742" i="5"/>
  <c r="B1742" i="5"/>
  <c r="L1741" i="5"/>
  <c r="J1741" i="5"/>
  <c r="I1741" i="5"/>
  <c r="H1741" i="5"/>
  <c r="G1741" i="5"/>
  <c r="F1741" i="5"/>
  <c r="E1741" i="5"/>
  <c r="D1741" i="5"/>
  <c r="C1741" i="5"/>
  <c r="B1741" i="5"/>
  <c r="J1740" i="5"/>
  <c r="I1740" i="5"/>
  <c r="H1740" i="5"/>
  <c r="G1740" i="5"/>
  <c r="F1740" i="5"/>
  <c r="L1740" i="5" s="1"/>
  <c r="E1740" i="5"/>
  <c r="D1740" i="5"/>
  <c r="C1740" i="5"/>
  <c r="B1740" i="5"/>
  <c r="L1739" i="5"/>
  <c r="J1739" i="5"/>
  <c r="I1739" i="5"/>
  <c r="H1739" i="5"/>
  <c r="G1739" i="5"/>
  <c r="F1739" i="5"/>
  <c r="E1739" i="5"/>
  <c r="D1739" i="5"/>
  <c r="C1739" i="5"/>
  <c r="B1739" i="5"/>
  <c r="L1738" i="5"/>
  <c r="J1738" i="5"/>
  <c r="I1738" i="5"/>
  <c r="H1738" i="5"/>
  <c r="G1738" i="5"/>
  <c r="F1738" i="5"/>
  <c r="E1738" i="5"/>
  <c r="D1738" i="5"/>
  <c r="C1738" i="5"/>
  <c r="B1738" i="5"/>
  <c r="L1737" i="5"/>
  <c r="J1737" i="5"/>
  <c r="I1737" i="5"/>
  <c r="H1737" i="5"/>
  <c r="G1737" i="5"/>
  <c r="F1737" i="5"/>
  <c r="E1737" i="5"/>
  <c r="D1737" i="5"/>
  <c r="C1737" i="5"/>
  <c r="B1737" i="5"/>
  <c r="J1736" i="5"/>
  <c r="I1736" i="5"/>
  <c r="H1736" i="5"/>
  <c r="G1736" i="5"/>
  <c r="F1736" i="5"/>
  <c r="L1736" i="5" s="1"/>
  <c r="E1736" i="5"/>
  <c r="D1736" i="5"/>
  <c r="C1736" i="5"/>
  <c r="B1736" i="5"/>
  <c r="L1735" i="5"/>
  <c r="J1735" i="5"/>
  <c r="I1735" i="5"/>
  <c r="H1735" i="5"/>
  <c r="G1735" i="5"/>
  <c r="F1735" i="5"/>
  <c r="E1735" i="5"/>
  <c r="D1735" i="5"/>
  <c r="C1735" i="5"/>
  <c r="B1735" i="5"/>
  <c r="L1734" i="5"/>
  <c r="J1734" i="5"/>
  <c r="I1734" i="5"/>
  <c r="H1734" i="5"/>
  <c r="G1734" i="5"/>
  <c r="F1734" i="5"/>
  <c r="E1734" i="5"/>
  <c r="D1734" i="5"/>
  <c r="C1734" i="5"/>
  <c r="B1734" i="5"/>
  <c r="L1733" i="5"/>
  <c r="J1733" i="5"/>
  <c r="I1733" i="5"/>
  <c r="H1733" i="5"/>
  <c r="G1733" i="5"/>
  <c r="F1733" i="5"/>
  <c r="E1733" i="5"/>
  <c r="D1733" i="5"/>
  <c r="C1733" i="5"/>
  <c r="B1733" i="5"/>
  <c r="J1732" i="5"/>
  <c r="I1732" i="5"/>
  <c r="H1732" i="5"/>
  <c r="G1732" i="5"/>
  <c r="F1732" i="5"/>
  <c r="L1732" i="5" s="1"/>
  <c r="E1732" i="5"/>
  <c r="D1732" i="5"/>
  <c r="C1732" i="5"/>
  <c r="B1732" i="5"/>
  <c r="L1731" i="5"/>
  <c r="J1731" i="5"/>
  <c r="I1731" i="5"/>
  <c r="H1731" i="5"/>
  <c r="G1731" i="5"/>
  <c r="F1731" i="5"/>
  <c r="E1731" i="5"/>
  <c r="D1731" i="5"/>
  <c r="C1731" i="5"/>
  <c r="B1731" i="5"/>
  <c r="L1730" i="5"/>
  <c r="J1730" i="5"/>
  <c r="I1730" i="5"/>
  <c r="H1730" i="5"/>
  <c r="G1730" i="5"/>
  <c r="F1730" i="5"/>
  <c r="E1730" i="5"/>
  <c r="D1730" i="5"/>
  <c r="C1730" i="5"/>
  <c r="B1730" i="5"/>
  <c r="L1729" i="5"/>
  <c r="J1729" i="5"/>
  <c r="I1729" i="5"/>
  <c r="H1729" i="5"/>
  <c r="G1729" i="5"/>
  <c r="F1729" i="5"/>
  <c r="E1729" i="5"/>
  <c r="D1729" i="5"/>
  <c r="C1729" i="5"/>
  <c r="B1729" i="5"/>
  <c r="J1728" i="5"/>
  <c r="I1728" i="5"/>
  <c r="H1728" i="5"/>
  <c r="G1728" i="5"/>
  <c r="F1728" i="5"/>
  <c r="L1728" i="5" s="1"/>
  <c r="E1728" i="5"/>
  <c r="D1728" i="5"/>
  <c r="C1728" i="5"/>
  <c r="B1728" i="5"/>
  <c r="L1727" i="5"/>
  <c r="J1727" i="5"/>
  <c r="I1727" i="5"/>
  <c r="H1727" i="5"/>
  <c r="G1727" i="5"/>
  <c r="F1727" i="5"/>
  <c r="E1727" i="5"/>
  <c r="D1727" i="5"/>
  <c r="C1727" i="5"/>
  <c r="B1727" i="5"/>
  <c r="L1726" i="5"/>
  <c r="J1726" i="5"/>
  <c r="I1726" i="5"/>
  <c r="H1726" i="5"/>
  <c r="G1726" i="5"/>
  <c r="F1726" i="5"/>
  <c r="E1726" i="5"/>
  <c r="D1726" i="5"/>
  <c r="C1726" i="5"/>
  <c r="B1726" i="5"/>
  <c r="L1725" i="5"/>
  <c r="J1725" i="5"/>
  <c r="I1725" i="5"/>
  <c r="H1725" i="5"/>
  <c r="G1725" i="5"/>
  <c r="F1725" i="5"/>
  <c r="E1725" i="5"/>
  <c r="D1725" i="5"/>
  <c r="C1725" i="5"/>
  <c r="B1725" i="5"/>
  <c r="J1724" i="5"/>
  <c r="I1724" i="5"/>
  <c r="H1724" i="5"/>
  <c r="G1724" i="5"/>
  <c r="F1724" i="5"/>
  <c r="L1724" i="5" s="1"/>
  <c r="E1724" i="5"/>
  <c r="D1724" i="5"/>
  <c r="C1724" i="5"/>
  <c r="B1724" i="5"/>
  <c r="L1723" i="5"/>
  <c r="J1723" i="5"/>
  <c r="I1723" i="5"/>
  <c r="H1723" i="5"/>
  <c r="G1723" i="5"/>
  <c r="F1723" i="5"/>
  <c r="E1723" i="5"/>
  <c r="D1723" i="5"/>
  <c r="C1723" i="5"/>
  <c r="B1723" i="5"/>
  <c r="L1722" i="5"/>
  <c r="J1722" i="5"/>
  <c r="I1722" i="5"/>
  <c r="H1722" i="5"/>
  <c r="G1722" i="5"/>
  <c r="F1722" i="5"/>
  <c r="E1722" i="5"/>
  <c r="D1722" i="5"/>
  <c r="C1722" i="5"/>
  <c r="B1722" i="5"/>
  <c r="L1721" i="5"/>
  <c r="J1721" i="5"/>
  <c r="I1721" i="5"/>
  <c r="H1721" i="5"/>
  <c r="G1721" i="5"/>
  <c r="F1721" i="5"/>
  <c r="E1721" i="5"/>
  <c r="D1721" i="5"/>
  <c r="C1721" i="5"/>
  <c r="B1721" i="5"/>
  <c r="J1720" i="5"/>
  <c r="I1720" i="5"/>
  <c r="H1720" i="5"/>
  <c r="G1720" i="5"/>
  <c r="F1720" i="5"/>
  <c r="L1720" i="5" s="1"/>
  <c r="E1720" i="5"/>
  <c r="D1720" i="5"/>
  <c r="C1720" i="5"/>
  <c r="B1720" i="5"/>
  <c r="L1719" i="5"/>
  <c r="J1719" i="5"/>
  <c r="I1719" i="5"/>
  <c r="H1719" i="5"/>
  <c r="G1719" i="5"/>
  <c r="F1719" i="5"/>
  <c r="E1719" i="5"/>
  <c r="D1719" i="5"/>
  <c r="C1719" i="5"/>
  <c r="B1719" i="5"/>
  <c r="L1718" i="5"/>
  <c r="J1718" i="5"/>
  <c r="I1718" i="5"/>
  <c r="H1718" i="5"/>
  <c r="G1718" i="5"/>
  <c r="F1718" i="5"/>
  <c r="E1718" i="5"/>
  <c r="D1718" i="5"/>
  <c r="C1718" i="5"/>
  <c r="B1718" i="5"/>
  <c r="L1717" i="5"/>
  <c r="J1717" i="5"/>
  <c r="I1717" i="5"/>
  <c r="H1717" i="5"/>
  <c r="G1717" i="5"/>
  <c r="F1717" i="5"/>
  <c r="E1717" i="5"/>
  <c r="D1717" i="5"/>
  <c r="C1717" i="5"/>
  <c r="B1717" i="5"/>
  <c r="J1716" i="5"/>
  <c r="I1716" i="5"/>
  <c r="H1716" i="5"/>
  <c r="G1716" i="5"/>
  <c r="F1716" i="5"/>
  <c r="L1716" i="5" s="1"/>
  <c r="E1716" i="5"/>
  <c r="D1716" i="5"/>
  <c r="C1716" i="5"/>
  <c r="B1716" i="5"/>
  <c r="L1715" i="5"/>
  <c r="J1715" i="5"/>
  <c r="I1715" i="5"/>
  <c r="H1715" i="5"/>
  <c r="G1715" i="5"/>
  <c r="F1715" i="5"/>
  <c r="E1715" i="5"/>
  <c r="D1715" i="5"/>
  <c r="C1715" i="5"/>
  <c r="B1715" i="5"/>
  <c r="L1714" i="5"/>
  <c r="J1714" i="5"/>
  <c r="I1714" i="5"/>
  <c r="H1714" i="5"/>
  <c r="G1714" i="5"/>
  <c r="F1714" i="5"/>
  <c r="E1714" i="5"/>
  <c r="D1714" i="5"/>
  <c r="C1714" i="5"/>
  <c r="B1714" i="5"/>
  <c r="L1713" i="5"/>
  <c r="J1713" i="5"/>
  <c r="I1713" i="5"/>
  <c r="H1713" i="5"/>
  <c r="G1713" i="5"/>
  <c r="F1713" i="5"/>
  <c r="E1713" i="5"/>
  <c r="D1713" i="5"/>
  <c r="C1713" i="5"/>
  <c r="B1713" i="5"/>
  <c r="J1712" i="5"/>
  <c r="I1712" i="5"/>
  <c r="H1712" i="5"/>
  <c r="G1712" i="5"/>
  <c r="F1712" i="5"/>
  <c r="L1712" i="5" s="1"/>
  <c r="E1712" i="5"/>
  <c r="D1712" i="5"/>
  <c r="C1712" i="5"/>
  <c r="B1712" i="5"/>
  <c r="L1711" i="5"/>
  <c r="J1711" i="5"/>
  <c r="I1711" i="5"/>
  <c r="H1711" i="5"/>
  <c r="G1711" i="5"/>
  <c r="F1711" i="5"/>
  <c r="E1711" i="5"/>
  <c r="D1711" i="5"/>
  <c r="C1711" i="5"/>
  <c r="B1711" i="5"/>
  <c r="L1710" i="5"/>
  <c r="J1710" i="5"/>
  <c r="I1710" i="5"/>
  <c r="H1710" i="5"/>
  <c r="G1710" i="5"/>
  <c r="F1710" i="5"/>
  <c r="E1710" i="5"/>
  <c r="D1710" i="5"/>
  <c r="C1710" i="5"/>
  <c r="B1710" i="5"/>
  <c r="L1709" i="5"/>
  <c r="J1709" i="5"/>
  <c r="I1709" i="5"/>
  <c r="H1709" i="5"/>
  <c r="G1709" i="5"/>
  <c r="F1709" i="5"/>
  <c r="E1709" i="5"/>
  <c r="D1709" i="5"/>
  <c r="C1709" i="5"/>
  <c r="B1709" i="5"/>
  <c r="J1708" i="5"/>
  <c r="I1708" i="5"/>
  <c r="H1708" i="5"/>
  <c r="G1708" i="5"/>
  <c r="F1708" i="5"/>
  <c r="L1708" i="5" s="1"/>
  <c r="E1708" i="5"/>
  <c r="D1708" i="5"/>
  <c r="C1708" i="5"/>
  <c r="B1708" i="5"/>
  <c r="L1707" i="5"/>
  <c r="J1707" i="5"/>
  <c r="I1707" i="5"/>
  <c r="H1707" i="5"/>
  <c r="G1707" i="5"/>
  <c r="F1707" i="5"/>
  <c r="E1707" i="5"/>
  <c r="D1707" i="5"/>
  <c r="C1707" i="5"/>
  <c r="B1707" i="5"/>
  <c r="L1706" i="5"/>
  <c r="J1706" i="5"/>
  <c r="I1706" i="5"/>
  <c r="H1706" i="5"/>
  <c r="G1706" i="5"/>
  <c r="F1706" i="5"/>
  <c r="E1706" i="5"/>
  <c r="D1706" i="5"/>
  <c r="C1706" i="5"/>
  <c r="B1706" i="5"/>
  <c r="L1705" i="5"/>
  <c r="J1705" i="5"/>
  <c r="I1705" i="5"/>
  <c r="H1705" i="5"/>
  <c r="G1705" i="5"/>
  <c r="F1705" i="5"/>
  <c r="E1705" i="5"/>
  <c r="D1705" i="5"/>
  <c r="C1705" i="5"/>
  <c r="B1705" i="5"/>
  <c r="J1704" i="5"/>
  <c r="I1704" i="5"/>
  <c r="H1704" i="5"/>
  <c r="G1704" i="5"/>
  <c r="F1704" i="5"/>
  <c r="L1704" i="5" s="1"/>
  <c r="E1704" i="5"/>
  <c r="D1704" i="5"/>
  <c r="C1704" i="5"/>
  <c r="B1704" i="5"/>
  <c r="L1703" i="5"/>
  <c r="J1703" i="5"/>
  <c r="I1703" i="5"/>
  <c r="H1703" i="5"/>
  <c r="G1703" i="5"/>
  <c r="F1703" i="5"/>
  <c r="E1703" i="5"/>
  <c r="D1703" i="5"/>
  <c r="C1703" i="5"/>
  <c r="B1703" i="5"/>
  <c r="L1702" i="5"/>
  <c r="J1702" i="5"/>
  <c r="I1702" i="5"/>
  <c r="H1702" i="5"/>
  <c r="G1702" i="5"/>
  <c r="F1702" i="5"/>
  <c r="E1702" i="5"/>
  <c r="D1702" i="5"/>
  <c r="C1702" i="5"/>
  <c r="B1702" i="5"/>
  <c r="L1701" i="5"/>
  <c r="J1701" i="5"/>
  <c r="I1701" i="5"/>
  <c r="H1701" i="5"/>
  <c r="G1701" i="5"/>
  <c r="F1701" i="5"/>
  <c r="E1701" i="5"/>
  <c r="D1701" i="5"/>
  <c r="C1701" i="5"/>
  <c r="B1701" i="5"/>
  <c r="J1700" i="5"/>
  <c r="I1700" i="5"/>
  <c r="H1700" i="5"/>
  <c r="G1700" i="5"/>
  <c r="F1700" i="5"/>
  <c r="L1700" i="5" s="1"/>
  <c r="E1700" i="5"/>
  <c r="D1700" i="5"/>
  <c r="C1700" i="5"/>
  <c r="B1700" i="5"/>
  <c r="L1699" i="5"/>
  <c r="J1699" i="5"/>
  <c r="I1699" i="5"/>
  <c r="H1699" i="5"/>
  <c r="G1699" i="5"/>
  <c r="F1699" i="5"/>
  <c r="E1699" i="5"/>
  <c r="D1699" i="5"/>
  <c r="C1699" i="5"/>
  <c r="B1699" i="5"/>
  <c r="L1698" i="5"/>
  <c r="J1698" i="5"/>
  <c r="I1698" i="5"/>
  <c r="H1698" i="5"/>
  <c r="G1698" i="5"/>
  <c r="F1698" i="5"/>
  <c r="E1698" i="5"/>
  <c r="D1698" i="5"/>
  <c r="C1698" i="5"/>
  <c r="B1698" i="5"/>
  <c r="L1697" i="5"/>
  <c r="J1697" i="5"/>
  <c r="I1697" i="5"/>
  <c r="H1697" i="5"/>
  <c r="G1697" i="5"/>
  <c r="F1697" i="5"/>
  <c r="E1697" i="5"/>
  <c r="D1697" i="5"/>
  <c r="C1697" i="5"/>
  <c r="B1697" i="5"/>
  <c r="J1696" i="5"/>
  <c r="I1696" i="5"/>
  <c r="H1696" i="5"/>
  <c r="G1696" i="5"/>
  <c r="F1696" i="5"/>
  <c r="L1696" i="5" s="1"/>
  <c r="E1696" i="5"/>
  <c r="D1696" i="5"/>
  <c r="C1696" i="5"/>
  <c r="B1696" i="5"/>
  <c r="L1695" i="5"/>
  <c r="J1695" i="5"/>
  <c r="I1695" i="5"/>
  <c r="H1695" i="5"/>
  <c r="G1695" i="5"/>
  <c r="F1695" i="5"/>
  <c r="E1695" i="5"/>
  <c r="D1695" i="5"/>
  <c r="C1695" i="5"/>
  <c r="B1695" i="5"/>
  <c r="L1694" i="5"/>
  <c r="J1694" i="5"/>
  <c r="I1694" i="5"/>
  <c r="H1694" i="5"/>
  <c r="G1694" i="5"/>
  <c r="F1694" i="5"/>
  <c r="E1694" i="5"/>
  <c r="D1694" i="5"/>
  <c r="C1694" i="5"/>
  <c r="B1694" i="5"/>
  <c r="L1693" i="5"/>
  <c r="J1693" i="5"/>
  <c r="I1693" i="5"/>
  <c r="H1693" i="5"/>
  <c r="G1693" i="5"/>
  <c r="F1693" i="5"/>
  <c r="E1693" i="5"/>
  <c r="D1693" i="5"/>
  <c r="C1693" i="5"/>
  <c r="B1693" i="5"/>
  <c r="J1692" i="5"/>
  <c r="I1692" i="5"/>
  <c r="H1692" i="5"/>
  <c r="G1692" i="5"/>
  <c r="F1692" i="5"/>
  <c r="L1692" i="5" s="1"/>
  <c r="E1692" i="5"/>
  <c r="D1692" i="5"/>
  <c r="C1692" i="5"/>
  <c r="B1692" i="5"/>
  <c r="L1691" i="5"/>
  <c r="J1691" i="5"/>
  <c r="I1691" i="5"/>
  <c r="H1691" i="5"/>
  <c r="G1691" i="5"/>
  <c r="F1691" i="5"/>
  <c r="E1691" i="5"/>
  <c r="D1691" i="5"/>
  <c r="C1691" i="5"/>
  <c r="B1691" i="5"/>
  <c r="L1690" i="5"/>
  <c r="J1690" i="5"/>
  <c r="I1690" i="5"/>
  <c r="H1690" i="5"/>
  <c r="G1690" i="5"/>
  <c r="F1690" i="5"/>
  <c r="E1690" i="5"/>
  <c r="D1690" i="5"/>
  <c r="C1690" i="5"/>
  <c r="B1690" i="5"/>
  <c r="L1689" i="5"/>
  <c r="J1689" i="5"/>
  <c r="I1689" i="5"/>
  <c r="H1689" i="5"/>
  <c r="G1689" i="5"/>
  <c r="F1689" i="5"/>
  <c r="E1689" i="5"/>
  <c r="D1689" i="5"/>
  <c r="C1689" i="5"/>
  <c r="B1689" i="5"/>
  <c r="J1688" i="5"/>
  <c r="I1688" i="5"/>
  <c r="H1688" i="5"/>
  <c r="G1688" i="5"/>
  <c r="F1688" i="5"/>
  <c r="L1688" i="5" s="1"/>
  <c r="E1688" i="5"/>
  <c r="D1688" i="5"/>
  <c r="C1688" i="5"/>
  <c r="B1688" i="5"/>
  <c r="L1687" i="5"/>
  <c r="J1687" i="5"/>
  <c r="I1687" i="5"/>
  <c r="H1687" i="5"/>
  <c r="G1687" i="5"/>
  <c r="F1687" i="5"/>
  <c r="E1687" i="5"/>
  <c r="D1687" i="5"/>
  <c r="C1687" i="5"/>
  <c r="B1687" i="5"/>
  <c r="L1686" i="5"/>
  <c r="J1686" i="5"/>
  <c r="I1686" i="5"/>
  <c r="H1686" i="5"/>
  <c r="G1686" i="5"/>
  <c r="F1686" i="5"/>
  <c r="E1686" i="5"/>
  <c r="D1686" i="5"/>
  <c r="C1686" i="5"/>
  <c r="B1686" i="5"/>
  <c r="L1685" i="5"/>
  <c r="J1685" i="5"/>
  <c r="I1685" i="5"/>
  <c r="H1685" i="5"/>
  <c r="G1685" i="5"/>
  <c r="F1685" i="5"/>
  <c r="E1685" i="5"/>
  <c r="D1685" i="5"/>
  <c r="C1685" i="5"/>
  <c r="B1685" i="5"/>
  <c r="J1684" i="5"/>
  <c r="I1684" i="5"/>
  <c r="H1684" i="5"/>
  <c r="G1684" i="5"/>
  <c r="F1684" i="5"/>
  <c r="L1684" i="5" s="1"/>
  <c r="E1684" i="5"/>
  <c r="D1684" i="5"/>
  <c r="C1684" i="5"/>
  <c r="B1684" i="5"/>
  <c r="L1683" i="5"/>
  <c r="J1683" i="5"/>
  <c r="I1683" i="5"/>
  <c r="H1683" i="5"/>
  <c r="G1683" i="5"/>
  <c r="F1683" i="5"/>
  <c r="E1683" i="5"/>
  <c r="D1683" i="5"/>
  <c r="C1683" i="5"/>
  <c r="B1683" i="5"/>
  <c r="L1682" i="5"/>
  <c r="J1682" i="5"/>
  <c r="I1682" i="5"/>
  <c r="H1682" i="5"/>
  <c r="G1682" i="5"/>
  <c r="F1682" i="5"/>
  <c r="E1682" i="5"/>
  <c r="D1682" i="5"/>
  <c r="C1682" i="5"/>
  <c r="B1682" i="5"/>
  <c r="L1681" i="5"/>
  <c r="J1681" i="5"/>
  <c r="I1681" i="5"/>
  <c r="H1681" i="5"/>
  <c r="G1681" i="5"/>
  <c r="F1681" i="5"/>
  <c r="E1681" i="5"/>
  <c r="D1681" i="5"/>
  <c r="C1681" i="5"/>
  <c r="B1681" i="5"/>
  <c r="J1680" i="5"/>
  <c r="I1680" i="5"/>
  <c r="H1680" i="5"/>
  <c r="G1680" i="5"/>
  <c r="F1680" i="5"/>
  <c r="L1680" i="5" s="1"/>
  <c r="E1680" i="5"/>
  <c r="D1680" i="5"/>
  <c r="C1680" i="5"/>
  <c r="B1680" i="5"/>
  <c r="L1679" i="5"/>
  <c r="J1679" i="5"/>
  <c r="I1679" i="5"/>
  <c r="H1679" i="5"/>
  <c r="G1679" i="5"/>
  <c r="F1679" i="5"/>
  <c r="E1679" i="5"/>
  <c r="D1679" i="5"/>
  <c r="C1679" i="5"/>
  <c r="B1679" i="5"/>
  <c r="L1678" i="5"/>
  <c r="J1678" i="5"/>
  <c r="I1678" i="5"/>
  <c r="H1678" i="5"/>
  <c r="G1678" i="5"/>
  <c r="F1678" i="5"/>
  <c r="E1678" i="5"/>
  <c r="D1678" i="5"/>
  <c r="C1678" i="5"/>
  <c r="B1678" i="5"/>
  <c r="L1677" i="5"/>
  <c r="J1677" i="5"/>
  <c r="I1677" i="5"/>
  <c r="H1677" i="5"/>
  <c r="G1677" i="5"/>
  <c r="F1677" i="5"/>
  <c r="E1677" i="5"/>
  <c r="D1677" i="5"/>
  <c r="C1677" i="5"/>
  <c r="B1677" i="5"/>
  <c r="J1676" i="5"/>
  <c r="I1676" i="5"/>
  <c r="H1676" i="5"/>
  <c r="G1676" i="5"/>
  <c r="F1676" i="5"/>
  <c r="L1676" i="5" s="1"/>
  <c r="E1676" i="5"/>
  <c r="D1676" i="5"/>
  <c r="C1676" i="5"/>
  <c r="B1676" i="5"/>
  <c r="L1675" i="5"/>
  <c r="J1675" i="5"/>
  <c r="I1675" i="5"/>
  <c r="H1675" i="5"/>
  <c r="G1675" i="5"/>
  <c r="F1675" i="5"/>
  <c r="E1675" i="5"/>
  <c r="D1675" i="5"/>
  <c r="C1675" i="5"/>
  <c r="B1675" i="5"/>
  <c r="L1674" i="5"/>
  <c r="J1674" i="5"/>
  <c r="I1674" i="5"/>
  <c r="H1674" i="5"/>
  <c r="G1674" i="5"/>
  <c r="F1674" i="5"/>
  <c r="E1674" i="5"/>
  <c r="D1674" i="5"/>
  <c r="C1674" i="5"/>
  <c r="B1674" i="5"/>
  <c r="L1673" i="5"/>
  <c r="J1673" i="5"/>
  <c r="I1673" i="5"/>
  <c r="H1673" i="5"/>
  <c r="G1673" i="5"/>
  <c r="F1673" i="5"/>
  <c r="E1673" i="5"/>
  <c r="D1673" i="5"/>
  <c r="C1673" i="5"/>
  <c r="B1673" i="5"/>
  <c r="J1672" i="5"/>
  <c r="I1672" i="5"/>
  <c r="H1672" i="5"/>
  <c r="G1672" i="5"/>
  <c r="F1672" i="5"/>
  <c r="L1672" i="5" s="1"/>
  <c r="E1672" i="5"/>
  <c r="D1672" i="5"/>
  <c r="C1672" i="5"/>
  <c r="B1672" i="5"/>
  <c r="L1671" i="5"/>
  <c r="J1671" i="5"/>
  <c r="I1671" i="5"/>
  <c r="H1671" i="5"/>
  <c r="G1671" i="5"/>
  <c r="F1671" i="5"/>
  <c r="E1671" i="5"/>
  <c r="D1671" i="5"/>
  <c r="C1671" i="5"/>
  <c r="B1671" i="5"/>
  <c r="L1670" i="5"/>
  <c r="J1670" i="5"/>
  <c r="I1670" i="5"/>
  <c r="H1670" i="5"/>
  <c r="G1670" i="5"/>
  <c r="F1670" i="5"/>
  <c r="E1670" i="5"/>
  <c r="D1670" i="5"/>
  <c r="C1670" i="5"/>
  <c r="B1670" i="5"/>
  <c r="L1669" i="5"/>
  <c r="J1669" i="5"/>
  <c r="I1669" i="5"/>
  <c r="H1669" i="5"/>
  <c r="G1669" i="5"/>
  <c r="F1669" i="5"/>
  <c r="E1669" i="5"/>
  <c r="D1669" i="5"/>
  <c r="C1669" i="5"/>
  <c r="B1669" i="5"/>
  <c r="J1668" i="5"/>
  <c r="I1668" i="5"/>
  <c r="H1668" i="5"/>
  <c r="G1668" i="5"/>
  <c r="F1668" i="5"/>
  <c r="L1668" i="5" s="1"/>
  <c r="E1668" i="5"/>
  <c r="D1668" i="5"/>
  <c r="C1668" i="5"/>
  <c r="B1668" i="5"/>
  <c r="L1667" i="5"/>
  <c r="J1667" i="5"/>
  <c r="I1667" i="5"/>
  <c r="H1667" i="5"/>
  <c r="G1667" i="5"/>
  <c r="F1667" i="5"/>
  <c r="E1667" i="5"/>
  <c r="D1667" i="5"/>
  <c r="C1667" i="5"/>
  <c r="B1667" i="5"/>
  <c r="L1666" i="5"/>
  <c r="J1666" i="5"/>
  <c r="I1666" i="5"/>
  <c r="H1666" i="5"/>
  <c r="G1666" i="5"/>
  <c r="F1666" i="5"/>
  <c r="E1666" i="5"/>
  <c r="D1666" i="5"/>
  <c r="C1666" i="5"/>
  <c r="B1666" i="5"/>
  <c r="L1665" i="5"/>
  <c r="J1665" i="5"/>
  <c r="I1665" i="5"/>
  <c r="H1665" i="5"/>
  <c r="G1665" i="5"/>
  <c r="F1665" i="5"/>
  <c r="E1665" i="5"/>
  <c r="D1665" i="5"/>
  <c r="C1665" i="5"/>
  <c r="B1665" i="5"/>
  <c r="J1664" i="5"/>
  <c r="I1664" i="5"/>
  <c r="H1664" i="5"/>
  <c r="G1664" i="5"/>
  <c r="F1664" i="5"/>
  <c r="L1664" i="5" s="1"/>
  <c r="E1664" i="5"/>
  <c r="D1664" i="5"/>
  <c r="C1664" i="5"/>
  <c r="B1664" i="5"/>
  <c r="L1663" i="5"/>
  <c r="J1663" i="5"/>
  <c r="I1663" i="5"/>
  <c r="H1663" i="5"/>
  <c r="G1663" i="5"/>
  <c r="F1663" i="5"/>
  <c r="E1663" i="5"/>
  <c r="D1663" i="5"/>
  <c r="C1663" i="5"/>
  <c r="B1663" i="5"/>
  <c r="L1662" i="5"/>
  <c r="J1662" i="5"/>
  <c r="I1662" i="5"/>
  <c r="H1662" i="5"/>
  <c r="G1662" i="5"/>
  <c r="F1662" i="5"/>
  <c r="E1662" i="5"/>
  <c r="D1662" i="5"/>
  <c r="C1662" i="5"/>
  <c r="B1662" i="5"/>
  <c r="L1661" i="5"/>
  <c r="J1661" i="5"/>
  <c r="I1661" i="5"/>
  <c r="H1661" i="5"/>
  <c r="G1661" i="5"/>
  <c r="F1661" i="5"/>
  <c r="E1661" i="5"/>
  <c r="D1661" i="5"/>
  <c r="C1661" i="5"/>
  <c r="B1661" i="5"/>
  <c r="J1660" i="5"/>
  <c r="I1660" i="5"/>
  <c r="H1660" i="5"/>
  <c r="G1660" i="5"/>
  <c r="F1660" i="5"/>
  <c r="L1660" i="5" s="1"/>
  <c r="E1660" i="5"/>
  <c r="D1660" i="5"/>
  <c r="C1660" i="5"/>
  <c r="B1660" i="5"/>
  <c r="L1659" i="5"/>
  <c r="J1659" i="5"/>
  <c r="I1659" i="5"/>
  <c r="H1659" i="5"/>
  <c r="G1659" i="5"/>
  <c r="F1659" i="5"/>
  <c r="E1659" i="5"/>
  <c r="D1659" i="5"/>
  <c r="C1659" i="5"/>
  <c r="B1659" i="5"/>
  <c r="L1658" i="5"/>
  <c r="J1658" i="5"/>
  <c r="I1658" i="5"/>
  <c r="H1658" i="5"/>
  <c r="G1658" i="5"/>
  <c r="F1658" i="5"/>
  <c r="E1658" i="5"/>
  <c r="D1658" i="5"/>
  <c r="C1658" i="5"/>
  <c r="B1658" i="5"/>
  <c r="L1657" i="5"/>
  <c r="J1657" i="5"/>
  <c r="I1657" i="5"/>
  <c r="H1657" i="5"/>
  <c r="G1657" i="5"/>
  <c r="F1657" i="5"/>
  <c r="E1657" i="5"/>
  <c r="D1657" i="5"/>
  <c r="C1657" i="5"/>
  <c r="B1657" i="5"/>
  <c r="J1656" i="5"/>
  <c r="I1656" i="5"/>
  <c r="H1656" i="5"/>
  <c r="G1656" i="5"/>
  <c r="F1656" i="5"/>
  <c r="L1656" i="5" s="1"/>
  <c r="E1656" i="5"/>
  <c r="D1656" i="5"/>
  <c r="C1656" i="5"/>
  <c r="B1656" i="5"/>
  <c r="L1655" i="5"/>
  <c r="J1655" i="5"/>
  <c r="I1655" i="5"/>
  <c r="H1655" i="5"/>
  <c r="G1655" i="5"/>
  <c r="F1655" i="5"/>
  <c r="E1655" i="5"/>
  <c r="D1655" i="5"/>
  <c r="C1655" i="5"/>
  <c r="B1655" i="5"/>
  <c r="L1654" i="5"/>
  <c r="J1654" i="5"/>
  <c r="I1654" i="5"/>
  <c r="H1654" i="5"/>
  <c r="G1654" i="5"/>
  <c r="F1654" i="5"/>
  <c r="E1654" i="5"/>
  <c r="D1654" i="5"/>
  <c r="C1654" i="5"/>
  <c r="B1654" i="5"/>
  <c r="L1653" i="5"/>
  <c r="J1653" i="5"/>
  <c r="I1653" i="5"/>
  <c r="H1653" i="5"/>
  <c r="G1653" i="5"/>
  <c r="F1653" i="5"/>
  <c r="E1653" i="5"/>
  <c r="D1653" i="5"/>
  <c r="C1653" i="5"/>
  <c r="B1653" i="5"/>
  <c r="J1652" i="5"/>
  <c r="I1652" i="5"/>
  <c r="H1652" i="5"/>
  <c r="G1652" i="5"/>
  <c r="F1652" i="5"/>
  <c r="L1652" i="5" s="1"/>
  <c r="E1652" i="5"/>
  <c r="D1652" i="5"/>
  <c r="C1652" i="5"/>
  <c r="B1652" i="5"/>
  <c r="L1651" i="5"/>
  <c r="J1651" i="5"/>
  <c r="I1651" i="5"/>
  <c r="H1651" i="5"/>
  <c r="G1651" i="5"/>
  <c r="F1651" i="5"/>
  <c r="E1651" i="5"/>
  <c r="D1651" i="5"/>
  <c r="C1651" i="5"/>
  <c r="B1651" i="5"/>
  <c r="L1650" i="5"/>
  <c r="J1650" i="5"/>
  <c r="I1650" i="5"/>
  <c r="H1650" i="5"/>
  <c r="G1650" i="5"/>
  <c r="F1650" i="5"/>
  <c r="E1650" i="5"/>
  <c r="D1650" i="5"/>
  <c r="C1650" i="5"/>
  <c r="B1650" i="5"/>
  <c r="L1649" i="5"/>
  <c r="J1649" i="5"/>
  <c r="I1649" i="5"/>
  <c r="H1649" i="5"/>
  <c r="G1649" i="5"/>
  <c r="F1649" i="5"/>
  <c r="E1649" i="5"/>
  <c r="D1649" i="5"/>
  <c r="C1649" i="5"/>
  <c r="B1649" i="5"/>
  <c r="J1648" i="5"/>
  <c r="I1648" i="5"/>
  <c r="H1648" i="5"/>
  <c r="G1648" i="5"/>
  <c r="F1648" i="5"/>
  <c r="L1648" i="5" s="1"/>
  <c r="E1648" i="5"/>
  <c r="D1648" i="5"/>
  <c r="C1648" i="5"/>
  <c r="B1648" i="5"/>
  <c r="L1647" i="5"/>
  <c r="J1647" i="5"/>
  <c r="I1647" i="5"/>
  <c r="H1647" i="5"/>
  <c r="G1647" i="5"/>
  <c r="F1647" i="5"/>
  <c r="E1647" i="5"/>
  <c r="D1647" i="5"/>
  <c r="C1647" i="5"/>
  <c r="B1647" i="5"/>
  <c r="L1646" i="5"/>
  <c r="J1646" i="5"/>
  <c r="I1646" i="5"/>
  <c r="H1646" i="5"/>
  <c r="G1646" i="5"/>
  <c r="F1646" i="5"/>
  <c r="E1646" i="5"/>
  <c r="D1646" i="5"/>
  <c r="C1646" i="5"/>
  <c r="B1646" i="5"/>
  <c r="L1645" i="5"/>
  <c r="J1645" i="5"/>
  <c r="I1645" i="5"/>
  <c r="H1645" i="5"/>
  <c r="G1645" i="5"/>
  <c r="F1645" i="5"/>
  <c r="E1645" i="5"/>
  <c r="D1645" i="5"/>
  <c r="C1645" i="5"/>
  <c r="B1645" i="5"/>
  <c r="J1644" i="5"/>
  <c r="I1644" i="5"/>
  <c r="H1644" i="5"/>
  <c r="G1644" i="5"/>
  <c r="F1644" i="5"/>
  <c r="L1644" i="5" s="1"/>
  <c r="E1644" i="5"/>
  <c r="D1644" i="5"/>
  <c r="C1644" i="5"/>
  <c r="B1644" i="5"/>
  <c r="L1643" i="5"/>
  <c r="J1643" i="5"/>
  <c r="I1643" i="5"/>
  <c r="H1643" i="5"/>
  <c r="G1643" i="5"/>
  <c r="F1643" i="5"/>
  <c r="E1643" i="5"/>
  <c r="D1643" i="5"/>
  <c r="C1643" i="5"/>
  <c r="B1643" i="5"/>
  <c r="L1642" i="5"/>
  <c r="J1642" i="5"/>
  <c r="I1642" i="5"/>
  <c r="H1642" i="5"/>
  <c r="G1642" i="5"/>
  <c r="F1642" i="5"/>
  <c r="E1642" i="5"/>
  <c r="D1642" i="5"/>
  <c r="C1642" i="5"/>
  <c r="B1642" i="5"/>
  <c r="L1641" i="5"/>
  <c r="J1641" i="5"/>
  <c r="I1641" i="5"/>
  <c r="H1641" i="5"/>
  <c r="G1641" i="5"/>
  <c r="F1641" i="5"/>
  <c r="E1641" i="5"/>
  <c r="D1641" i="5"/>
  <c r="C1641" i="5"/>
  <c r="B1641" i="5"/>
  <c r="J1640" i="5"/>
  <c r="I1640" i="5"/>
  <c r="H1640" i="5"/>
  <c r="G1640" i="5"/>
  <c r="F1640" i="5"/>
  <c r="L1640" i="5" s="1"/>
  <c r="E1640" i="5"/>
  <c r="D1640" i="5"/>
  <c r="C1640" i="5"/>
  <c r="B1640" i="5"/>
  <c r="L1639" i="5"/>
  <c r="J1639" i="5"/>
  <c r="I1639" i="5"/>
  <c r="H1639" i="5"/>
  <c r="G1639" i="5"/>
  <c r="F1639" i="5"/>
  <c r="E1639" i="5"/>
  <c r="D1639" i="5"/>
  <c r="C1639" i="5"/>
  <c r="B1639" i="5"/>
  <c r="L1638" i="5"/>
  <c r="J1638" i="5"/>
  <c r="I1638" i="5"/>
  <c r="H1638" i="5"/>
  <c r="G1638" i="5"/>
  <c r="F1638" i="5"/>
  <c r="E1638" i="5"/>
  <c r="D1638" i="5"/>
  <c r="C1638" i="5"/>
  <c r="B1638" i="5"/>
  <c r="L1637" i="5"/>
  <c r="J1637" i="5"/>
  <c r="I1637" i="5"/>
  <c r="H1637" i="5"/>
  <c r="G1637" i="5"/>
  <c r="F1637" i="5"/>
  <c r="E1637" i="5"/>
  <c r="D1637" i="5"/>
  <c r="C1637" i="5"/>
  <c r="B1637" i="5"/>
  <c r="J1636" i="5"/>
  <c r="I1636" i="5"/>
  <c r="H1636" i="5"/>
  <c r="G1636" i="5"/>
  <c r="F1636" i="5"/>
  <c r="L1636" i="5" s="1"/>
  <c r="E1636" i="5"/>
  <c r="D1636" i="5"/>
  <c r="C1636" i="5"/>
  <c r="B1636" i="5"/>
  <c r="L1635" i="5"/>
  <c r="J1635" i="5"/>
  <c r="I1635" i="5"/>
  <c r="H1635" i="5"/>
  <c r="G1635" i="5"/>
  <c r="F1635" i="5"/>
  <c r="E1635" i="5"/>
  <c r="D1635" i="5"/>
  <c r="C1635" i="5"/>
  <c r="B1635" i="5"/>
  <c r="L1634" i="5"/>
  <c r="J1634" i="5"/>
  <c r="I1634" i="5"/>
  <c r="H1634" i="5"/>
  <c r="G1634" i="5"/>
  <c r="F1634" i="5"/>
  <c r="E1634" i="5"/>
  <c r="D1634" i="5"/>
  <c r="C1634" i="5"/>
  <c r="B1634" i="5"/>
  <c r="L1633" i="5"/>
  <c r="J1633" i="5"/>
  <c r="I1633" i="5"/>
  <c r="H1633" i="5"/>
  <c r="G1633" i="5"/>
  <c r="F1633" i="5"/>
  <c r="E1633" i="5"/>
  <c r="D1633" i="5"/>
  <c r="C1633" i="5"/>
  <c r="B1633" i="5"/>
  <c r="J1632" i="5"/>
  <c r="I1632" i="5"/>
  <c r="H1632" i="5"/>
  <c r="G1632" i="5"/>
  <c r="F1632" i="5"/>
  <c r="L1632" i="5" s="1"/>
  <c r="E1632" i="5"/>
  <c r="D1632" i="5"/>
  <c r="C1632" i="5"/>
  <c r="B1632" i="5"/>
  <c r="L1631" i="5"/>
  <c r="J1631" i="5"/>
  <c r="I1631" i="5"/>
  <c r="H1631" i="5"/>
  <c r="G1631" i="5"/>
  <c r="F1631" i="5"/>
  <c r="E1631" i="5"/>
  <c r="D1631" i="5"/>
  <c r="C1631" i="5"/>
  <c r="B1631" i="5"/>
  <c r="L1630" i="5"/>
  <c r="J1630" i="5"/>
  <c r="I1630" i="5"/>
  <c r="H1630" i="5"/>
  <c r="G1630" i="5"/>
  <c r="F1630" i="5"/>
  <c r="E1630" i="5"/>
  <c r="D1630" i="5"/>
  <c r="C1630" i="5"/>
  <c r="B1630" i="5"/>
  <c r="L1629" i="5"/>
  <c r="J1629" i="5"/>
  <c r="I1629" i="5"/>
  <c r="H1629" i="5"/>
  <c r="G1629" i="5"/>
  <c r="F1629" i="5"/>
  <c r="E1629" i="5"/>
  <c r="D1629" i="5"/>
  <c r="C1629" i="5"/>
  <c r="B1629" i="5"/>
  <c r="J1628" i="5"/>
  <c r="I1628" i="5"/>
  <c r="H1628" i="5"/>
  <c r="G1628" i="5"/>
  <c r="F1628" i="5"/>
  <c r="L1628" i="5" s="1"/>
  <c r="E1628" i="5"/>
  <c r="D1628" i="5"/>
  <c r="C1628" i="5"/>
  <c r="B1628" i="5"/>
  <c r="L1627" i="5"/>
  <c r="J1627" i="5"/>
  <c r="I1627" i="5"/>
  <c r="H1627" i="5"/>
  <c r="G1627" i="5"/>
  <c r="F1627" i="5"/>
  <c r="E1627" i="5"/>
  <c r="D1627" i="5"/>
  <c r="C1627" i="5"/>
  <c r="B1627" i="5"/>
  <c r="L1626" i="5"/>
  <c r="J1626" i="5"/>
  <c r="I1626" i="5"/>
  <c r="H1626" i="5"/>
  <c r="G1626" i="5"/>
  <c r="F1626" i="5"/>
  <c r="E1626" i="5"/>
  <c r="D1626" i="5"/>
  <c r="C1626" i="5"/>
  <c r="B1626" i="5"/>
  <c r="L1625" i="5"/>
  <c r="J1625" i="5"/>
  <c r="I1625" i="5"/>
  <c r="H1625" i="5"/>
  <c r="G1625" i="5"/>
  <c r="F1625" i="5"/>
  <c r="E1625" i="5"/>
  <c r="D1625" i="5"/>
  <c r="C1625" i="5"/>
  <c r="B1625" i="5"/>
  <c r="J1624" i="5"/>
  <c r="I1624" i="5"/>
  <c r="H1624" i="5"/>
  <c r="G1624" i="5"/>
  <c r="F1624" i="5"/>
  <c r="L1624" i="5" s="1"/>
  <c r="E1624" i="5"/>
  <c r="D1624" i="5"/>
  <c r="C1624" i="5"/>
  <c r="B1624" i="5"/>
  <c r="L1623" i="5"/>
  <c r="J1623" i="5"/>
  <c r="I1623" i="5"/>
  <c r="H1623" i="5"/>
  <c r="G1623" i="5"/>
  <c r="F1623" i="5"/>
  <c r="E1623" i="5"/>
  <c r="D1623" i="5"/>
  <c r="C1623" i="5"/>
  <c r="B1623" i="5"/>
  <c r="L1622" i="5"/>
  <c r="J1622" i="5"/>
  <c r="I1622" i="5"/>
  <c r="H1622" i="5"/>
  <c r="G1622" i="5"/>
  <c r="F1622" i="5"/>
  <c r="E1622" i="5"/>
  <c r="D1622" i="5"/>
  <c r="C1622" i="5"/>
  <c r="B1622" i="5"/>
  <c r="L1621" i="5"/>
  <c r="J1621" i="5"/>
  <c r="I1621" i="5"/>
  <c r="H1621" i="5"/>
  <c r="G1621" i="5"/>
  <c r="F1621" i="5"/>
  <c r="E1621" i="5"/>
  <c r="D1621" i="5"/>
  <c r="C1621" i="5"/>
  <c r="B1621" i="5"/>
  <c r="J1620" i="5"/>
  <c r="I1620" i="5"/>
  <c r="H1620" i="5"/>
  <c r="G1620" i="5"/>
  <c r="F1620" i="5"/>
  <c r="L1620" i="5" s="1"/>
  <c r="E1620" i="5"/>
  <c r="D1620" i="5"/>
  <c r="C1620" i="5"/>
  <c r="B1620" i="5"/>
  <c r="L1619" i="5"/>
  <c r="J1619" i="5"/>
  <c r="I1619" i="5"/>
  <c r="H1619" i="5"/>
  <c r="G1619" i="5"/>
  <c r="F1619" i="5"/>
  <c r="E1619" i="5"/>
  <c r="D1619" i="5"/>
  <c r="C1619" i="5"/>
  <c r="B1619" i="5"/>
  <c r="L1618" i="5"/>
  <c r="J1618" i="5"/>
  <c r="I1618" i="5"/>
  <c r="H1618" i="5"/>
  <c r="G1618" i="5"/>
  <c r="F1618" i="5"/>
  <c r="E1618" i="5"/>
  <c r="D1618" i="5"/>
  <c r="C1618" i="5"/>
  <c r="B1618" i="5"/>
  <c r="L1617" i="5"/>
  <c r="J1617" i="5"/>
  <c r="I1617" i="5"/>
  <c r="H1617" i="5"/>
  <c r="G1617" i="5"/>
  <c r="F1617" i="5"/>
  <c r="E1617" i="5"/>
  <c r="D1617" i="5"/>
  <c r="C1617" i="5"/>
  <c r="B1617" i="5"/>
  <c r="J1616" i="5"/>
  <c r="I1616" i="5"/>
  <c r="H1616" i="5"/>
  <c r="G1616" i="5"/>
  <c r="F1616" i="5"/>
  <c r="L1616" i="5" s="1"/>
  <c r="E1616" i="5"/>
  <c r="D1616" i="5"/>
  <c r="C1616" i="5"/>
  <c r="B1616" i="5"/>
  <c r="L1615" i="5"/>
  <c r="J1615" i="5"/>
  <c r="I1615" i="5"/>
  <c r="H1615" i="5"/>
  <c r="G1615" i="5"/>
  <c r="F1615" i="5"/>
  <c r="E1615" i="5"/>
  <c r="D1615" i="5"/>
  <c r="C1615" i="5"/>
  <c r="B1615" i="5"/>
  <c r="L1614" i="5"/>
  <c r="J1614" i="5"/>
  <c r="I1614" i="5"/>
  <c r="H1614" i="5"/>
  <c r="G1614" i="5"/>
  <c r="F1614" i="5"/>
  <c r="E1614" i="5"/>
  <c r="D1614" i="5"/>
  <c r="C1614" i="5"/>
  <c r="B1614" i="5"/>
  <c r="L1613" i="5"/>
  <c r="J1613" i="5"/>
  <c r="I1613" i="5"/>
  <c r="H1613" i="5"/>
  <c r="G1613" i="5"/>
  <c r="F1613" i="5"/>
  <c r="E1613" i="5"/>
  <c r="D1613" i="5"/>
  <c r="C1613" i="5"/>
  <c r="B1613" i="5"/>
  <c r="J1612" i="5"/>
  <c r="I1612" i="5"/>
  <c r="H1612" i="5"/>
  <c r="G1612" i="5"/>
  <c r="F1612" i="5"/>
  <c r="L1612" i="5" s="1"/>
  <c r="E1612" i="5"/>
  <c r="D1612" i="5"/>
  <c r="C1612" i="5"/>
  <c r="B1612" i="5"/>
  <c r="L1611" i="5"/>
  <c r="J1611" i="5"/>
  <c r="I1611" i="5"/>
  <c r="H1611" i="5"/>
  <c r="G1611" i="5"/>
  <c r="F1611" i="5"/>
  <c r="E1611" i="5"/>
  <c r="D1611" i="5"/>
  <c r="C1611" i="5"/>
  <c r="B1611" i="5"/>
  <c r="L1610" i="5"/>
  <c r="J1610" i="5"/>
  <c r="I1610" i="5"/>
  <c r="H1610" i="5"/>
  <c r="G1610" i="5"/>
  <c r="F1610" i="5"/>
  <c r="E1610" i="5"/>
  <c r="D1610" i="5"/>
  <c r="C1610" i="5"/>
  <c r="B1610" i="5"/>
  <c r="L1609" i="5"/>
  <c r="J1609" i="5"/>
  <c r="I1609" i="5"/>
  <c r="H1609" i="5"/>
  <c r="G1609" i="5"/>
  <c r="F1609" i="5"/>
  <c r="E1609" i="5"/>
  <c r="D1609" i="5"/>
  <c r="C1609" i="5"/>
  <c r="B1609" i="5"/>
  <c r="J1608" i="5"/>
  <c r="I1608" i="5"/>
  <c r="H1608" i="5"/>
  <c r="G1608" i="5"/>
  <c r="F1608" i="5"/>
  <c r="L1608" i="5" s="1"/>
  <c r="E1608" i="5"/>
  <c r="D1608" i="5"/>
  <c r="C1608" i="5"/>
  <c r="B1608" i="5"/>
  <c r="L1607" i="5"/>
  <c r="J1607" i="5"/>
  <c r="I1607" i="5"/>
  <c r="H1607" i="5"/>
  <c r="G1607" i="5"/>
  <c r="F1607" i="5"/>
  <c r="E1607" i="5"/>
  <c r="D1607" i="5"/>
  <c r="C1607" i="5"/>
  <c r="B1607" i="5"/>
  <c r="L1606" i="5"/>
  <c r="J1606" i="5"/>
  <c r="I1606" i="5"/>
  <c r="H1606" i="5"/>
  <c r="G1606" i="5"/>
  <c r="F1606" i="5"/>
  <c r="E1606" i="5"/>
  <c r="D1606" i="5"/>
  <c r="C1606" i="5"/>
  <c r="B1606" i="5"/>
  <c r="L1605" i="5"/>
  <c r="J1605" i="5"/>
  <c r="I1605" i="5"/>
  <c r="H1605" i="5"/>
  <c r="G1605" i="5"/>
  <c r="F1605" i="5"/>
  <c r="E1605" i="5"/>
  <c r="D1605" i="5"/>
  <c r="C1605" i="5"/>
  <c r="B1605" i="5"/>
  <c r="J1604" i="5"/>
  <c r="I1604" i="5"/>
  <c r="H1604" i="5"/>
  <c r="G1604" i="5"/>
  <c r="F1604" i="5"/>
  <c r="L1604" i="5" s="1"/>
  <c r="E1604" i="5"/>
  <c r="D1604" i="5"/>
  <c r="C1604" i="5"/>
  <c r="B1604" i="5"/>
  <c r="L1603" i="5"/>
  <c r="J1603" i="5"/>
  <c r="I1603" i="5"/>
  <c r="H1603" i="5"/>
  <c r="G1603" i="5"/>
  <c r="F1603" i="5"/>
  <c r="E1603" i="5"/>
  <c r="D1603" i="5"/>
  <c r="C1603" i="5"/>
  <c r="B1603" i="5"/>
  <c r="L1602" i="5"/>
  <c r="J1602" i="5"/>
  <c r="I1602" i="5"/>
  <c r="H1602" i="5"/>
  <c r="G1602" i="5"/>
  <c r="F1602" i="5"/>
  <c r="E1602" i="5"/>
  <c r="D1602" i="5"/>
  <c r="C1602" i="5"/>
  <c r="B1602" i="5"/>
  <c r="L1601" i="5"/>
  <c r="J1601" i="5"/>
  <c r="I1601" i="5"/>
  <c r="H1601" i="5"/>
  <c r="G1601" i="5"/>
  <c r="F1601" i="5"/>
  <c r="E1601" i="5"/>
  <c r="D1601" i="5"/>
  <c r="C1601" i="5"/>
  <c r="B1601" i="5"/>
  <c r="J1600" i="5"/>
  <c r="I1600" i="5"/>
  <c r="H1600" i="5"/>
  <c r="G1600" i="5"/>
  <c r="F1600" i="5"/>
  <c r="L1600" i="5" s="1"/>
  <c r="E1600" i="5"/>
  <c r="D1600" i="5"/>
  <c r="C1600" i="5"/>
  <c r="B1600" i="5"/>
  <c r="L1599" i="5"/>
  <c r="J1599" i="5"/>
  <c r="I1599" i="5"/>
  <c r="H1599" i="5"/>
  <c r="G1599" i="5"/>
  <c r="F1599" i="5"/>
  <c r="E1599" i="5"/>
  <c r="D1599" i="5"/>
  <c r="C1599" i="5"/>
  <c r="B1599" i="5"/>
  <c r="L1598" i="5"/>
  <c r="J1598" i="5"/>
  <c r="I1598" i="5"/>
  <c r="H1598" i="5"/>
  <c r="G1598" i="5"/>
  <c r="F1598" i="5"/>
  <c r="E1598" i="5"/>
  <c r="D1598" i="5"/>
  <c r="C1598" i="5"/>
  <c r="B1598" i="5"/>
  <c r="L1597" i="5"/>
  <c r="J1597" i="5"/>
  <c r="I1597" i="5"/>
  <c r="H1597" i="5"/>
  <c r="G1597" i="5"/>
  <c r="F1597" i="5"/>
  <c r="E1597" i="5"/>
  <c r="D1597" i="5"/>
  <c r="C1597" i="5"/>
  <c r="B1597" i="5"/>
  <c r="J1596" i="5"/>
  <c r="I1596" i="5"/>
  <c r="H1596" i="5"/>
  <c r="G1596" i="5"/>
  <c r="F1596" i="5"/>
  <c r="L1596" i="5" s="1"/>
  <c r="E1596" i="5"/>
  <c r="D1596" i="5"/>
  <c r="C1596" i="5"/>
  <c r="B1596" i="5"/>
  <c r="L1595" i="5"/>
  <c r="J1595" i="5"/>
  <c r="I1595" i="5"/>
  <c r="H1595" i="5"/>
  <c r="G1595" i="5"/>
  <c r="F1595" i="5"/>
  <c r="E1595" i="5"/>
  <c r="D1595" i="5"/>
  <c r="C1595" i="5"/>
  <c r="B1595" i="5"/>
  <c r="L1594" i="5"/>
  <c r="J1594" i="5"/>
  <c r="I1594" i="5"/>
  <c r="H1594" i="5"/>
  <c r="G1594" i="5"/>
  <c r="F1594" i="5"/>
  <c r="E1594" i="5"/>
  <c r="D1594" i="5"/>
  <c r="C1594" i="5"/>
  <c r="B1594" i="5"/>
  <c r="L1593" i="5"/>
  <c r="J1593" i="5"/>
  <c r="I1593" i="5"/>
  <c r="H1593" i="5"/>
  <c r="G1593" i="5"/>
  <c r="F1593" i="5"/>
  <c r="E1593" i="5"/>
  <c r="D1593" i="5"/>
  <c r="C1593" i="5"/>
  <c r="B1593" i="5"/>
  <c r="J1592" i="5"/>
  <c r="I1592" i="5"/>
  <c r="H1592" i="5"/>
  <c r="G1592" i="5"/>
  <c r="F1592" i="5"/>
  <c r="L1592" i="5" s="1"/>
  <c r="E1592" i="5"/>
  <c r="D1592" i="5"/>
  <c r="C1592" i="5"/>
  <c r="B1592" i="5"/>
  <c r="L1591" i="5"/>
  <c r="J1591" i="5"/>
  <c r="I1591" i="5"/>
  <c r="H1591" i="5"/>
  <c r="G1591" i="5"/>
  <c r="F1591" i="5"/>
  <c r="E1591" i="5"/>
  <c r="D1591" i="5"/>
  <c r="C1591" i="5"/>
  <c r="B1591" i="5"/>
  <c r="L1590" i="5"/>
  <c r="J1590" i="5"/>
  <c r="I1590" i="5"/>
  <c r="H1590" i="5"/>
  <c r="G1590" i="5"/>
  <c r="F1590" i="5"/>
  <c r="E1590" i="5"/>
  <c r="D1590" i="5"/>
  <c r="C1590" i="5"/>
  <c r="B1590" i="5"/>
  <c r="L1589" i="5"/>
  <c r="J1589" i="5"/>
  <c r="I1589" i="5"/>
  <c r="H1589" i="5"/>
  <c r="G1589" i="5"/>
  <c r="F1589" i="5"/>
  <c r="E1589" i="5"/>
  <c r="D1589" i="5"/>
  <c r="C1589" i="5"/>
  <c r="B1589" i="5"/>
  <c r="J1588" i="5"/>
  <c r="I1588" i="5"/>
  <c r="H1588" i="5"/>
  <c r="G1588" i="5"/>
  <c r="F1588" i="5"/>
  <c r="L1588" i="5" s="1"/>
  <c r="E1588" i="5"/>
  <c r="D1588" i="5"/>
  <c r="C1588" i="5"/>
  <c r="B1588" i="5"/>
  <c r="L1587" i="5"/>
  <c r="J1587" i="5"/>
  <c r="I1587" i="5"/>
  <c r="H1587" i="5"/>
  <c r="G1587" i="5"/>
  <c r="F1587" i="5"/>
  <c r="E1587" i="5"/>
  <c r="D1587" i="5"/>
  <c r="C1587" i="5"/>
  <c r="B1587" i="5"/>
  <c r="L1586" i="5"/>
  <c r="J1586" i="5"/>
  <c r="I1586" i="5"/>
  <c r="H1586" i="5"/>
  <c r="G1586" i="5"/>
  <c r="F1586" i="5"/>
  <c r="E1586" i="5"/>
  <c r="D1586" i="5"/>
  <c r="C1586" i="5"/>
  <c r="B1586" i="5"/>
  <c r="L1585" i="5"/>
  <c r="J1585" i="5"/>
  <c r="I1585" i="5"/>
  <c r="H1585" i="5"/>
  <c r="G1585" i="5"/>
  <c r="F1585" i="5"/>
  <c r="E1585" i="5"/>
  <c r="D1585" i="5"/>
  <c r="C1585" i="5"/>
  <c r="B1585" i="5"/>
  <c r="J1584" i="5"/>
  <c r="I1584" i="5"/>
  <c r="H1584" i="5"/>
  <c r="G1584" i="5"/>
  <c r="F1584" i="5"/>
  <c r="L1584" i="5" s="1"/>
  <c r="E1584" i="5"/>
  <c r="D1584" i="5"/>
  <c r="C1584" i="5"/>
  <c r="B1584" i="5"/>
  <c r="L1583" i="5"/>
  <c r="J1583" i="5"/>
  <c r="I1583" i="5"/>
  <c r="H1583" i="5"/>
  <c r="G1583" i="5"/>
  <c r="F1583" i="5"/>
  <c r="E1583" i="5"/>
  <c r="D1583" i="5"/>
  <c r="C1583" i="5"/>
  <c r="B1583" i="5"/>
  <c r="L1582" i="5"/>
  <c r="J1582" i="5"/>
  <c r="I1582" i="5"/>
  <c r="H1582" i="5"/>
  <c r="G1582" i="5"/>
  <c r="F1582" i="5"/>
  <c r="E1582" i="5"/>
  <c r="D1582" i="5"/>
  <c r="C1582" i="5"/>
  <c r="B1582" i="5"/>
  <c r="L1581" i="5"/>
  <c r="J1581" i="5"/>
  <c r="I1581" i="5"/>
  <c r="H1581" i="5"/>
  <c r="G1581" i="5"/>
  <c r="F1581" i="5"/>
  <c r="E1581" i="5"/>
  <c r="D1581" i="5"/>
  <c r="C1581" i="5"/>
  <c r="B1581" i="5"/>
  <c r="J1580" i="5"/>
  <c r="I1580" i="5"/>
  <c r="H1580" i="5"/>
  <c r="G1580" i="5"/>
  <c r="F1580" i="5"/>
  <c r="L1580" i="5" s="1"/>
  <c r="E1580" i="5"/>
  <c r="D1580" i="5"/>
  <c r="C1580" i="5"/>
  <c r="B1580" i="5"/>
  <c r="L1579" i="5"/>
  <c r="J1579" i="5"/>
  <c r="I1579" i="5"/>
  <c r="H1579" i="5"/>
  <c r="G1579" i="5"/>
  <c r="F1579" i="5"/>
  <c r="E1579" i="5"/>
  <c r="D1579" i="5"/>
  <c r="C1579" i="5"/>
  <c r="B1579" i="5"/>
  <c r="L1578" i="5"/>
  <c r="J1578" i="5"/>
  <c r="I1578" i="5"/>
  <c r="H1578" i="5"/>
  <c r="G1578" i="5"/>
  <c r="F1578" i="5"/>
  <c r="E1578" i="5"/>
  <c r="D1578" i="5"/>
  <c r="C1578" i="5"/>
  <c r="B1578" i="5"/>
  <c r="L1577" i="5"/>
  <c r="J1577" i="5"/>
  <c r="I1577" i="5"/>
  <c r="H1577" i="5"/>
  <c r="G1577" i="5"/>
  <c r="F1577" i="5"/>
  <c r="E1577" i="5"/>
  <c r="D1577" i="5"/>
  <c r="C1577" i="5"/>
  <c r="B1577" i="5"/>
  <c r="J1576" i="5"/>
  <c r="I1576" i="5"/>
  <c r="H1576" i="5"/>
  <c r="G1576" i="5"/>
  <c r="F1576" i="5"/>
  <c r="L1576" i="5" s="1"/>
  <c r="E1576" i="5"/>
  <c r="D1576" i="5"/>
  <c r="C1576" i="5"/>
  <c r="B1576" i="5"/>
  <c r="L1575" i="5"/>
  <c r="J1575" i="5"/>
  <c r="I1575" i="5"/>
  <c r="H1575" i="5"/>
  <c r="G1575" i="5"/>
  <c r="F1575" i="5"/>
  <c r="E1575" i="5"/>
  <c r="D1575" i="5"/>
  <c r="C1575" i="5"/>
  <c r="B1575" i="5"/>
  <c r="L1574" i="5"/>
  <c r="J1574" i="5"/>
  <c r="I1574" i="5"/>
  <c r="H1574" i="5"/>
  <c r="G1574" i="5"/>
  <c r="F1574" i="5"/>
  <c r="E1574" i="5"/>
  <c r="D1574" i="5"/>
  <c r="C1574" i="5"/>
  <c r="B1574" i="5"/>
  <c r="L1573" i="5"/>
  <c r="J1573" i="5"/>
  <c r="I1573" i="5"/>
  <c r="H1573" i="5"/>
  <c r="G1573" i="5"/>
  <c r="F1573" i="5"/>
  <c r="E1573" i="5"/>
  <c r="D1573" i="5"/>
  <c r="C1573" i="5"/>
  <c r="B1573" i="5"/>
  <c r="J1572" i="5"/>
  <c r="I1572" i="5"/>
  <c r="H1572" i="5"/>
  <c r="G1572" i="5"/>
  <c r="F1572" i="5"/>
  <c r="L1572" i="5" s="1"/>
  <c r="E1572" i="5"/>
  <c r="D1572" i="5"/>
  <c r="C1572" i="5"/>
  <c r="B1572" i="5"/>
  <c r="L1571" i="5"/>
  <c r="J1571" i="5"/>
  <c r="I1571" i="5"/>
  <c r="H1571" i="5"/>
  <c r="G1571" i="5"/>
  <c r="F1571" i="5"/>
  <c r="E1571" i="5"/>
  <c r="D1571" i="5"/>
  <c r="C1571" i="5"/>
  <c r="B1571" i="5"/>
  <c r="L1570" i="5"/>
  <c r="J1570" i="5"/>
  <c r="I1570" i="5"/>
  <c r="H1570" i="5"/>
  <c r="G1570" i="5"/>
  <c r="F1570" i="5"/>
  <c r="E1570" i="5"/>
  <c r="D1570" i="5"/>
  <c r="C1570" i="5"/>
  <c r="B1570" i="5"/>
  <c r="L1569" i="5"/>
  <c r="J1569" i="5"/>
  <c r="I1569" i="5"/>
  <c r="H1569" i="5"/>
  <c r="G1569" i="5"/>
  <c r="F1569" i="5"/>
  <c r="E1569" i="5"/>
  <c r="D1569" i="5"/>
  <c r="C1569" i="5"/>
  <c r="B1569" i="5"/>
  <c r="J1568" i="5"/>
  <c r="I1568" i="5"/>
  <c r="H1568" i="5"/>
  <c r="G1568" i="5"/>
  <c r="F1568" i="5"/>
  <c r="L1568" i="5" s="1"/>
  <c r="E1568" i="5"/>
  <c r="D1568" i="5"/>
  <c r="C1568" i="5"/>
  <c r="B1568" i="5"/>
  <c r="L1567" i="5"/>
  <c r="J1567" i="5"/>
  <c r="I1567" i="5"/>
  <c r="H1567" i="5"/>
  <c r="G1567" i="5"/>
  <c r="F1567" i="5"/>
  <c r="E1567" i="5"/>
  <c r="D1567" i="5"/>
  <c r="C1567" i="5"/>
  <c r="B1567" i="5"/>
  <c r="L1566" i="5"/>
  <c r="J1566" i="5"/>
  <c r="I1566" i="5"/>
  <c r="H1566" i="5"/>
  <c r="G1566" i="5"/>
  <c r="F1566" i="5"/>
  <c r="E1566" i="5"/>
  <c r="D1566" i="5"/>
  <c r="C1566" i="5"/>
  <c r="B1566" i="5"/>
  <c r="L1565" i="5"/>
  <c r="J1565" i="5"/>
  <c r="I1565" i="5"/>
  <c r="H1565" i="5"/>
  <c r="G1565" i="5"/>
  <c r="F1565" i="5"/>
  <c r="E1565" i="5"/>
  <c r="D1565" i="5"/>
  <c r="C1565" i="5"/>
  <c r="B1565" i="5"/>
  <c r="J1564" i="5"/>
  <c r="I1564" i="5"/>
  <c r="H1564" i="5"/>
  <c r="G1564" i="5"/>
  <c r="F1564" i="5"/>
  <c r="L1564" i="5" s="1"/>
  <c r="E1564" i="5"/>
  <c r="D1564" i="5"/>
  <c r="C1564" i="5"/>
  <c r="B1564" i="5"/>
  <c r="L1563" i="5"/>
  <c r="J1563" i="5"/>
  <c r="I1563" i="5"/>
  <c r="H1563" i="5"/>
  <c r="G1563" i="5"/>
  <c r="F1563" i="5"/>
  <c r="E1563" i="5"/>
  <c r="D1563" i="5"/>
  <c r="C1563" i="5"/>
  <c r="B1563" i="5"/>
  <c r="L1562" i="5"/>
  <c r="J1562" i="5"/>
  <c r="I1562" i="5"/>
  <c r="H1562" i="5"/>
  <c r="G1562" i="5"/>
  <c r="F1562" i="5"/>
  <c r="E1562" i="5"/>
  <c r="D1562" i="5"/>
  <c r="C1562" i="5"/>
  <c r="B1562" i="5"/>
  <c r="L1561" i="5"/>
  <c r="J1561" i="5"/>
  <c r="I1561" i="5"/>
  <c r="H1561" i="5"/>
  <c r="G1561" i="5"/>
  <c r="F1561" i="5"/>
  <c r="E1561" i="5"/>
  <c r="D1561" i="5"/>
  <c r="C1561" i="5"/>
  <c r="B1561" i="5"/>
  <c r="J1560" i="5"/>
  <c r="I1560" i="5"/>
  <c r="H1560" i="5"/>
  <c r="G1560" i="5"/>
  <c r="F1560" i="5"/>
  <c r="L1560" i="5" s="1"/>
  <c r="E1560" i="5"/>
  <c r="D1560" i="5"/>
  <c r="C1560" i="5"/>
  <c r="B1560" i="5"/>
  <c r="L1559" i="5"/>
  <c r="J1559" i="5"/>
  <c r="I1559" i="5"/>
  <c r="H1559" i="5"/>
  <c r="G1559" i="5"/>
  <c r="F1559" i="5"/>
  <c r="E1559" i="5"/>
  <c r="D1559" i="5"/>
  <c r="C1559" i="5"/>
  <c r="B1559" i="5"/>
  <c r="L1558" i="5"/>
  <c r="J1558" i="5"/>
  <c r="I1558" i="5"/>
  <c r="H1558" i="5"/>
  <c r="G1558" i="5"/>
  <c r="F1558" i="5"/>
  <c r="E1558" i="5"/>
  <c r="D1558" i="5"/>
  <c r="C1558" i="5"/>
  <c r="B1558" i="5"/>
  <c r="L1557" i="5"/>
  <c r="J1557" i="5"/>
  <c r="I1557" i="5"/>
  <c r="H1557" i="5"/>
  <c r="G1557" i="5"/>
  <c r="F1557" i="5"/>
  <c r="E1557" i="5"/>
  <c r="D1557" i="5"/>
  <c r="C1557" i="5"/>
  <c r="B1557" i="5"/>
  <c r="J1556" i="5"/>
  <c r="I1556" i="5"/>
  <c r="H1556" i="5"/>
  <c r="G1556" i="5"/>
  <c r="F1556" i="5"/>
  <c r="L1556" i="5" s="1"/>
  <c r="E1556" i="5"/>
  <c r="D1556" i="5"/>
  <c r="C1556" i="5"/>
  <c r="B1556" i="5"/>
  <c r="L1555" i="5"/>
  <c r="J1555" i="5"/>
  <c r="I1555" i="5"/>
  <c r="H1555" i="5"/>
  <c r="G1555" i="5"/>
  <c r="F1555" i="5"/>
  <c r="E1555" i="5"/>
  <c r="D1555" i="5"/>
  <c r="C1555" i="5"/>
  <c r="B1555" i="5"/>
  <c r="L1554" i="5"/>
  <c r="J1554" i="5"/>
  <c r="I1554" i="5"/>
  <c r="H1554" i="5"/>
  <c r="G1554" i="5"/>
  <c r="F1554" i="5"/>
  <c r="E1554" i="5"/>
  <c r="D1554" i="5"/>
  <c r="C1554" i="5"/>
  <c r="B1554" i="5"/>
  <c r="L1553" i="5"/>
  <c r="J1553" i="5"/>
  <c r="I1553" i="5"/>
  <c r="H1553" i="5"/>
  <c r="G1553" i="5"/>
  <c r="F1553" i="5"/>
  <c r="E1553" i="5"/>
  <c r="D1553" i="5"/>
  <c r="C1553" i="5"/>
  <c r="B1553" i="5"/>
  <c r="J1552" i="5"/>
  <c r="I1552" i="5"/>
  <c r="H1552" i="5"/>
  <c r="G1552" i="5"/>
  <c r="F1552" i="5"/>
  <c r="L1552" i="5" s="1"/>
  <c r="E1552" i="5"/>
  <c r="D1552" i="5"/>
  <c r="C1552" i="5"/>
  <c r="B1552" i="5"/>
  <c r="L1551" i="5"/>
  <c r="J1551" i="5"/>
  <c r="I1551" i="5"/>
  <c r="H1551" i="5"/>
  <c r="G1551" i="5"/>
  <c r="F1551" i="5"/>
  <c r="E1551" i="5"/>
  <c r="D1551" i="5"/>
  <c r="C1551" i="5"/>
  <c r="B1551" i="5"/>
  <c r="L1550" i="5"/>
  <c r="J1550" i="5"/>
  <c r="I1550" i="5"/>
  <c r="H1550" i="5"/>
  <c r="G1550" i="5"/>
  <c r="F1550" i="5"/>
  <c r="E1550" i="5"/>
  <c r="D1550" i="5"/>
  <c r="C1550" i="5"/>
  <c r="B1550" i="5"/>
  <c r="L1549" i="5"/>
  <c r="J1549" i="5"/>
  <c r="I1549" i="5"/>
  <c r="H1549" i="5"/>
  <c r="G1549" i="5"/>
  <c r="F1549" i="5"/>
  <c r="E1549" i="5"/>
  <c r="D1549" i="5"/>
  <c r="C1549" i="5"/>
  <c r="B1549" i="5"/>
  <c r="J1548" i="5"/>
  <c r="I1548" i="5"/>
  <c r="H1548" i="5"/>
  <c r="G1548" i="5"/>
  <c r="F1548" i="5"/>
  <c r="L1548" i="5" s="1"/>
  <c r="E1548" i="5"/>
  <c r="D1548" i="5"/>
  <c r="C1548" i="5"/>
  <c r="B1548" i="5"/>
  <c r="L1547" i="5"/>
  <c r="J1547" i="5"/>
  <c r="I1547" i="5"/>
  <c r="H1547" i="5"/>
  <c r="G1547" i="5"/>
  <c r="F1547" i="5"/>
  <c r="E1547" i="5"/>
  <c r="D1547" i="5"/>
  <c r="C1547" i="5"/>
  <c r="B1547" i="5"/>
  <c r="L1546" i="5"/>
  <c r="J1546" i="5"/>
  <c r="I1546" i="5"/>
  <c r="H1546" i="5"/>
  <c r="G1546" i="5"/>
  <c r="F1546" i="5"/>
  <c r="E1546" i="5"/>
  <c r="D1546" i="5"/>
  <c r="C1546" i="5"/>
  <c r="B1546" i="5"/>
  <c r="L1545" i="5"/>
  <c r="J1545" i="5"/>
  <c r="I1545" i="5"/>
  <c r="H1545" i="5"/>
  <c r="G1545" i="5"/>
  <c r="F1545" i="5"/>
  <c r="E1545" i="5"/>
  <c r="D1545" i="5"/>
  <c r="C1545" i="5"/>
  <c r="B1545" i="5"/>
  <c r="J1544" i="5"/>
  <c r="I1544" i="5"/>
  <c r="H1544" i="5"/>
  <c r="G1544" i="5"/>
  <c r="F1544" i="5"/>
  <c r="L1544" i="5" s="1"/>
  <c r="E1544" i="5"/>
  <c r="D1544" i="5"/>
  <c r="C1544" i="5"/>
  <c r="B1544" i="5"/>
  <c r="L1543" i="5"/>
  <c r="J1543" i="5"/>
  <c r="I1543" i="5"/>
  <c r="H1543" i="5"/>
  <c r="G1543" i="5"/>
  <c r="F1543" i="5"/>
  <c r="E1543" i="5"/>
  <c r="D1543" i="5"/>
  <c r="C1543" i="5"/>
  <c r="B1543" i="5"/>
  <c r="L1542" i="5"/>
  <c r="J1542" i="5"/>
  <c r="I1542" i="5"/>
  <c r="H1542" i="5"/>
  <c r="G1542" i="5"/>
  <c r="F1542" i="5"/>
  <c r="E1542" i="5"/>
  <c r="D1542" i="5"/>
  <c r="C1542" i="5"/>
  <c r="B1542" i="5"/>
  <c r="L1541" i="5"/>
  <c r="J1541" i="5"/>
  <c r="I1541" i="5"/>
  <c r="H1541" i="5"/>
  <c r="G1541" i="5"/>
  <c r="F1541" i="5"/>
  <c r="E1541" i="5"/>
  <c r="D1541" i="5"/>
  <c r="C1541" i="5"/>
  <c r="B1541" i="5"/>
  <c r="J1540" i="5"/>
  <c r="I1540" i="5"/>
  <c r="H1540" i="5"/>
  <c r="G1540" i="5"/>
  <c r="F1540" i="5"/>
  <c r="L1540" i="5" s="1"/>
  <c r="E1540" i="5"/>
  <c r="D1540" i="5"/>
  <c r="C1540" i="5"/>
  <c r="B1540" i="5"/>
  <c r="L1539" i="5"/>
  <c r="J1539" i="5"/>
  <c r="I1539" i="5"/>
  <c r="H1539" i="5"/>
  <c r="G1539" i="5"/>
  <c r="F1539" i="5"/>
  <c r="E1539" i="5"/>
  <c r="D1539" i="5"/>
  <c r="C1539" i="5"/>
  <c r="B1539" i="5"/>
  <c r="L1538" i="5"/>
  <c r="J1538" i="5"/>
  <c r="I1538" i="5"/>
  <c r="H1538" i="5"/>
  <c r="G1538" i="5"/>
  <c r="F1538" i="5"/>
  <c r="E1538" i="5"/>
  <c r="D1538" i="5"/>
  <c r="C1538" i="5"/>
  <c r="B1538" i="5"/>
  <c r="L1537" i="5"/>
  <c r="J1537" i="5"/>
  <c r="I1537" i="5"/>
  <c r="H1537" i="5"/>
  <c r="G1537" i="5"/>
  <c r="F1537" i="5"/>
  <c r="E1537" i="5"/>
  <c r="D1537" i="5"/>
  <c r="C1537" i="5"/>
  <c r="B1537" i="5"/>
  <c r="J1536" i="5"/>
  <c r="I1536" i="5"/>
  <c r="H1536" i="5"/>
  <c r="G1536" i="5"/>
  <c r="F1536" i="5"/>
  <c r="L1536" i="5" s="1"/>
  <c r="E1536" i="5"/>
  <c r="D1536" i="5"/>
  <c r="C1536" i="5"/>
  <c r="B1536" i="5"/>
  <c r="L1535" i="5"/>
  <c r="J1535" i="5"/>
  <c r="I1535" i="5"/>
  <c r="H1535" i="5"/>
  <c r="G1535" i="5"/>
  <c r="F1535" i="5"/>
  <c r="E1535" i="5"/>
  <c r="D1535" i="5"/>
  <c r="C1535" i="5"/>
  <c r="B1535" i="5"/>
  <c r="L1534" i="5"/>
  <c r="J1534" i="5"/>
  <c r="I1534" i="5"/>
  <c r="H1534" i="5"/>
  <c r="G1534" i="5"/>
  <c r="F1534" i="5"/>
  <c r="E1534" i="5"/>
  <c r="D1534" i="5"/>
  <c r="C1534" i="5"/>
  <c r="B1534" i="5"/>
  <c r="L1533" i="5"/>
  <c r="J1533" i="5"/>
  <c r="I1533" i="5"/>
  <c r="H1533" i="5"/>
  <c r="G1533" i="5"/>
  <c r="F1533" i="5"/>
  <c r="E1533" i="5"/>
  <c r="D1533" i="5"/>
  <c r="C1533" i="5"/>
  <c r="B1533" i="5"/>
  <c r="J1532" i="5"/>
  <c r="I1532" i="5"/>
  <c r="H1532" i="5"/>
  <c r="G1532" i="5"/>
  <c r="F1532" i="5"/>
  <c r="L1532" i="5" s="1"/>
  <c r="E1532" i="5"/>
  <c r="D1532" i="5"/>
  <c r="C1532" i="5"/>
  <c r="B1532" i="5"/>
  <c r="L1531" i="5"/>
  <c r="J1531" i="5"/>
  <c r="I1531" i="5"/>
  <c r="H1531" i="5"/>
  <c r="G1531" i="5"/>
  <c r="F1531" i="5"/>
  <c r="E1531" i="5"/>
  <c r="D1531" i="5"/>
  <c r="C1531" i="5"/>
  <c r="B1531" i="5"/>
  <c r="L1530" i="5"/>
  <c r="J1530" i="5"/>
  <c r="I1530" i="5"/>
  <c r="H1530" i="5"/>
  <c r="G1530" i="5"/>
  <c r="F1530" i="5"/>
  <c r="E1530" i="5"/>
  <c r="D1530" i="5"/>
  <c r="C1530" i="5"/>
  <c r="B1530" i="5"/>
  <c r="L1529" i="5"/>
  <c r="J1529" i="5"/>
  <c r="I1529" i="5"/>
  <c r="H1529" i="5"/>
  <c r="G1529" i="5"/>
  <c r="F1529" i="5"/>
  <c r="E1529" i="5"/>
  <c r="D1529" i="5"/>
  <c r="C1529" i="5"/>
  <c r="B1529" i="5"/>
  <c r="J1528" i="5"/>
  <c r="I1528" i="5"/>
  <c r="H1528" i="5"/>
  <c r="G1528" i="5"/>
  <c r="F1528" i="5"/>
  <c r="L1528" i="5" s="1"/>
  <c r="E1528" i="5"/>
  <c r="D1528" i="5"/>
  <c r="C1528" i="5"/>
  <c r="B1528" i="5"/>
  <c r="L1527" i="5"/>
  <c r="J1527" i="5"/>
  <c r="I1527" i="5"/>
  <c r="H1527" i="5"/>
  <c r="G1527" i="5"/>
  <c r="F1527" i="5"/>
  <c r="E1527" i="5"/>
  <c r="D1527" i="5"/>
  <c r="C1527" i="5"/>
  <c r="B1527" i="5"/>
  <c r="L1526" i="5"/>
  <c r="J1526" i="5"/>
  <c r="I1526" i="5"/>
  <c r="H1526" i="5"/>
  <c r="G1526" i="5"/>
  <c r="F1526" i="5"/>
  <c r="E1526" i="5"/>
  <c r="D1526" i="5"/>
  <c r="C1526" i="5"/>
  <c r="B1526" i="5"/>
  <c r="L1525" i="5"/>
  <c r="J1525" i="5"/>
  <c r="I1525" i="5"/>
  <c r="H1525" i="5"/>
  <c r="G1525" i="5"/>
  <c r="F1525" i="5"/>
  <c r="E1525" i="5"/>
  <c r="D1525" i="5"/>
  <c r="C1525" i="5"/>
  <c r="B1525" i="5"/>
  <c r="J1524" i="5"/>
  <c r="I1524" i="5"/>
  <c r="H1524" i="5"/>
  <c r="G1524" i="5"/>
  <c r="F1524" i="5"/>
  <c r="L1524" i="5" s="1"/>
  <c r="E1524" i="5"/>
  <c r="D1524" i="5"/>
  <c r="C1524" i="5"/>
  <c r="B1524" i="5"/>
  <c r="L1523" i="5"/>
  <c r="J1523" i="5"/>
  <c r="I1523" i="5"/>
  <c r="H1523" i="5"/>
  <c r="G1523" i="5"/>
  <c r="F1523" i="5"/>
  <c r="E1523" i="5"/>
  <c r="D1523" i="5"/>
  <c r="C1523" i="5"/>
  <c r="B1523" i="5"/>
  <c r="L1522" i="5"/>
  <c r="J1522" i="5"/>
  <c r="I1522" i="5"/>
  <c r="H1522" i="5"/>
  <c r="G1522" i="5"/>
  <c r="F1522" i="5"/>
  <c r="E1522" i="5"/>
  <c r="D1522" i="5"/>
  <c r="C1522" i="5"/>
  <c r="B1522" i="5"/>
  <c r="L1521" i="5"/>
  <c r="J1521" i="5"/>
  <c r="I1521" i="5"/>
  <c r="H1521" i="5"/>
  <c r="G1521" i="5"/>
  <c r="F1521" i="5"/>
  <c r="E1521" i="5"/>
  <c r="D1521" i="5"/>
  <c r="C1521" i="5"/>
  <c r="B1521" i="5"/>
  <c r="J1520" i="5"/>
  <c r="I1520" i="5"/>
  <c r="H1520" i="5"/>
  <c r="G1520" i="5"/>
  <c r="F1520" i="5"/>
  <c r="L1520" i="5" s="1"/>
  <c r="E1520" i="5"/>
  <c r="D1520" i="5"/>
  <c r="C1520" i="5"/>
  <c r="B1520" i="5"/>
  <c r="L1519" i="5"/>
  <c r="J1519" i="5"/>
  <c r="I1519" i="5"/>
  <c r="H1519" i="5"/>
  <c r="G1519" i="5"/>
  <c r="F1519" i="5"/>
  <c r="E1519" i="5"/>
  <c r="D1519" i="5"/>
  <c r="C1519" i="5"/>
  <c r="B1519" i="5"/>
  <c r="L1518" i="5"/>
  <c r="J1518" i="5"/>
  <c r="I1518" i="5"/>
  <c r="H1518" i="5"/>
  <c r="G1518" i="5"/>
  <c r="F1518" i="5"/>
  <c r="E1518" i="5"/>
  <c r="D1518" i="5"/>
  <c r="C1518" i="5"/>
  <c r="B1518" i="5"/>
  <c r="L1517" i="5"/>
  <c r="J1517" i="5"/>
  <c r="I1517" i="5"/>
  <c r="H1517" i="5"/>
  <c r="G1517" i="5"/>
  <c r="F1517" i="5"/>
  <c r="E1517" i="5"/>
  <c r="D1517" i="5"/>
  <c r="C1517" i="5"/>
  <c r="B1517" i="5"/>
  <c r="J1516" i="5"/>
  <c r="I1516" i="5"/>
  <c r="H1516" i="5"/>
  <c r="G1516" i="5"/>
  <c r="F1516" i="5"/>
  <c r="L1516" i="5" s="1"/>
  <c r="E1516" i="5"/>
  <c r="D1516" i="5"/>
  <c r="C1516" i="5"/>
  <c r="B1516" i="5"/>
  <c r="L1515" i="5"/>
  <c r="J1515" i="5"/>
  <c r="I1515" i="5"/>
  <c r="H1515" i="5"/>
  <c r="G1515" i="5"/>
  <c r="F1515" i="5"/>
  <c r="E1515" i="5"/>
  <c r="D1515" i="5"/>
  <c r="C1515" i="5"/>
  <c r="B1515" i="5"/>
  <c r="L1514" i="5"/>
  <c r="J1514" i="5"/>
  <c r="I1514" i="5"/>
  <c r="H1514" i="5"/>
  <c r="G1514" i="5"/>
  <c r="F1514" i="5"/>
  <c r="E1514" i="5"/>
  <c r="D1514" i="5"/>
  <c r="C1514" i="5"/>
  <c r="B1514" i="5"/>
  <c r="L1513" i="5"/>
  <c r="J1513" i="5"/>
  <c r="I1513" i="5"/>
  <c r="H1513" i="5"/>
  <c r="G1513" i="5"/>
  <c r="F1513" i="5"/>
  <c r="E1513" i="5"/>
  <c r="D1513" i="5"/>
  <c r="C1513" i="5"/>
  <c r="B1513" i="5"/>
  <c r="J1512" i="5"/>
  <c r="I1512" i="5"/>
  <c r="H1512" i="5"/>
  <c r="G1512" i="5"/>
  <c r="F1512" i="5"/>
  <c r="L1512" i="5" s="1"/>
  <c r="E1512" i="5"/>
  <c r="D1512" i="5"/>
  <c r="C1512" i="5"/>
  <c r="B1512" i="5"/>
  <c r="L1511" i="5"/>
  <c r="J1511" i="5"/>
  <c r="I1511" i="5"/>
  <c r="H1511" i="5"/>
  <c r="G1511" i="5"/>
  <c r="F1511" i="5"/>
  <c r="E1511" i="5"/>
  <c r="D1511" i="5"/>
  <c r="C1511" i="5"/>
  <c r="B1511" i="5"/>
  <c r="L1510" i="5"/>
  <c r="J1510" i="5"/>
  <c r="I1510" i="5"/>
  <c r="H1510" i="5"/>
  <c r="G1510" i="5"/>
  <c r="F1510" i="5"/>
  <c r="E1510" i="5"/>
  <c r="D1510" i="5"/>
  <c r="C1510" i="5"/>
  <c r="B1510" i="5"/>
  <c r="L1509" i="5"/>
  <c r="J1509" i="5"/>
  <c r="I1509" i="5"/>
  <c r="H1509" i="5"/>
  <c r="G1509" i="5"/>
  <c r="F1509" i="5"/>
  <c r="E1509" i="5"/>
  <c r="D1509" i="5"/>
  <c r="C1509" i="5"/>
  <c r="B1509" i="5"/>
  <c r="J1508" i="5"/>
  <c r="I1508" i="5"/>
  <c r="H1508" i="5"/>
  <c r="G1508" i="5"/>
  <c r="F1508" i="5"/>
  <c r="L1508" i="5" s="1"/>
  <c r="E1508" i="5"/>
  <c r="D1508" i="5"/>
  <c r="C1508" i="5"/>
  <c r="B1508" i="5"/>
  <c r="L1507" i="5"/>
  <c r="J1507" i="5"/>
  <c r="I1507" i="5"/>
  <c r="H1507" i="5"/>
  <c r="G1507" i="5"/>
  <c r="F1507" i="5"/>
  <c r="E1507" i="5"/>
  <c r="D1507" i="5"/>
  <c r="C1507" i="5"/>
  <c r="B1507" i="5"/>
  <c r="J1506" i="5"/>
  <c r="I1506" i="5"/>
  <c r="H1506" i="5"/>
  <c r="G1506" i="5"/>
  <c r="F1506" i="5"/>
  <c r="L1506" i="5" s="1"/>
  <c r="E1506" i="5"/>
  <c r="D1506" i="5"/>
  <c r="C1506" i="5"/>
  <c r="B1506" i="5"/>
  <c r="L1505" i="5"/>
  <c r="J1505" i="5"/>
  <c r="I1505" i="5"/>
  <c r="H1505" i="5"/>
  <c r="G1505" i="5"/>
  <c r="F1505" i="5"/>
  <c r="E1505" i="5"/>
  <c r="D1505" i="5"/>
  <c r="C1505" i="5"/>
  <c r="B1505" i="5"/>
  <c r="J1504" i="5"/>
  <c r="I1504" i="5"/>
  <c r="H1504" i="5"/>
  <c r="G1504" i="5"/>
  <c r="F1504" i="5"/>
  <c r="L1504" i="5" s="1"/>
  <c r="E1504" i="5"/>
  <c r="D1504" i="5"/>
  <c r="C1504" i="5"/>
  <c r="B1504" i="5"/>
  <c r="L1503" i="5"/>
  <c r="J1503" i="5"/>
  <c r="I1503" i="5"/>
  <c r="H1503" i="5"/>
  <c r="G1503" i="5"/>
  <c r="F1503" i="5"/>
  <c r="E1503" i="5"/>
  <c r="D1503" i="5"/>
  <c r="C1503" i="5"/>
  <c r="B1503" i="5"/>
  <c r="L1502" i="5"/>
  <c r="J1502" i="5"/>
  <c r="I1502" i="5"/>
  <c r="H1502" i="5"/>
  <c r="G1502" i="5"/>
  <c r="F1502" i="5"/>
  <c r="E1502" i="5"/>
  <c r="D1502" i="5"/>
  <c r="C1502" i="5"/>
  <c r="B1502" i="5"/>
  <c r="L1501" i="5"/>
  <c r="J1501" i="5"/>
  <c r="I1501" i="5"/>
  <c r="H1501" i="5"/>
  <c r="G1501" i="5"/>
  <c r="F1501" i="5"/>
  <c r="E1501" i="5"/>
  <c r="D1501" i="5"/>
  <c r="C1501" i="5"/>
  <c r="B1501" i="5"/>
  <c r="J1500" i="5"/>
  <c r="I1500" i="5"/>
  <c r="H1500" i="5"/>
  <c r="G1500" i="5"/>
  <c r="F1500" i="5"/>
  <c r="L1500" i="5" s="1"/>
  <c r="E1500" i="5"/>
  <c r="D1500" i="5"/>
  <c r="C1500" i="5"/>
  <c r="B1500" i="5"/>
  <c r="L1499" i="5"/>
  <c r="J1499" i="5"/>
  <c r="I1499" i="5"/>
  <c r="H1499" i="5"/>
  <c r="G1499" i="5"/>
  <c r="F1499" i="5"/>
  <c r="E1499" i="5"/>
  <c r="D1499" i="5"/>
  <c r="C1499" i="5"/>
  <c r="B1499" i="5"/>
  <c r="J1498" i="5"/>
  <c r="I1498" i="5"/>
  <c r="H1498" i="5"/>
  <c r="G1498" i="5"/>
  <c r="F1498" i="5"/>
  <c r="L1498" i="5" s="1"/>
  <c r="E1498" i="5"/>
  <c r="D1498" i="5"/>
  <c r="C1498" i="5"/>
  <c r="B1498" i="5"/>
  <c r="L1497" i="5"/>
  <c r="J1497" i="5"/>
  <c r="I1497" i="5"/>
  <c r="H1497" i="5"/>
  <c r="G1497" i="5"/>
  <c r="F1497" i="5"/>
  <c r="E1497" i="5"/>
  <c r="D1497" i="5"/>
  <c r="C1497" i="5"/>
  <c r="B1497" i="5"/>
  <c r="J1496" i="5"/>
  <c r="I1496" i="5"/>
  <c r="H1496" i="5"/>
  <c r="G1496" i="5"/>
  <c r="F1496" i="5"/>
  <c r="L1496" i="5" s="1"/>
  <c r="E1496" i="5"/>
  <c r="D1496" i="5"/>
  <c r="C1496" i="5"/>
  <c r="B1496" i="5"/>
  <c r="L1495" i="5"/>
  <c r="J1495" i="5"/>
  <c r="I1495" i="5"/>
  <c r="H1495" i="5"/>
  <c r="G1495" i="5"/>
  <c r="F1495" i="5"/>
  <c r="E1495" i="5"/>
  <c r="D1495" i="5"/>
  <c r="C1495" i="5"/>
  <c r="B1495" i="5"/>
  <c r="J1494" i="5"/>
  <c r="I1494" i="5"/>
  <c r="H1494" i="5"/>
  <c r="G1494" i="5"/>
  <c r="F1494" i="5"/>
  <c r="L1494" i="5" s="1"/>
  <c r="E1494" i="5"/>
  <c r="D1494" i="5"/>
  <c r="C1494" i="5"/>
  <c r="B1494" i="5"/>
  <c r="L1493" i="5"/>
  <c r="J1493" i="5"/>
  <c r="I1493" i="5"/>
  <c r="H1493" i="5"/>
  <c r="G1493" i="5"/>
  <c r="F1493" i="5"/>
  <c r="E1493" i="5"/>
  <c r="D1493" i="5"/>
  <c r="C1493" i="5"/>
  <c r="B1493" i="5"/>
  <c r="J1492" i="5"/>
  <c r="I1492" i="5"/>
  <c r="H1492" i="5"/>
  <c r="G1492" i="5"/>
  <c r="F1492" i="5"/>
  <c r="L1492" i="5" s="1"/>
  <c r="E1492" i="5"/>
  <c r="D1492" i="5"/>
  <c r="C1492" i="5"/>
  <c r="B1492" i="5"/>
  <c r="L1491" i="5"/>
  <c r="J1491" i="5"/>
  <c r="I1491" i="5"/>
  <c r="H1491" i="5"/>
  <c r="G1491" i="5"/>
  <c r="F1491" i="5"/>
  <c r="E1491" i="5"/>
  <c r="D1491" i="5"/>
  <c r="C1491" i="5"/>
  <c r="B1491" i="5"/>
  <c r="J1490" i="5"/>
  <c r="I1490" i="5"/>
  <c r="H1490" i="5"/>
  <c r="G1490" i="5"/>
  <c r="F1490" i="5"/>
  <c r="L1490" i="5" s="1"/>
  <c r="E1490" i="5"/>
  <c r="D1490" i="5"/>
  <c r="C1490" i="5"/>
  <c r="B1490" i="5"/>
  <c r="L1489" i="5"/>
  <c r="J1489" i="5"/>
  <c r="I1489" i="5"/>
  <c r="H1489" i="5"/>
  <c r="G1489" i="5"/>
  <c r="F1489" i="5"/>
  <c r="E1489" i="5"/>
  <c r="D1489" i="5"/>
  <c r="C1489" i="5"/>
  <c r="B1489" i="5"/>
  <c r="J1488" i="5"/>
  <c r="I1488" i="5"/>
  <c r="H1488" i="5"/>
  <c r="G1488" i="5"/>
  <c r="F1488" i="5"/>
  <c r="L1488" i="5" s="1"/>
  <c r="E1488" i="5"/>
  <c r="D1488" i="5"/>
  <c r="C1488" i="5"/>
  <c r="B1488" i="5"/>
  <c r="L1487" i="5"/>
  <c r="J1487" i="5"/>
  <c r="I1487" i="5"/>
  <c r="H1487" i="5"/>
  <c r="G1487" i="5"/>
  <c r="F1487" i="5"/>
  <c r="E1487" i="5"/>
  <c r="D1487" i="5"/>
  <c r="C1487" i="5"/>
  <c r="B1487" i="5"/>
  <c r="L1486" i="5"/>
  <c r="J1486" i="5"/>
  <c r="I1486" i="5"/>
  <c r="H1486" i="5"/>
  <c r="G1486" i="5"/>
  <c r="F1486" i="5"/>
  <c r="E1486" i="5"/>
  <c r="D1486" i="5"/>
  <c r="C1486" i="5"/>
  <c r="B1486" i="5"/>
  <c r="L1485" i="5"/>
  <c r="J1485" i="5"/>
  <c r="I1485" i="5"/>
  <c r="H1485" i="5"/>
  <c r="G1485" i="5"/>
  <c r="F1485" i="5"/>
  <c r="E1485" i="5"/>
  <c r="D1485" i="5"/>
  <c r="C1485" i="5"/>
  <c r="B1485" i="5"/>
  <c r="J1484" i="5"/>
  <c r="I1484" i="5"/>
  <c r="H1484" i="5"/>
  <c r="G1484" i="5"/>
  <c r="F1484" i="5"/>
  <c r="L1484" i="5" s="1"/>
  <c r="E1484" i="5"/>
  <c r="D1484" i="5"/>
  <c r="C1484" i="5"/>
  <c r="B1484" i="5"/>
  <c r="L1483" i="5"/>
  <c r="J1483" i="5"/>
  <c r="I1483" i="5"/>
  <c r="H1483" i="5"/>
  <c r="G1483" i="5"/>
  <c r="F1483" i="5"/>
  <c r="E1483" i="5"/>
  <c r="D1483" i="5"/>
  <c r="C1483" i="5"/>
  <c r="B1483" i="5"/>
  <c r="L1482" i="5"/>
  <c r="J1482" i="5"/>
  <c r="I1482" i="5"/>
  <c r="H1482" i="5"/>
  <c r="G1482" i="5"/>
  <c r="F1482" i="5"/>
  <c r="E1482" i="5"/>
  <c r="D1482" i="5"/>
  <c r="C1482" i="5"/>
  <c r="B1482" i="5"/>
  <c r="L1481" i="5"/>
  <c r="J1481" i="5"/>
  <c r="I1481" i="5"/>
  <c r="H1481" i="5"/>
  <c r="G1481" i="5"/>
  <c r="F1481" i="5"/>
  <c r="E1481" i="5"/>
  <c r="D1481" i="5"/>
  <c r="C1481" i="5"/>
  <c r="B1481" i="5"/>
  <c r="J1480" i="5"/>
  <c r="I1480" i="5"/>
  <c r="H1480" i="5"/>
  <c r="G1480" i="5"/>
  <c r="F1480" i="5"/>
  <c r="L1480" i="5" s="1"/>
  <c r="E1480" i="5"/>
  <c r="D1480" i="5"/>
  <c r="C1480" i="5"/>
  <c r="B1480" i="5"/>
  <c r="L1479" i="5"/>
  <c r="J1479" i="5"/>
  <c r="I1479" i="5"/>
  <c r="H1479" i="5"/>
  <c r="G1479" i="5"/>
  <c r="F1479" i="5"/>
  <c r="E1479" i="5"/>
  <c r="D1479" i="5"/>
  <c r="C1479" i="5"/>
  <c r="B1479" i="5"/>
  <c r="L1478" i="5"/>
  <c r="J1478" i="5"/>
  <c r="I1478" i="5"/>
  <c r="H1478" i="5"/>
  <c r="G1478" i="5"/>
  <c r="F1478" i="5"/>
  <c r="E1478" i="5"/>
  <c r="D1478" i="5"/>
  <c r="C1478" i="5"/>
  <c r="B1478" i="5"/>
  <c r="L1477" i="5"/>
  <c r="J1477" i="5"/>
  <c r="I1477" i="5"/>
  <c r="H1477" i="5"/>
  <c r="G1477" i="5"/>
  <c r="F1477" i="5"/>
  <c r="E1477" i="5"/>
  <c r="D1477" i="5"/>
  <c r="C1477" i="5"/>
  <c r="B1477" i="5"/>
  <c r="J1476" i="5"/>
  <c r="I1476" i="5"/>
  <c r="H1476" i="5"/>
  <c r="G1476" i="5"/>
  <c r="F1476" i="5"/>
  <c r="L1476" i="5" s="1"/>
  <c r="E1476" i="5"/>
  <c r="D1476" i="5"/>
  <c r="C1476" i="5"/>
  <c r="B1476" i="5"/>
  <c r="L1475" i="5"/>
  <c r="J1475" i="5"/>
  <c r="I1475" i="5"/>
  <c r="H1475" i="5"/>
  <c r="G1475" i="5"/>
  <c r="F1475" i="5"/>
  <c r="E1475" i="5"/>
  <c r="D1475" i="5"/>
  <c r="C1475" i="5"/>
  <c r="B1475" i="5"/>
  <c r="J1474" i="5"/>
  <c r="I1474" i="5"/>
  <c r="H1474" i="5"/>
  <c r="G1474" i="5"/>
  <c r="F1474" i="5"/>
  <c r="L1474" i="5" s="1"/>
  <c r="E1474" i="5"/>
  <c r="D1474" i="5"/>
  <c r="C1474" i="5"/>
  <c r="B1474" i="5"/>
  <c r="L1473" i="5"/>
  <c r="J1473" i="5"/>
  <c r="I1473" i="5"/>
  <c r="H1473" i="5"/>
  <c r="G1473" i="5"/>
  <c r="F1473" i="5"/>
  <c r="E1473" i="5"/>
  <c r="D1473" i="5"/>
  <c r="C1473" i="5"/>
  <c r="B1473" i="5"/>
  <c r="J1472" i="5"/>
  <c r="I1472" i="5"/>
  <c r="H1472" i="5"/>
  <c r="G1472" i="5"/>
  <c r="F1472" i="5"/>
  <c r="L1472" i="5" s="1"/>
  <c r="E1472" i="5"/>
  <c r="D1472" i="5"/>
  <c r="C1472" i="5"/>
  <c r="B1472" i="5"/>
  <c r="L1471" i="5"/>
  <c r="J1471" i="5"/>
  <c r="I1471" i="5"/>
  <c r="H1471" i="5"/>
  <c r="G1471" i="5"/>
  <c r="F1471" i="5"/>
  <c r="E1471" i="5"/>
  <c r="D1471" i="5"/>
  <c r="C1471" i="5"/>
  <c r="B1471" i="5"/>
  <c r="L1470" i="5"/>
  <c r="J1470" i="5"/>
  <c r="I1470" i="5"/>
  <c r="H1470" i="5"/>
  <c r="G1470" i="5"/>
  <c r="F1470" i="5"/>
  <c r="E1470" i="5"/>
  <c r="D1470" i="5"/>
  <c r="C1470" i="5"/>
  <c r="B1470" i="5"/>
  <c r="L1469" i="5"/>
  <c r="J1469" i="5"/>
  <c r="I1469" i="5"/>
  <c r="H1469" i="5"/>
  <c r="G1469" i="5"/>
  <c r="F1469" i="5"/>
  <c r="E1469" i="5"/>
  <c r="D1469" i="5"/>
  <c r="C1469" i="5"/>
  <c r="B1469" i="5"/>
  <c r="J1468" i="5"/>
  <c r="I1468" i="5"/>
  <c r="H1468" i="5"/>
  <c r="G1468" i="5"/>
  <c r="F1468" i="5"/>
  <c r="L1468" i="5" s="1"/>
  <c r="E1468" i="5"/>
  <c r="D1468" i="5"/>
  <c r="C1468" i="5"/>
  <c r="B1468" i="5"/>
  <c r="L1467" i="5"/>
  <c r="J1467" i="5"/>
  <c r="I1467" i="5"/>
  <c r="H1467" i="5"/>
  <c r="G1467" i="5"/>
  <c r="F1467" i="5"/>
  <c r="E1467" i="5"/>
  <c r="D1467" i="5"/>
  <c r="C1467" i="5"/>
  <c r="B1467" i="5"/>
  <c r="J1466" i="5"/>
  <c r="I1466" i="5"/>
  <c r="H1466" i="5"/>
  <c r="G1466" i="5"/>
  <c r="F1466" i="5"/>
  <c r="L1466" i="5" s="1"/>
  <c r="E1466" i="5"/>
  <c r="D1466" i="5"/>
  <c r="C1466" i="5"/>
  <c r="B1466" i="5"/>
  <c r="L1465" i="5"/>
  <c r="J1465" i="5"/>
  <c r="I1465" i="5"/>
  <c r="H1465" i="5"/>
  <c r="G1465" i="5"/>
  <c r="F1465" i="5"/>
  <c r="E1465" i="5"/>
  <c r="D1465" i="5"/>
  <c r="C1465" i="5"/>
  <c r="B1465" i="5"/>
  <c r="L1464" i="5"/>
  <c r="J1464" i="5"/>
  <c r="I1464" i="5"/>
  <c r="H1464" i="5"/>
  <c r="G1464" i="5"/>
  <c r="F1464" i="5"/>
  <c r="E1464" i="5"/>
  <c r="D1464" i="5"/>
  <c r="C1464" i="5"/>
  <c r="B1464" i="5"/>
  <c r="L1463" i="5"/>
  <c r="J1463" i="5"/>
  <c r="I1463" i="5"/>
  <c r="H1463" i="5"/>
  <c r="G1463" i="5"/>
  <c r="F1463" i="5"/>
  <c r="E1463" i="5"/>
  <c r="D1463" i="5"/>
  <c r="C1463" i="5"/>
  <c r="B1463" i="5"/>
  <c r="J1462" i="5"/>
  <c r="I1462" i="5"/>
  <c r="H1462" i="5"/>
  <c r="G1462" i="5"/>
  <c r="F1462" i="5"/>
  <c r="L1462" i="5" s="1"/>
  <c r="E1462" i="5"/>
  <c r="D1462" i="5"/>
  <c r="C1462" i="5"/>
  <c r="B1462" i="5"/>
  <c r="L1461" i="5"/>
  <c r="J1461" i="5"/>
  <c r="I1461" i="5"/>
  <c r="H1461" i="5"/>
  <c r="G1461" i="5"/>
  <c r="F1461" i="5"/>
  <c r="E1461" i="5"/>
  <c r="D1461" i="5"/>
  <c r="C1461" i="5"/>
  <c r="B1461" i="5"/>
  <c r="L1460" i="5"/>
  <c r="J1460" i="5"/>
  <c r="I1460" i="5"/>
  <c r="H1460" i="5"/>
  <c r="G1460" i="5"/>
  <c r="F1460" i="5"/>
  <c r="E1460" i="5"/>
  <c r="D1460" i="5"/>
  <c r="C1460" i="5"/>
  <c r="B1460" i="5"/>
  <c r="L1459" i="5"/>
  <c r="J1459" i="5"/>
  <c r="I1459" i="5"/>
  <c r="H1459" i="5"/>
  <c r="G1459" i="5"/>
  <c r="F1459" i="5"/>
  <c r="E1459" i="5"/>
  <c r="D1459" i="5"/>
  <c r="C1459" i="5"/>
  <c r="B1459" i="5"/>
  <c r="J1458" i="5"/>
  <c r="I1458" i="5"/>
  <c r="H1458" i="5"/>
  <c r="G1458" i="5"/>
  <c r="F1458" i="5"/>
  <c r="L1458" i="5" s="1"/>
  <c r="E1458" i="5"/>
  <c r="D1458" i="5"/>
  <c r="C1458" i="5"/>
  <c r="B1458" i="5"/>
  <c r="L1457" i="5"/>
  <c r="J1457" i="5"/>
  <c r="I1457" i="5"/>
  <c r="H1457" i="5"/>
  <c r="G1457" i="5"/>
  <c r="F1457" i="5"/>
  <c r="E1457" i="5"/>
  <c r="D1457" i="5"/>
  <c r="C1457" i="5"/>
  <c r="B1457" i="5"/>
  <c r="L1456" i="5"/>
  <c r="J1456" i="5"/>
  <c r="I1456" i="5"/>
  <c r="H1456" i="5"/>
  <c r="G1456" i="5"/>
  <c r="F1456" i="5"/>
  <c r="E1456" i="5"/>
  <c r="D1456" i="5"/>
  <c r="C1456" i="5"/>
  <c r="B1456" i="5"/>
  <c r="L1455" i="5"/>
  <c r="J1455" i="5"/>
  <c r="I1455" i="5"/>
  <c r="H1455" i="5"/>
  <c r="G1455" i="5"/>
  <c r="F1455" i="5"/>
  <c r="E1455" i="5"/>
  <c r="D1455" i="5"/>
  <c r="C1455" i="5"/>
  <c r="B1455" i="5"/>
  <c r="J1454" i="5"/>
  <c r="I1454" i="5"/>
  <c r="H1454" i="5"/>
  <c r="G1454" i="5"/>
  <c r="F1454" i="5"/>
  <c r="L1454" i="5" s="1"/>
  <c r="E1454" i="5"/>
  <c r="D1454" i="5"/>
  <c r="C1454" i="5"/>
  <c r="B1454" i="5"/>
  <c r="L1453" i="5"/>
  <c r="J1453" i="5"/>
  <c r="I1453" i="5"/>
  <c r="H1453" i="5"/>
  <c r="G1453" i="5"/>
  <c r="F1453" i="5"/>
  <c r="E1453" i="5"/>
  <c r="D1453" i="5"/>
  <c r="C1453" i="5"/>
  <c r="B1453" i="5"/>
  <c r="L1452" i="5"/>
  <c r="J1452" i="5"/>
  <c r="I1452" i="5"/>
  <c r="H1452" i="5"/>
  <c r="G1452" i="5"/>
  <c r="F1452" i="5"/>
  <c r="E1452" i="5"/>
  <c r="D1452" i="5"/>
  <c r="C1452" i="5"/>
  <c r="B1452" i="5"/>
  <c r="L1451" i="5"/>
  <c r="J1451" i="5"/>
  <c r="I1451" i="5"/>
  <c r="H1451" i="5"/>
  <c r="G1451" i="5"/>
  <c r="F1451" i="5"/>
  <c r="E1451" i="5"/>
  <c r="D1451" i="5"/>
  <c r="C1451" i="5"/>
  <c r="B1451" i="5"/>
  <c r="J1450" i="5"/>
  <c r="I1450" i="5"/>
  <c r="H1450" i="5"/>
  <c r="G1450" i="5"/>
  <c r="F1450" i="5"/>
  <c r="L1450" i="5" s="1"/>
  <c r="E1450" i="5"/>
  <c r="D1450" i="5"/>
  <c r="C1450" i="5"/>
  <c r="B1450" i="5"/>
  <c r="L1449" i="5"/>
  <c r="J1449" i="5"/>
  <c r="I1449" i="5"/>
  <c r="H1449" i="5"/>
  <c r="G1449" i="5"/>
  <c r="F1449" i="5"/>
  <c r="E1449" i="5"/>
  <c r="D1449" i="5"/>
  <c r="C1449" i="5"/>
  <c r="B1449" i="5"/>
  <c r="L1448" i="5"/>
  <c r="J1448" i="5"/>
  <c r="I1448" i="5"/>
  <c r="H1448" i="5"/>
  <c r="G1448" i="5"/>
  <c r="F1448" i="5"/>
  <c r="E1448" i="5"/>
  <c r="D1448" i="5"/>
  <c r="C1448" i="5"/>
  <c r="B1448" i="5"/>
  <c r="J1447" i="5"/>
  <c r="I1447" i="5"/>
  <c r="H1447" i="5"/>
  <c r="G1447" i="5"/>
  <c r="F1447" i="5"/>
  <c r="L1447" i="5" s="1"/>
  <c r="E1447" i="5"/>
  <c r="D1447" i="5"/>
  <c r="C1447" i="5"/>
  <c r="B1447" i="5"/>
  <c r="J1446" i="5"/>
  <c r="I1446" i="5"/>
  <c r="H1446" i="5"/>
  <c r="G1446" i="5"/>
  <c r="F1446" i="5"/>
  <c r="L1446" i="5" s="1"/>
  <c r="E1446" i="5"/>
  <c r="D1446" i="5"/>
  <c r="C1446" i="5"/>
  <c r="B1446" i="5"/>
  <c r="J1445" i="5"/>
  <c r="I1445" i="5"/>
  <c r="H1445" i="5"/>
  <c r="G1445" i="5"/>
  <c r="F1445" i="5"/>
  <c r="L1445" i="5" s="1"/>
  <c r="E1445" i="5"/>
  <c r="D1445" i="5"/>
  <c r="C1445" i="5"/>
  <c r="B1445" i="5"/>
  <c r="L1444" i="5"/>
  <c r="J1444" i="5"/>
  <c r="I1444" i="5"/>
  <c r="H1444" i="5"/>
  <c r="G1444" i="5"/>
  <c r="F1444" i="5"/>
  <c r="E1444" i="5"/>
  <c r="D1444" i="5"/>
  <c r="C1444" i="5"/>
  <c r="B1444" i="5"/>
  <c r="J1443" i="5"/>
  <c r="I1443" i="5"/>
  <c r="H1443" i="5"/>
  <c r="G1443" i="5"/>
  <c r="F1443" i="5"/>
  <c r="L1443" i="5" s="1"/>
  <c r="E1443" i="5"/>
  <c r="D1443" i="5"/>
  <c r="C1443" i="5"/>
  <c r="B1443" i="5"/>
  <c r="J1442" i="5"/>
  <c r="I1442" i="5"/>
  <c r="H1442" i="5"/>
  <c r="G1442" i="5"/>
  <c r="F1442" i="5"/>
  <c r="L1442" i="5" s="1"/>
  <c r="E1442" i="5"/>
  <c r="D1442" i="5"/>
  <c r="C1442" i="5"/>
  <c r="B1442" i="5"/>
  <c r="J1441" i="5"/>
  <c r="I1441" i="5"/>
  <c r="H1441" i="5"/>
  <c r="G1441" i="5"/>
  <c r="F1441" i="5"/>
  <c r="L1441" i="5" s="1"/>
  <c r="E1441" i="5"/>
  <c r="D1441" i="5"/>
  <c r="C1441" i="5"/>
  <c r="B1441" i="5"/>
  <c r="L1440" i="5"/>
  <c r="J1440" i="5"/>
  <c r="I1440" i="5"/>
  <c r="H1440" i="5"/>
  <c r="G1440" i="5"/>
  <c r="F1440" i="5"/>
  <c r="E1440" i="5"/>
  <c r="D1440" i="5"/>
  <c r="C1440" i="5"/>
  <c r="B1440" i="5"/>
  <c r="J1439" i="5"/>
  <c r="I1439" i="5"/>
  <c r="H1439" i="5"/>
  <c r="G1439" i="5"/>
  <c r="F1439" i="5"/>
  <c r="L1439" i="5" s="1"/>
  <c r="E1439" i="5"/>
  <c r="D1439" i="5"/>
  <c r="C1439" i="5"/>
  <c r="B1439" i="5"/>
  <c r="J1438" i="5"/>
  <c r="I1438" i="5"/>
  <c r="H1438" i="5"/>
  <c r="G1438" i="5"/>
  <c r="F1438" i="5"/>
  <c r="L1438" i="5" s="1"/>
  <c r="E1438" i="5"/>
  <c r="D1438" i="5"/>
  <c r="C1438" i="5"/>
  <c r="B1438" i="5"/>
  <c r="J1437" i="5"/>
  <c r="I1437" i="5"/>
  <c r="H1437" i="5"/>
  <c r="G1437" i="5"/>
  <c r="F1437" i="5"/>
  <c r="L1437" i="5" s="1"/>
  <c r="E1437" i="5"/>
  <c r="D1437" i="5"/>
  <c r="C1437" i="5"/>
  <c r="B1437" i="5"/>
  <c r="L1436" i="5"/>
  <c r="J1436" i="5"/>
  <c r="I1436" i="5"/>
  <c r="H1436" i="5"/>
  <c r="G1436" i="5"/>
  <c r="F1436" i="5"/>
  <c r="E1436" i="5"/>
  <c r="D1436" i="5"/>
  <c r="C1436" i="5"/>
  <c r="B1436" i="5"/>
  <c r="J1435" i="5"/>
  <c r="I1435" i="5"/>
  <c r="H1435" i="5"/>
  <c r="G1435" i="5"/>
  <c r="F1435" i="5"/>
  <c r="L1435" i="5" s="1"/>
  <c r="E1435" i="5"/>
  <c r="D1435" i="5"/>
  <c r="C1435" i="5"/>
  <c r="B1435" i="5"/>
  <c r="J1434" i="5"/>
  <c r="I1434" i="5"/>
  <c r="H1434" i="5"/>
  <c r="G1434" i="5"/>
  <c r="F1434" i="5"/>
  <c r="L1434" i="5" s="1"/>
  <c r="E1434" i="5"/>
  <c r="D1434" i="5"/>
  <c r="C1434" i="5"/>
  <c r="B1434" i="5"/>
  <c r="J1433" i="5"/>
  <c r="I1433" i="5"/>
  <c r="H1433" i="5"/>
  <c r="G1433" i="5"/>
  <c r="F1433" i="5"/>
  <c r="L1433" i="5" s="1"/>
  <c r="E1433" i="5"/>
  <c r="D1433" i="5"/>
  <c r="C1433" i="5"/>
  <c r="B1433" i="5"/>
  <c r="L1432" i="5"/>
  <c r="J1432" i="5"/>
  <c r="I1432" i="5"/>
  <c r="H1432" i="5"/>
  <c r="G1432" i="5"/>
  <c r="F1432" i="5"/>
  <c r="E1432" i="5"/>
  <c r="D1432" i="5"/>
  <c r="C1432" i="5"/>
  <c r="B1432" i="5"/>
  <c r="J1431" i="5"/>
  <c r="I1431" i="5"/>
  <c r="H1431" i="5"/>
  <c r="G1431" i="5"/>
  <c r="F1431" i="5"/>
  <c r="L1431" i="5" s="1"/>
  <c r="E1431" i="5"/>
  <c r="D1431" i="5"/>
  <c r="C1431" i="5"/>
  <c r="B1431" i="5"/>
  <c r="J1430" i="5"/>
  <c r="I1430" i="5"/>
  <c r="H1430" i="5"/>
  <c r="G1430" i="5"/>
  <c r="F1430" i="5"/>
  <c r="L1430" i="5" s="1"/>
  <c r="E1430" i="5"/>
  <c r="D1430" i="5"/>
  <c r="C1430" i="5"/>
  <c r="B1430" i="5"/>
  <c r="J1429" i="5"/>
  <c r="I1429" i="5"/>
  <c r="H1429" i="5"/>
  <c r="G1429" i="5"/>
  <c r="F1429" i="5"/>
  <c r="L1429" i="5" s="1"/>
  <c r="E1429" i="5"/>
  <c r="D1429" i="5"/>
  <c r="C1429" i="5"/>
  <c r="B1429" i="5"/>
  <c r="L1428" i="5"/>
  <c r="J1428" i="5"/>
  <c r="I1428" i="5"/>
  <c r="H1428" i="5"/>
  <c r="G1428" i="5"/>
  <c r="F1428" i="5"/>
  <c r="E1428" i="5"/>
  <c r="D1428" i="5"/>
  <c r="C1428" i="5"/>
  <c r="B1428" i="5"/>
  <c r="J1427" i="5"/>
  <c r="I1427" i="5"/>
  <c r="H1427" i="5"/>
  <c r="G1427" i="5"/>
  <c r="F1427" i="5"/>
  <c r="L1427" i="5" s="1"/>
  <c r="E1427" i="5"/>
  <c r="D1427" i="5"/>
  <c r="C1427" i="5"/>
  <c r="B1427" i="5"/>
  <c r="J1426" i="5"/>
  <c r="I1426" i="5"/>
  <c r="H1426" i="5"/>
  <c r="G1426" i="5"/>
  <c r="F1426" i="5"/>
  <c r="L1426" i="5" s="1"/>
  <c r="E1426" i="5"/>
  <c r="D1426" i="5"/>
  <c r="C1426" i="5"/>
  <c r="B1426" i="5"/>
  <c r="J1425" i="5"/>
  <c r="I1425" i="5"/>
  <c r="H1425" i="5"/>
  <c r="G1425" i="5"/>
  <c r="F1425" i="5"/>
  <c r="L1425" i="5" s="1"/>
  <c r="E1425" i="5"/>
  <c r="D1425" i="5"/>
  <c r="C1425" i="5"/>
  <c r="B1425" i="5"/>
  <c r="L1424" i="5"/>
  <c r="J1424" i="5"/>
  <c r="I1424" i="5"/>
  <c r="H1424" i="5"/>
  <c r="G1424" i="5"/>
  <c r="F1424" i="5"/>
  <c r="E1424" i="5"/>
  <c r="D1424" i="5"/>
  <c r="C1424" i="5"/>
  <c r="B1424" i="5"/>
  <c r="J1423" i="5"/>
  <c r="I1423" i="5"/>
  <c r="H1423" i="5"/>
  <c r="G1423" i="5"/>
  <c r="F1423" i="5"/>
  <c r="L1423" i="5" s="1"/>
  <c r="E1423" i="5"/>
  <c r="D1423" i="5"/>
  <c r="C1423" i="5"/>
  <c r="B1423" i="5"/>
  <c r="J1422" i="5"/>
  <c r="I1422" i="5"/>
  <c r="H1422" i="5"/>
  <c r="G1422" i="5"/>
  <c r="F1422" i="5"/>
  <c r="L1422" i="5" s="1"/>
  <c r="E1422" i="5"/>
  <c r="D1422" i="5"/>
  <c r="C1422" i="5"/>
  <c r="B1422" i="5"/>
  <c r="J1421" i="5"/>
  <c r="I1421" i="5"/>
  <c r="H1421" i="5"/>
  <c r="G1421" i="5"/>
  <c r="F1421" i="5"/>
  <c r="L1421" i="5" s="1"/>
  <c r="E1421" i="5"/>
  <c r="D1421" i="5"/>
  <c r="C1421" i="5"/>
  <c r="B1421" i="5"/>
  <c r="L1420" i="5"/>
  <c r="J1420" i="5"/>
  <c r="I1420" i="5"/>
  <c r="H1420" i="5"/>
  <c r="G1420" i="5"/>
  <c r="F1420" i="5"/>
  <c r="E1420" i="5"/>
  <c r="D1420" i="5"/>
  <c r="C1420" i="5"/>
  <c r="B1420" i="5"/>
  <c r="J1419" i="5"/>
  <c r="I1419" i="5"/>
  <c r="H1419" i="5"/>
  <c r="G1419" i="5"/>
  <c r="F1419" i="5"/>
  <c r="L1419" i="5" s="1"/>
  <c r="E1419" i="5"/>
  <c r="D1419" i="5"/>
  <c r="C1419" i="5"/>
  <c r="B1419" i="5"/>
  <c r="J1418" i="5"/>
  <c r="I1418" i="5"/>
  <c r="H1418" i="5"/>
  <c r="G1418" i="5"/>
  <c r="F1418" i="5"/>
  <c r="L1418" i="5" s="1"/>
  <c r="E1418" i="5"/>
  <c r="D1418" i="5"/>
  <c r="C1418" i="5"/>
  <c r="B1418" i="5"/>
  <c r="J1417" i="5"/>
  <c r="I1417" i="5"/>
  <c r="H1417" i="5"/>
  <c r="G1417" i="5"/>
  <c r="F1417" i="5"/>
  <c r="L1417" i="5" s="1"/>
  <c r="E1417" i="5"/>
  <c r="D1417" i="5"/>
  <c r="C1417" i="5"/>
  <c r="B1417" i="5"/>
  <c r="L1416" i="5"/>
  <c r="J1416" i="5"/>
  <c r="I1416" i="5"/>
  <c r="H1416" i="5"/>
  <c r="G1416" i="5"/>
  <c r="F1416" i="5"/>
  <c r="E1416" i="5"/>
  <c r="D1416" i="5"/>
  <c r="C1416" i="5"/>
  <c r="B1416" i="5"/>
  <c r="J1415" i="5"/>
  <c r="I1415" i="5"/>
  <c r="H1415" i="5"/>
  <c r="G1415" i="5"/>
  <c r="F1415" i="5"/>
  <c r="L1415" i="5" s="1"/>
  <c r="E1415" i="5"/>
  <c r="D1415" i="5"/>
  <c r="C1415" i="5"/>
  <c r="B1415" i="5"/>
  <c r="J1414" i="5"/>
  <c r="I1414" i="5"/>
  <c r="H1414" i="5"/>
  <c r="G1414" i="5"/>
  <c r="F1414" i="5"/>
  <c r="L1414" i="5" s="1"/>
  <c r="E1414" i="5"/>
  <c r="D1414" i="5"/>
  <c r="C1414" i="5"/>
  <c r="B1414" i="5"/>
  <c r="J1413" i="5"/>
  <c r="I1413" i="5"/>
  <c r="H1413" i="5"/>
  <c r="G1413" i="5"/>
  <c r="F1413" i="5"/>
  <c r="L1413" i="5" s="1"/>
  <c r="E1413" i="5"/>
  <c r="D1413" i="5"/>
  <c r="C1413" i="5"/>
  <c r="B1413" i="5"/>
  <c r="L1412" i="5"/>
  <c r="J1412" i="5"/>
  <c r="I1412" i="5"/>
  <c r="H1412" i="5"/>
  <c r="G1412" i="5"/>
  <c r="F1412" i="5"/>
  <c r="E1412" i="5"/>
  <c r="D1412" i="5"/>
  <c r="C1412" i="5"/>
  <c r="B1412" i="5"/>
  <c r="J1411" i="5"/>
  <c r="I1411" i="5"/>
  <c r="H1411" i="5"/>
  <c r="G1411" i="5"/>
  <c r="F1411" i="5"/>
  <c r="L1411" i="5" s="1"/>
  <c r="E1411" i="5"/>
  <c r="D1411" i="5"/>
  <c r="C1411" i="5"/>
  <c r="B1411" i="5"/>
  <c r="J1410" i="5"/>
  <c r="I1410" i="5"/>
  <c r="H1410" i="5"/>
  <c r="G1410" i="5"/>
  <c r="F1410" i="5"/>
  <c r="L1410" i="5" s="1"/>
  <c r="E1410" i="5"/>
  <c r="D1410" i="5"/>
  <c r="C1410" i="5"/>
  <c r="B1410" i="5"/>
  <c r="J1409" i="5"/>
  <c r="I1409" i="5"/>
  <c r="H1409" i="5"/>
  <c r="G1409" i="5"/>
  <c r="F1409" i="5"/>
  <c r="L1409" i="5" s="1"/>
  <c r="E1409" i="5"/>
  <c r="D1409" i="5"/>
  <c r="C1409" i="5"/>
  <c r="B1409" i="5"/>
  <c r="L1408" i="5"/>
  <c r="J1408" i="5"/>
  <c r="I1408" i="5"/>
  <c r="H1408" i="5"/>
  <c r="G1408" i="5"/>
  <c r="F1408" i="5"/>
  <c r="E1408" i="5"/>
  <c r="D1408" i="5"/>
  <c r="C1408" i="5"/>
  <c r="B1408" i="5"/>
  <c r="J1407" i="5"/>
  <c r="I1407" i="5"/>
  <c r="H1407" i="5"/>
  <c r="G1407" i="5"/>
  <c r="F1407" i="5"/>
  <c r="L1407" i="5" s="1"/>
  <c r="E1407" i="5"/>
  <c r="D1407" i="5"/>
  <c r="C1407" i="5"/>
  <c r="B1407" i="5"/>
  <c r="J1406" i="5"/>
  <c r="I1406" i="5"/>
  <c r="H1406" i="5"/>
  <c r="G1406" i="5"/>
  <c r="F1406" i="5"/>
  <c r="L1406" i="5" s="1"/>
  <c r="E1406" i="5"/>
  <c r="D1406" i="5"/>
  <c r="C1406" i="5"/>
  <c r="B1406" i="5"/>
  <c r="J1405" i="5"/>
  <c r="I1405" i="5"/>
  <c r="H1405" i="5"/>
  <c r="G1405" i="5"/>
  <c r="F1405" i="5"/>
  <c r="L1405" i="5" s="1"/>
  <c r="E1405" i="5"/>
  <c r="D1405" i="5"/>
  <c r="C1405" i="5"/>
  <c r="B1405" i="5"/>
  <c r="L1404" i="5"/>
  <c r="J1404" i="5"/>
  <c r="I1404" i="5"/>
  <c r="H1404" i="5"/>
  <c r="G1404" i="5"/>
  <c r="F1404" i="5"/>
  <c r="E1404" i="5"/>
  <c r="D1404" i="5"/>
  <c r="C1404" i="5"/>
  <c r="B1404" i="5"/>
  <c r="J1403" i="5"/>
  <c r="I1403" i="5"/>
  <c r="H1403" i="5"/>
  <c r="G1403" i="5"/>
  <c r="F1403" i="5"/>
  <c r="L1403" i="5" s="1"/>
  <c r="E1403" i="5"/>
  <c r="D1403" i="5"/>
  <c r="C1403" i="5"/>
  <c r="B1403" i="5"/>
  <c r="J1402" i="5"/>
  <c r="I1402" i="5"/>
  <c r="H1402" i="5"/>
  <c r="G1402" i="5"/>
  <c r="F1402" i="5"/>
  <c r="L1402" i="5" s="1"/>
  <c r="E1402" i="5"/>
  <c r="D1402" i="5"/>
  <c r="C1402" i="5"/>
  <c r="B1402" i="5"/>
  <c r="J1401" i="5"/>
  <c r="I1401" i="5"/>
  <c r="H1401" i="5"/>
  <c r="G1401" i="5"/>
  <c r="F1401" i="5"/>
  <c r="L1401" i="5" s="1"/>
  <c r="E1401" i="5"/>
  <c r="D1401" i="5"/>
  <c r="C1401" i="5"/>
  <c r="B1401" i="5"/>
  <c r="L1400" i="5"/>
  <c r="J1400" i="5"/>
  <c r="I1400" i="5"/>
  <c r="H1400" i="5"/>
  <c r="G1400" i="5"/>
  <c r="F1400" i="5"/>
  <c r="E1400" i="5"/>
  <c r="D1400" i="5"/>
  <c r="C1400" i="5"/>
  <c r="B1400" i="5"/>
  <c r="J1399" i="5"/>
  <c r="I1399" i="5"/>
  <c r="H1399" i="5"/>
  <c r="G1399" i="5"/>
  <c r="F1399" i="5"/>
  <c r="L1399" i="5" s="1"/>
  <c r="E1399" i="5"/>
  <c r="D1399" i="5"/>
  <c r="C1399" i="5"/>
  <c r="B1399" i="5"/>
  <c r="J1398" i="5"/>
  <c r="I1398" i="5"/>
  <c r="H1398" i="5"/>
  <c r="G1398" i="5"/>
  <c r="F1398" i="5"/>
  <c r="L1398" i="5" s="1"/>
  <c r="E1398" i="5"/>
  <c r="D1398" i="5"/>
  <c r="C1398" i="5"/>
  <c r="B1398" i="5"/>
  <c r="J1397" i="5"/>
  <c r="I1397" i="5"/>
  <c r="H1397" i="5"/>
  <c r="G1397" i="5"/>
  <c r="F1397" i="5"/>
  <c r="L1397" i="5" s="1"/>
  <c r="E1397" i="5"/>
  <c r="D1397" i="5"/>
  <c r="C1397" i="5"/>
  <c r="B1397" i="5"/>
  <c r="L1396" i="5"/>
  <c r="J1396" i="5"/>
  <c r="I1396" i="5"/>
  <c r="H1396" i="5"/>
  <c r="G1396" i="5"/>
  <c r="F1396" i="5"/>
  <c r="E1396" i="5"/>
  <c r="D1396" i="5"/>
  <c r="C1396" i="5"/>
  <c r="B1396" i="5"/>
  <c r="J1395" i="5"/>
  <c r="I1395" i="5"/>
  <c r="H1395" i="5"/>
  <c r="G1395" i="5"/>
  <c r="F1395" i="5"/>
  <c r="L1395" i="5" s="1"/>
  <c r="E1395" i="5"/>
  <c r="D1395" i="5"/>
  <c r="C1395" i="5"/>
  <c r="B1395" i="5"/>
  <c r="J1394" i="5"/>
  <c r="I1394" i="5"/>
  <c r="H1394" i="5"/>
  <c r="G1394" i="5"/>
  <c r="F1394" i="5"/>
  <c r="L1394" i="5" s="1"/>
  <c r="E1394" i="5"/>
  <c r="D1394" i="5"/>
  <c r="C1394" i="5"/>
  <c r="B1394" i="5"/>
  <c r="J1393" i="5"/>
  <c r="I1393" i="5"/>
  <c r="H1393" i="5"/>
  <c r="G1393" i="5"/>
  <c r="F1393" i="5"/>
  <c r="L1393" i="5" s="1"/>
  <c r="E1393" i="5"/>
  <c r="D1393" i="5"/>
  <c r="C1393" i="5"/>
  <c r="B1393" i="5"/>
  <c r="L1392" i="5"/>
  <c r="J1392" i="5"/>
  <c r="I1392" i="5"/>
  <c r="H1392" i="5"/>
  <c r="G1392" i="5"/>
  <c r="F1392" i="5"/>
  <c r="E1392" i="5"/>
  <c r="D1392" i="5"/>
  <c r="C1392" i="5"/>
  <c r="B1392" i="5"/>
  <c r="J1391" i="5"/>
  <c r="I1391" i="5"/>
  <c r="H1391" i="5"/>
  <c r="G1391" i="5"/>
  <c r="F1391" i="5"/>
  <c r="L1391" i="5" s="1"/>
  <c r="E1391" i="5"/>
  <c r="D1391" i="5"/>
  <c r="C1391" i="5"/>
  <c r="B1391" i="5"/>
  <c r="J1390" i="5"/>
  <c r="I1390" i="5"/>
  <c r="H1390" i="5"/>
  <c r="G1390" i="5"/>
  <c r="F1390" i="5"/>
  <c r="L1390" i="5" s="1"/>
  <c r="E1390" i="5"/>
  <c r="D1390" i="5"/>
  <c r="C1390" i="5"/>
  <c r="B1390" i="5"/>
  <c r="J1389" i="5"/>
  <c r="I1389" i="5"/>
  <c r="H1389" i="5"/>
  <c r="G1389" i="5"/>
  <c r="F1389" i="5"/>
  <c r="L1389" i="5" s="1"/>
  <c r="E1389" i="5"/>
  <c r="D1389" i="5"/>
  <c r="C1389" i="5"/>
  <c r="B1389" i="5"/>
  <c r="L1388" i="5"/>
  <c r="J1388" i="5"/>
  <c r="I1388" i="5"/>
  <c r="H1388" i="5"/>
  <c r="G1388" i="5"/>
  <c r="F1388" i="5"/>
  <c r="E1388" i="5"/>
  <c r="D1388" i="5"/>
  <c r="C1388" i="5"/>
  <c r="B1388" i="5"/>
  <c r="J1387" i="5"/>
  <c r="I1387" i="5"/>
  <c r="H1387" i="5"/>
  <c r="G1387" i="5"/>
  <c r="F1387" i="5"/>
  <c r="L1387" i="5" s="1"/>
  <c r="E1387" i="5"/>
  <c r="D1387" i="5"/>
  <c r="C1387" i="5"/>
  <c r="B1387" i="5"/>
  <c r="J1386" i="5"/>
  <c r="I1386" i="5"/>
  <c r="H1386" i="5"/>
  <c r="G1386" i="5"/>
  <c r="F1386" i="5"/>
  <c r="L1386" i="5" s="1"/>
  <c r="E1386" i="5"/>
  <c r="D1386" i="5"/>
  <c r="C1386" i="5"/>
  <c r="B1386" i="5"/>
  <c r="J1385" i="5"/>
  <c r="I1385" i="5"/>
  <c r="H1385" i="5"/>
  <c r="G1385" i="5"/>
  <c r="F1385" i="5"/>
  <c r="L1385" i="5" s="1"/>
  <c r="E1385" i="5"/>
  <c r="D1385" i="5"/>
  <c r="C1385" i="5"/>
  <c r="B1385" i="5"/>
  <c r="L1384" i="5"/>
  <c r="J1384" i="5"/>
  <c r="I1384" i="5"/>
  <c r="H1384" i="5"/>
  <c r="G1384" i="5"/>
  <c r="F1384" i="5"/>
  <c r="E1384" i="5"/>
  <c r="D1384" i="5"/>
  <c r="C1384" i="5"/>
  <c r="B1384" i="5"/>
  <c r="J1383" i="5"/>
  <c r="I1383" i="5"/>
  <c r="H1383" i="5"/>
  <c r="G1383" i="5"/>
  <c r="F1383" i="5"/>
  <c r="L1383" i="5" s="1"/>
  <c r="E1383" i="5"/>
  <c r="D1383" i="5"/>
  <c r="C1383" i="5"/>
  <c r="B1383" i="5"/>
  <c r="J1382" i="5"/>
  <c r="I1382" i="5"/>
  <c r="H1382" i="5"/>
  <c r="G1382" i="5"/>
  <c r="F1382" i="5"/>
  <c r="L1382" i="5" s="1"/>
  <c r="E1382" i="5"/>
  <c r="D1382" i="5"/>
  <c r="C1382" i="5"/>
  <c r="B1382" i="5"/>
  <c r="J1381" i="5"/>
  <c r="I1381" i="5"/>
  <c r="H1381" i="5"/>
  <c r="G1381" i="5"/>
  <c r="F1381" i="5"/>
  <c r="L1381" i="5" s="1"/>
  <c r="E1381" i="5"/>
  <c r="D1381" i="5"/>
  <c r="C1381" i="5"/>
  <c r="B1381" i="5"/>
  <c r="L1380" i="5"/>
  <c r="J1380" i="5"/>
  <c r="I1380" i="5"/>
  <c r="H1380" i="5"/>
  <c r="G1380" i="5"/>
  <c r="F1380" i="5"/>
  <c r="E1380" i="5"/>
  <c r="D1380" i="5"/>
  <c r="C1380" i="5"/>
  <c r="B1380" i="5"/>
  <c r="J1379" i="5"/>
  <c r="I1379" i="5"/>
  <c r="H1379" i="5"/>
  <c r="G1379" i="5"/>
  <c r="F1379" i="5"/>
  <c r="L1379" i="5" s="1"/>
  <c r="E1379" i="5"/>
  <c r="D1379" i="5"/>
  <c r="C1379" i="5"/>
  <c r="B1379" i="5"/>
  <c r="J1378" i="5"/>
  <c r="I1378" i="5"/>
  <c r="H1378" i="5"/>
  <c r="G1378" i="5"/>
  <c r="F1378" i="5"/>
  <c r="L1378" i="5" s="1"/>
  <c r="E1378" i="5"/>
  <c r="D1378" i="5"/>
  <c r="C1378" i="5"/>
  <c r="B1378" i="5"/>
  <c r="J1377" i="5"/>
  <c r="I1377" i="5"/>
  <c r="H1377" i="5"/>
  <c r="G1377" i="5"/>
  <c r="F1377" i="5"/>
  <c r="L1377" i="5" s="1"/>
  <c r="E1377" i="5"/>
  <c r="D1377" i="5"/>
  <c r="C1377" i="5"/>
  <c r="B1377" i="5"/>
  <c r="L1376" i="5"/>
  <c r="J1376" i="5"/>
  <c r="I1376" i="5"/>
  <c r="H1376" i="5"/>
  <c r="G1376" i="5"/>
  <c r="F1376" i="5"/>
  <c r="E1376" i="5"/>
  <c r="D1376" i="5"/>
  <c r="C1376" i="5"/>
  <c r="B1376" i="5"/>
  <c r="J1375" i="5"/>
  <c r="I1375" i="5"/>
  <c r="H1375" i="5"/>
  <c r="G1375" i="5"/>
  <c r="F1375" i="5"/>
  <c r="L1375" i="5" s="1"/>
  <c r="E1375" i="5"/>
  <c r="D1375" i="5"/>
  <c r="C1375" i="5"/>
  <c r="B1375" i="5"/>
  <c r="J1374" i="5"/>
  <c r="I1374" i="5"/>
  <c r="H1374" i="5"/>
  <c r="G1374" i="5"/>
  <c r="F1374" i="5"/>
  <c r="L1374" i="5" s="1"/>
  <c r="E1374" i="5"/>
  <c r="D1374" i="5"/>
  <c r="C1374" i="5"/>
  <c r="B1374" i="5"/>
  <c r="J1373" i="5"/>
  <c r="I1373" i="5"/>
  <c r="H1373" i="5"/>
  <c r="G1373" i="5"/>
  <c r="F1373" i="5"/>
  <c r="L1373" i="5" s="1"/>
  <c r="E1373" i="5"/>
  <c r="D1373" i="5"/>
  <c r="C1373" i="5"/>
  <c r="B1373" i="5"/>
  <c r="L1372" i="5"/>
  <c r="J1372" i="5"/>
  <c r="I1372" i="5"/>
  <c r="H1372" i="5"/>
  <c r="G1372" i="5"/>
  <c r="F1372" i="5"/>
  <c r="E1372" i="5"/>
  <c r="D1372" i="5"/>
  <c r="C1372" i="5"/>
  <c r="B1372" i="5"/>
  <c r="J1371" i="5"/>
  <c r="I1371" i="5"/>
  <c r="H1371" i="5"/>
  <c r="G1371" i="5"/>
  <c r="F1371" i="5"/>
  <c r="L1371" i="5" s="1"/>
  <c r="E1371" i="5"/>
  <c r="D1371" i="5"/>
  <c r="C1371" i="5"/>
  <c r="B1371" i="5"/>
  <c r="J1370" i="5"/>
  <c r="I1370" i="5"/>
  <c r="H1370" i="5"/>
  <c r="G1370" i="5"/>
  <c r="F1370" i="5"/>
  <c r="L1370" i="5" s="1"/>
  <c r="E1370" i="5"/>
  <c r="D1370" i="5"/>
  <c r="C1370" i="5"/>
  <c r="B1370" i="5"/>
  <c r="J1369" i="5"/>
  <c r="I1369" i="5"/>
  <c r="H1369" i="5"/>
  <c r="G1369" i="5"/>
  <c r="F1369" i="5"/>
  <c r="L1369" i="5" s="1"/>
  <c r="E1369" i="5"/>
  <c r="D1369" i="5"/>
  <c r="C1369" i="5"/>
  <c r="B1369" i="5"/>
  <c r="L1368" i="5"/>
  <c r="J1368" i="5"/>
  <c r="I1368" i="5"/>
  <c r="H1368" i="5"/>
  <c r="G1368" i="5"/>
  <c r="F1368" i="5"/>
  <c r="E1368" i="5"/>
  <c r="D1368" i="5"/>
  <c r="C1368" i="5"/>
  <c r="B1368" i="5"/>
  <c r="J1367" i="5"/>
  <c r="I1367" i="5"/>
  <c r="H1367" i="5"/>
  <c r="G1367" i="5"/>
  <c r="F1367" i="5"/>
  <c r="L1367" i="5" s="1"/>
  <c r="E1367" i="5"/>
  <c r="D1367" i="5"/>
  <c r="C1367" i="5"/>
  <c r="B1367" i="5"/>
  <c r="J1366" i="5"/>
  <c r="I1366" i="5"/>
  <c r="H1366" i="5"/>
  <c r="G1366" i="5"/>
  <c r="F1366" i="5"/>
  <c r="L1366" i="5" s="1"/>
  <c r="E1366" i="5"/>
  <c r="D1366" i="5"/>
  <c r="C1366" i="5"/>
  <c r="B1366" i="5"/>
  <c r="J1365" i="5"/>
  <c r="I1365" i="5"/>
  <c r="H1365" i="5"/>
  <c r="G1365" i="5"/>
  <c r="F1365" i="5"/>
  <c r="L1365" i="5" s="1"/>
  <c r="E1365" i="5"/>
  <c r="D1365" i="5"/>
  <c r="C1365" i="5"/>
  <c r="B1365" i="5"/>
  <c r="L1364" i="5"/>
  <c r="J1364" i="5"/>
  <c r="I1364" i="5"/>
  <c r="H1364" i="5"/>
  <c r="G1364" i="5"/>
  <c r="F1364" i="5"/>
  <c r="E1364" i="5"/>
  <c r="D1364" i="5"/>
  <c r="C1364" i="5"/>
  <c r="B1364" i="5"/>
  <c r="J1363" i="5"/>
  <c r="I1363" i="5"/>
  <c r="H1363" i="5"/>
  <c r="G1363" i="5"/>
  <c r="F1363" i="5"/>
  <c r="L1363" i="5" s="1"/>
  <c r="E1363" i="5"/>
  <c r="D1363" i="5"/>
  <c r="C1363" i="5"/>
  <c r="B1363" i="5"/>
  <c r="J1362" i="5"/>
  <c r="I1362" i="5"/>
  <c r="H1362" i="5"/>
  <c r="G1362" i="5"/>
  <c r="F1362" i="5"/>
  <c r="L1362" i="5" s="1"/>
  <c r="E1362" i="5"/>
  <c r="D1362" i="5"/>
  <c r="C1362" i="5"/>
  <c r="B1362" i="5"/>
  <c r="J1361" i="5"/>
  <c r="I1361" i="5"/>
  <c r="H1361" i="5"/>
  <c r="G1361" i="5"/>
  <c r="F1361" i="5"/>
  <c r="L1361" i="5" s="1"/>
  <c r="E1361" i="5"/>
  <c r="D1361" i="5"/>
  <c r="C1361" i="5"/>
  <c r="B1361" i="5"/>
  <c r="L1360" i="5"/>
  <c r="J1360" i="5"/>
  <c r="I1360" i="5"/>
  <c r="H1360" i="5"/>
  <c r="G1360" i="5"/>
  <c r="F1360" i="5"/>
  <c r="E1360" i="5"/>
  <c r="D1360" i="5"/>
  <c r="C1360" i="5"/>
  <c r="B1360" i="5"/>
  <c r="J1359" i="5"/>
  <c r="I1359" i="5"/>
  <c r="H1359" i="5"/>
  <c r="G1359" i="5"/>
  <c r="F1359" i="5"/>
  <c r="L1359" i="5" s="1"/>
  <c r="E1359" i="5"/>
  <c r="D1359" i="5"/>
  <c r="C1359" i="5"/>
  <c r="B1359" i="5"/>
  <c r="J1358" i="5"/>
  <c r="I1358" i="5"/>
  <c r="H1358" i="5"/>
  <c r="G1358" i="5"/>
  <c r="F1358" i="5"/>
  <c r="L1358" i="5" s="1"/>
  <c r="E1358" i="5"/>
  <c r="D1358" i="5"/>
  <c r="C1358" i="5"/>
  <c r="B1358" i="5"/>
  <c r="J1357" i="5"/>
  <c r="I1357" i="5"/>
  <c r="H1357" i="5"/>
  <c r="G1357" i="5"/>
  <c r="F1357" i="5"/>
  <c r="L1357" i="5" s="1"/>
  <c r="E1357" i="5"/>
  <c r="D1357" i="5"/>
  <c r="C1357" i="5"/>
  <c r="B1357" i="5"/>
  <c r="L1356" i="5"/>
  <c r="J1356" i="5"/>
  <c r="I1356" i="5"/>
  <c r="H1356" i="5"/>
  <c r="G1356" i="5"/>
  <c r="F1356" i="5"/>
  <c r="E1356" i="5"/>
  <c r="D1356" i="5"/>
  <c r="C1356" i="5"/>
  <c r="B1356" i="5"/>
  <c r="J1355" i="5"/>
  <c r="I1355" i="5"/>
  <c r="H1355" i="5"/>
  <c r="G1355" i="5"/>
  <c r="F1355" i="5"/>
  <c r="L1355" i="5" s="1"/>
  <c r="E1355" i="5"/>
  <c r="D1355" i="5"/>
  <c r="C1355" i="5"/>
  <c r="B1355" i="5"/>
  <c r="J1354" i="5"/>
  <c r="I1354" i="5"/>
  <c r="H1354" i="5"/>
  <c r="G1354" i="5"/>
  <c r="F1354" i="5"/>
  <c r="L1354" i="5" s="1"/>
  <c r="E1354" i="5"/>
  <c r="D1354" i="5"/>
  <c r="C1354" i="5"/>
  <c r="B1354" i="5"/>
  <c r="J1353" i="5"/>
  <c r="I1353" i="5"/>
  <c r="H1353" i="5"/>
  <c r="G1353" i="5"/>
  <c r="F1353" i="5"/>
  <c r="L1353" i="5" s="1"/>
  <c r="E1353" i="5"/>
  <c r="D1353" i="5"/>
  <c r="C1353" i="5"/>
  <c r="B1353" i="5"/>
  <c r="L1352" i="5"/>
  <c r="J1352" i="5"/>
  <c r="I1352" i="5"/>
  <c r="H1352" i="5"/>
  <c r="G1352" i="5"/>
  <c r="F1352" i="5"/>
  <c r="E1352" i="5"/>
  <c r="D1352" i="5"/>
  <c r="C1352" i="5"/>
  <c r="B1352" i="5"/>
  <c r="J1351" i="5"/>
  <c r="I1351" i="5"/>
  <c r="H1351" i="5"/>
  <c r="G1351" i="5"/>
  <c r="F1351" i="5"/>
  <c r="L1351" i="5" s="1"/>
  <c r="E1351" i="5"/>
  <c r="D1351" i="5"/>
  <c r="C1351" i="5"/>
  <c r="B1351" i="5"/>
  <c r="J1350" i="5"/>
  <c r="I1350" i="5"/>
  <c r="H1350" i="5"/>
  <c r="G1350" i="5"/>
  <c r="F1350" i="5"/>
  <c r="L1350" i="5" s="1"/>
  <c r="E1350" i="5"/>
  <c r="D1350" i="5"/>
  <c r="C1350" i="5"/>
  <c r="B1350" i="5"/>
  <c r="J1349" i="5"/>
  <c r="I1349" i="5"/>
  <c r="H1349" i="5"/>
  <c r="G1349" i="5"/>
  <c r="F1349" i="5"/>
  <c r="L1349" i="5" s="1"/>
  <c r="E1349" i="5"/>
  <c r="D1349" i="5"/>
  <c r="C1349" i="5"/>
  <c r="B1349" i="5"/>
  <c r="L1348" i="5"/>
  <c r="J1348" i="5"/>
  <c r="I1348" i="5"/>
  <c r="H1348" i="5"/>
  <c r="G1348" i="5"/>
  <c r="F1348" i="5"/>
  <c r="E1348" i="5"/>
  <c r="D1348" i="5"/>
  <c r="C1348" i="5"/>
  <c r="B1348" i="5"/>
  <c r="J1347" i="5"/>
  <c r="I1347" i="5"/>
  <c r="H1347" i="5"/>
  <c r="G1347" i="5"/>
  <c r="F1347" i="5"/>
  <c r="L1347" i="5" s="1"/>
  <c r="E1347" i="5"/>
  <c r="D1347" i="5"/>
  <c r="C1347" i="5"/>
  <c r="B1347" i="5"/>
  <c r="J1346" i="5"/>
  <c r="I1346" i="5"/>
  <c r="H1346" i="5"/>
  <c r="G1346" i="5"/>
  <c r="F1346" i="5"/>
  <c r="L1346" i="5" s="1"/>
  <c r="E1346" i="5"/>
  <c r="D1346" i="5"/>
  <c r="C1346" i="5"/>
  <c r="B1346" i="5"/>
  <c r="J1345" i="5"/>
  <c r="I1345" i="5"/>
  <c r="H1345" i="5"/>
  <c r="G1345" i="5"/>
  <c r="F1345" i="5"/>
  <c r="L1345" i="5" s="1"/>
  <c r="E1345" i="5"/>
  <c r="D1345" i="5"/>
  <c r="C1345" i="5"/>
  <c r="B1345" i="5"/>
  <c r="L1344" i="5"/>
  <c r="J1344" i="5"/>
  <c r="I1344" i="5"/>
  <c r="H1344" i="5"/>
  <c r="G1344" i="5"/>
  <c r="F1344" i="5"/>
  <c r="E1344" i="5"/>
  <c r="D1344" i="5"/>
  <c r="C1344" i="5"/>
  <c r="B1344" i="5"/>
  <c r="J1343" i="5"/>
  <c r="I1343" i="5"/>
  <c r="H1343" i="5"/>
  <c r="G1343" i="5"/>
  <c r="F1343" i="5"/>
  <c r="L1343" i="5" s="1"/>
  <c r="E1343" i="5"/>
  <c r="D1343" i="5"/>
  <c r="C1343" i="5"/>
  <c r="B1343" i="5"/>
  <c r="J1342" i="5"/>
  <c r="I1342" i="5"/>
  <c r="H1342" i="5"/>
  <c r="G1342" i="5"/>
  <c r="F1342" i="5"/>
  <c r="L1342" i="5" s="1"/>
  <c r="E1342" i="5"/>
  <c r="D1342" i="5"/>
  <c r="C1342" i="5"/>
  <c r="B1342" i="5"/>
  <c r="J1341" i="5"/>
  <c r="I1341" i="5"/>
  <c r="H1341" i="5"/>
  <c r="G1341" i="5"/>
  <c r="F1341" i="5"/>
  <c r="L1341" i="5" s="1"/>
  <c r="E1341" i="5"/>
  <c r="D1341" i="5"/>
  <c r="C1341" i="5"/>
  <c r="B1341" i="5"/>
  <c r="L1340" i="5"/>
  <c r="J1340" i="5"/>
  <c r="I1340" i="5"/>
  <c r="H1340" i="5"/>
  <c r="G1340" i="5"/>
  <c r="F1340" i="5"/>
  <c r="E1340" i="5"/>
  <c r="D1340" i="5"/>
  <c r="C1340" i="5"/>
  <c r="B1340" i="5"/>
  <c r="J1339" i="5"/>
  <c r="I1339" i="5"/>
  <c r="H1339" i="5"/>
  <c r="G1339" i="5"/>
  <c r="F1339" i="5"/>
  <c r="L1339" i="5" s="1"/>
  <c r="E1339" i="5"/>
  <c r="D1339" i="5"/>
  <c r="C1339" i="5"/>
  <c r="B1339" i="5"/>
  <c r="J1338" i="5"/>
  <c r="I1338" i="5"/>
  <c r="H1338" i="5"/>
  <c r="G1338" i="5"/>
  <c r="F1338" i="5"/>
  <c r="L1338" i="5" s="1"/>
  <c r="E1338" i="5"/>
  <c r="D1338" i="5"/>
  <c r="C1338" i="5"/>
  <c r="B1338" i="5"/>
  <c r="J1337" i="5"/>
  <c r="I1337" i="5"/>
  <c r="H1337" i="5"/>
  <c r="G1337" i="5"/>
  <c r="F1337" i="5"/>
  <c r="L1337" i="5" s="1"/>
  <c r="E1337" i="5"/>
  <c r="D1337" i="5"/>
  <c r="C1337" i="5"/>
  <c r="B1337" i="5"/>
  <c r="L1336" i="5"/>
  <c r="J1336" i="5"/>
  <c r="I1336" i="5"/>
  <c r="H1336" i="5"/>
  <c r="G1336" i="5"/>
  <c r="F1336" i="5"/>
  <c r="E1336" i="5"/>
  <c r="D1336" i="5"/>
  <c r="C1336" i="5"/>
  <c r="B1336" i="5"/>
  <c r="J1335" i="5"/>
  <c r="I1335" i="5"/>
  <c r="H1335" i="5"/>
  <c r="G1335" i="5"/>
  <c r="F1335" i="5"/>
  <c r="L1335" i="5" s="1"/>
  <c r="E1335" i="5"/>
  <c r="D1335" i="5"/>
  <c r="C1335" i="5"/>
  <c r="B1335" i="5"/>
  <c r="J1334" i="5"/>
  <c r="I1334" i="5"/>
  <c r="H1334" i="5"/>
  <c r="G1334" i="5"/>
  <c r="F1334" i="5"/>
  <c r="L1334" i="5" s="1"/>
  <c r="E1334" i="5"/>
  <c r="D1334" i="5"/>
  <c r="C1334" i="5"/>
  <c r="B1334" i="5"/>
  <c r="J1333" i="5"/>
  <c r="I1333" i="5"/>
  <c r="H1333" i="5"/>
  <c r="G1333" i="5"/>
  <c r="F1333" i="5"/>
  <c r="L1333" i="5" s="1"/>
  <c r="E1333" i="5"/>
  <c r="D1333" i="5"/>
  <c r="C1333" i="5"/>
  <c r="B1333" i="5"/>
  <c r="L1332" i="5"/>
  <c r="J1332" i="5"/>
  <c r="I1332" i="5"/>
  <c r="H1332" i="5"/>
  <c r="G1332" i="5"/>
  <c r="F1332" i="5"/>
  <c r="E1332" i="5"/>
  <c r="D1332" i="5"/>
  <c r="C1332" i="5"/>
  <c r="B1332" i="5"/>
  <c r="J1331" i="5"/>
  <c r="I1331" i="5"/>
  <c r="H1331" i="5"/>
  <c r="G1331" i="5"/>
  <c r="F1331" i="5"/>
  <c r="L1331" i="5" s="1"/>
  <c r="E1331" i="5"/>
  <c r="D1331" i="5"/>
  <c r="C1331" i="5"/>
  <c r="B1331" i="5"/>
  <c r="J1330" i="5"/>
  <c r="I1330" i="5"/>
  <c r="H1330" i="5"/>
  <c r="G1330" i="5"/>
  <c r="F1330" i="5"/>
  <c r="L1330" i="5" s="1"/>
  <c r="E1330" i="5"/>
  <c r="D1330" i="5"/>
  <c r="C1330" i="5"/>
  <c r="B1330" i="5"/>
  <c r="J1329" i="5"/>
  <c r="I1329" i="5"/>
  <c r="H1329" i="5"/>
  <c r="G1329" i="5"/>
  <c r="F1329" i="5"/>
  <c r="L1329" i="5" s="1"/>
  <c r="E1329" i="5"/>
  <c r="D1329" i="5"/>
  <c r="C1329" i="5"/>
  <c r="B1329" i="5"/>
  <c r="L1328" i="5"/>
  <c r="J1328" i="5"/>
  <c r="I1328" i="5"/>
  <c r="H1328" i="5"/>
  <c r="G1328" i="5"/>
  <c r="F1328" i="5"/>
  <c r="E1328" i="5"/>
  <c r="D1328" i="5"/>
  <c r="C1328" i="5"/>
  <c r="B1328" i="5"/>
  <c r="J1327" i="5"/>
  <c r="I1327" i="5"/>
  <c r="H1327" i="5"/>
  <c r="G1327" i="5"/>
  <c r="F1327" i="5"/>
  <c r="L1327" i="5" s="1"/>
  <c r="E1327" i="5"/>
  <c r="D1327" i="5"/>
  <c r="C1327" i="5"/>
  <c r="B1327" i="5"/>
  <c r="J1326" i="5"/>
  <c r="I1326" i="5"/>
  <c r="H1326" i="5"/>
  <c r="G1326" i="5"/>
  <c r="F1326" i="5"/>
  <c r="L1326" i="5" s="1"/>
  <c r="E1326" i="5"/>
  <c r="D1326" i="5"/>
  <c r="C1326" i="5"/>
  <c r="B1326" i="5"/>
  <c r="J1325" i="5"/>
  <c r="I1325" i="5"/>
  <c r="H1325" i="5"/>
  <c r="G1325" i="5"/>
  <c r="F1325" i="5"/>
  <c r="L1325" i="5" s="1"/>
  <c r="E1325" i="5"/>
  <c r="D1325" i="5"/>
  <c r="C1325" i="5"/>
  <c r="B1325" i="5"/>
  <c r="L1324" i="5"/>
  <c r="J1324" i="5"/>
  <c r="I1324" i="5"/>
  <c r="H1324" i="5"/>
  <c r="G1324" i="5"/>
  <c r="F1324" i="5"/>
  <c r="E1324" i="5"/>
  <c r="D1324" i="5"/>
  <c r="C1324" i="5"/>
  <c r="B1324" i="5"/>
  <c r="J1323" i="5"/>
  <c r="I1323" i="5"/>
  <c r="H1323" i="5"/>
  <c r="G1323" i="5"/>
  <c r="F1323" i="5"/>
  <c r="L1323" i="5" s="1"/>
  <c r="E1323" i="5"/>
  <c r="D1323" i="5"/>
  <c r="C1323" i="5"/>
  <c r="B1323" i="5"/>
  <c r="J1322" i="5"/>
  <c r="I1322" i="5"/>
  <c r="H1322" i="5"/>
  <c r="G1322" i="5"/>
  <c r="F1322" i="5"/>
  <c r="L1322" i="5" s="1"/>
  <c r="E1322" i="5"/>
  <c r="D1322" i="5"/>
  <c r="C1322" i="5"/>
  <c r="B1322" i="5"/>
  <c r="J1321" i="5"/>
  <c r="I1321" i="5"/>
  <c r="H1321" i="5"/>
  <c r="G1321" i="5"/>
  <c r="F1321" i="5"/>
  <c r="L1321" i="5" s="1"/>
  <c r="E1321" i="5"/>
  <c r="D1321" i="5"/>
  <c r="C1321" i="5"/>
  <c r="B1321" i="5"/>
  <c r="L1320" i="5"/>
  <c r="J1320" i="5"/>
  <c r="I1320" i="5"/>
  <c r="H1320" i="5"/>
  <c r="G1320" i="5"/>
  <c r="F1320" i="5"/>
  <c r="E1320" i="5"/>
  <c r="D1320" i="5"/>
  <c r="C1320" i="5"/>
  <c r="B1320" i="5"/>
  <c r="J1319" i="5"/>
  <c r="I1319" i="5"/>
  <c r="H1319" i="5"/>
  <c r="G1319" i="5"/>
  <c r="F1319" i="5"/>
  <c r="L1319" i="5" s="1"/>
  <c r="E1319" i="5"/>
  <c r="D1319" i="5"/>
  <c r="C1319" i="5"/>
  <c r="B1319" i="5"/>
  <c r="J1318" i="5"/>
  <c r="I1318" i="5"/>
  <c r="H1318" i="5"/>
  <c r="G1318" i="5"/>
  <c r="F1318" i="5"/>
  <c r="L1318" i="5" s="1"/>
  <c r="E1318" i="5"/>
  <c r="D1318" i="5"/>
  <c r="C1318" i="5"/>
  <c r="B1318" i="5"/>
  <c r="J1317" i="5"/>
  <c r="I1317" i="5"/>
  <c r="H1317" i="5"/>
  <c r="G1317" i="5"/>
  <c r="F1317" i="5"/>
  <c r="L1317" i="5" s="1"/>
  <c r="E1317" i="5"/>
  <c r="D1317" i="5"/>
  <c r="C1317" i="5"/>
  <c r="B1317" i="5"/>
  <c r="L1316" i="5"/>
  <c r="J1316" i="5"/>
  <c r="I1316" i="5"/>
  <c r="H1316" i="5"/>
  <c r="G1316" i="5"/>
  <c r="F1316" i="5"/>
  <c r="E1316" i="5"/>
  <c r="D1316" i="5"/>
  <c r="C1316" i="5"/>
  <c r="B1316" i="5"/>
  <c r="J1315" i="5"/>
  <c r="I1315" i="5"/>
  <c r="H1315" i="5"/>
  <c r="G1315" i="5"/>
  <c r="F1315" i="5"/>
  <c r="L1315" i="5" s="1"/>
  <c r="E1315" i="5"/>
  <c r="D1315" i="5"/>
  <c r="C1315" i="5"/>
  <c r="B1315" i="5"/>
  <c r="J1314" i="5"/>
  <c r="I1314" i="5"/>
  <c r="H1314" i="5"/>
  <c r="G1314" i="5"/>
  <c r="F1314" i="5"/>
  <c r="L1314" i="5" s="1"/>
  <c r="E1314" i="5"/>
  <c r="D1314" i="5"/>
  <c r="C1314" i="5"/>
  <c r="B1314" i="5"/>
  <c r="J1313" i="5"/>
  <c r="I1313" i="5"/>
  <c r="H1313" i="5"/>
  <c r="G1313" i="5"/>
  <c r="F1313" i="5"/>
  <c r="L1313" i="5" s="1"/>
  <c r="E1313" i="5"/>
  <c r="D1313" i="5"/>
  <c r="C1313" i="5"/>
  <c r="B1313" i="5"/>
  <c r="L1312" i="5"/>
  <c r="J1312" i="5"/>
  <c r="I1312" i="5"/>
  <c r="H1312" i="5"/>
  <c r="G1312" i="5"/>
  <c r="F1312" i="5"/>
  <c r="E1312" i="5"/>
  <c r="D1312" i="5"/>
  <c r="C1312" i="5"/>
  <c r="B1312" i="5"/>
  <c r="J1311" i="5"/>
  <c r="I1311" i="5"/>
  <c r="H1311" i="5"/>
  <c r="G1311" i="5"/>
  <c r="F1311" i="5"/>
  <c r="L1311" i="5" s="1"/>
  <c r="E1311" i="5"/>
  <c r="D1311" i="5"/>
  <c r="C1311" i="5"/>
  <c r="B1311" i="5"/>
  <c r="J1310" i="5"/>
  <c r="I1310" i="5"/>
  <c r="H1310" i="5"/>
  <c r="G1310" i="5"/>
  <c r="F1310" i="5"/>
  <c r="L1310" i="5" s="1"/>
  <c r="E1310" i="5"/>
  <c r="D1310" i="5"/>
  <c r="C1310" i="5"/>
  <c r="B1310" i="5"/>
  <c r="J1309" i="5"/>
  <c r="I1309" i="5"/>
  <c r="H1309" i="5"/>
  <c r="G1309" i="5"/>
  <c r="F1309" i="5"/>
  <c r="L1309" i="5" s="1"/>
  <c r="E1309" i="5"/>
  <c r="D1309" i="5"/>
  <c r="C1309" i="5"/>
  <c r="B1309" i="5"/>
  <c r="L1308" i="5"/>
  <c r="J1308" i="5"/>
  <c r="I1308" i="5"/>
  <c r="H1308" i="5"/>
  <c r="G1308" i="5"/>
  <c r="F1308" i="5"/>
  <c r="E1308" i="5"/>
  <c r="D1308" i="5"/>
  <c r="C1308" i="5"/>
  <c r="B1308" i="5"/>
  <c r="J1307" i="5"/>
  <c r="I1307" i="5"/>
  <c r="H1307" i="5"/>
  <c r="G1307" i="5"/>
  <c r="F1307" i="5"/>
  <c r="L1307" i="5" s="1"/>
  <c r="E1307" i="5"/>
  <c r="D1307" i="5"/>
  <c r="C1307" i="5"/>
  <c r="B1307" i="5"/>
  <c r="J1306" i="5"/>
  <c r="I1306" i="5"/>
  <c r="H1306" i="5"/>
  <c r="G1306" i="5"/>
  <c r="F1306" i="5"/>
  <c r="L1306" i="5" s="1"/>
  <c r="E1306" i="5"/>
  <c r="D1306" i="5"/>
  <c r="C1306" i="5"/>
  <c r="B1306" i="5"/>
  <c r="J1305" i="5"/>
  <c r="I1305" i="5"/>
  <c r="H1305" i="5"/>
  <c r="G1305" i="5"/>
  <c r="F1305" i="5"/>
  <c r="L1305" i="5" s="1"/>
  <c r="E1305" i="5"/>
  <c r="D1305" i="5"/>
  <c r="C1305" i="5"/>
  <c r="B1305" i="5"/>
  <c r="L1304" i="5"/>
  <c r="J1304" i="5"/>
  <c r="I1304" i="5"/>
  <c r="H1304" i="5"/>
  <c r="G1304" i="5"/>
  <c r="F1304" i="5"/>
  <c r="E1304" i="5"/>
  <c r="D1304" i="5"/>
  <c r="C1304" i="5"/>
  <c r="B1304" i="5"/>
  <c r="J1303" i="5"/>
  <c r="I1303" i="5"/>
  <c r="H1303" i="5"/>
  <c r="G1303" i="5"/>
  <c r="F1303" i="5"/>
  <c r="L1303" i="5" s="1"/>
  <c r="E1303" i="5"/>
  <c r="D1303" i="5"/>
  <c r="C1303" i="5"/>
  <c r="B1303" i="5"/>
  <c r="J1302" i="5"/>
  <c r="I1302" i="5"/>
  <c r="H1302" i="5"/>
  <c r="G1302" i="5"/>
  <c r="F1302" i="5"/>
  <c r="L1302" i="5" s="1"/>
  <c r="E1302" i="5"/>
  <c r="D1302" i="5"/>
  <c r="C1302" i="5"/>
  <c r="B1302" i="5"/>
  <c r="J1301" i="5"/>
  <c r="I1301" i="5"/>
  <c r="H1301" i="5"/>
  <c r="G1301" i="5"/>
  <c r="F1301" i="5"/>
  <c r="L1301" i="5" s="1"/>
  <c r="E1301" i="5"/>
  <c r="D1301" i="5"/>
  <c r="C1301" i="5"/>
  <c r="B1301" i="5"/>
  <c r="L1300" i="5"/>
  <c r="J1300" i="5"/>
  <c r="I1300" i="5"/>
  <c r="H1300" i="5"/>
  <c r="G1300" i="5"/>
  <c r="F1300" i="5"/>
  <c r="E1300" i="5"/>
  <c r="D1300" i="5"/>
  <c r="C1300" i="5"/>
  <c r="B1300" i="5"/>
  <c r="J1299" i="5"/>
  <c r="I1299" i="5"/>
  <c r="H1299" i="5"/>
  <c r="G1299" i="5"/>
  <c r="F1299" i="5"/>
  <c r="L1299" i="5" s="1"/>
  <c r="E1299" i="5"/>
  <c r="D1299" i="5"/>
  <c r="C1299" i="5"/>
  <c r="B1299" i="5"/>
  <c r="J1298" i="5"/>
  <c r="I1298" i="5"/>
  <c r="H1298" i="5"/>
  <c r="G1298" i="5"/>
  <c r="F1298" i="5"/>
  <c r="L1298" i="5" s="1"/>
  <c r="E1298" i="5"/>
  <c r="D1298" i="5"/>
  <c r="C1298" i="5"/>
  <c r="B1298" i="5"/>
  <c r="J1297" i="5"/>
  <c r="I1297" i="5"/>
  <c r="H1297" i="5"/>
  <c r="G1297" i="5"/>
  <c r="F1297" i="5"/>
  <c r="L1297" i="5" s="1"/>
  <c r="E1297" i="5"/>
  <c r="D1297" i="5"/>
  <c r="C1297" i="5"/>
  <c r="B1297" i="5"/>
  <c r="L1296" i="5"/>
  <c r="J1296" i="5"/>
  <c r="I1296" i="5"/>
  <c r="H1296" i="5"/>
  <c r="G1296" i="5"/>
  <c r="F1296" i="5"/>
  <c r="E1296" i="5"/>
  <c r="D1296" i="5"/>
  <c r="C1296" i="5"/>
  <c r="B1296" i="5"/>
  <c r="J1295" i="5"/>
  <c r="I1295" i="5"/>
  <c r="H1295" i="5"/>
  <c r="G1295" i="5"/>
  <c r="F1295" i="5"/>
  <c r="L1295" i="5" s="1"/>
  <c r="E1295" i="5"/>
  <c r="D1295" i="5"/>
  <c r="C1295" i="5"/>
  <c r="B1295" i="5"/>
  <c r="J1294" i="5"/>
  <c r="I1294" i="5"/>
  <c r="H1294" i="5"/>
  <c r="G1294" i="5"/>
  <c r="F1294" i="5"/>
  <c r="L1294" i="5" s="1"/>
  <c r="E1294" i="5"/>
  <c r="D1294" i="5"/>
  <c r="C1294" i="5"/>
  <c r="B1294" i="5"/>
  <c r="J1293" i="5"/>
  <c r="I1293" i="5"/>
  <c r="H1293" i="5"/>
  <c r="G1293" i="5"/>
  <c r="F1293" i="5"/>
  <c r="L1293" i="5" s="1"/>
  <c r="E1293" i="5"/>
  <c r="D1293" i="5"/>
  <c r="C1293" i="5"/>
  <c r="B1293" i="5"/>
  <c r="L1292" i="5"/>
  <c r="J1292" i="5"/>
  <c r="I1292" i="5"/>
  <c r="H1292" i="5"/>
  <c r="G1292" i="5"/>
  <c r="F1292" i="5"/>
  <c r="E1292" i="5"/>
  <c r="D1292" i="5"/>
  <c r="C1292" i="5"/>
  <c r="B1292" i="5"/>
  <c r="J1291" i="5"/>
  <c r="I1291" i="5"/>
  <c r="H1291" i="5"/>
  <c r="G1291" i="5"/>
  <c r="F1291" i="5"/>
  <c r="L1291" i="5" s="1"/>
  <c r="E1291" i="5"/>
  <c r="D1291" i="5"/>
  <c r="C1291" i="5"/>
  <c r="B1291" i="5"/>
  <c r="J1290" i="5"/>
  <c r="I1290" i="5"/>
  <c r="H1290" i="5"/>
  <c r="G1290" i="5"/>
  <c r="F1290" i="5"/>
  <c r="L1290" i="5" s="1"/>
  <c r="E1290" i="5"/>
  <c r="D1290" i="5"/>
  <c r="C1290" i="5"/>
  <c r="B1290" i="5"/>
  <c r="J1289" i="5"/>
  <c r="I1289" i="5"/>
  <c r="H1289" i="5"/>
  <c r="G1289" i="5"/>
  <c r="F1289" i="5"/>
  <c r="L1289" i="5" s="1"/>
  <c r="E1289" i="5"/>
  <c r="D1289" i="5"/>
  <c r="C1289" i="5"/>
  <c r="B1289" i="5"/>
  <c r="L1288" i="5"/>
  <c r="J1288" i="5"/>
  <c r="I1288" i="5"/>
  <c r="H1288" i="5"/>
  <c r="G1288" i="5"/>
  <c r="F1288" i="5"/>
  <c r="E1288" i="5"/>
  <c r="D1288" i="5"/>
  <c r="C1288" i="5"/>
  <c r="B1288" i="5"/>
  <c r="J1287" i="5"/>
  <c r="I1287" i="5"/>
  <c r="H1287" i="5"/>
  <c r="G1287" i="5"/>
  <c r="F1287" i="5"/>
  <c r="L1287" i="5" s="1"/>
  <c r="E1287" i="5"/>
  <c r="D1287" i="5"/>
  <c r="C1287" i="5"/>
  <c r="B1287" i="5"/>
  <c r="J1286" i="5"/>
  <c r="I1286" i="5"/>
  <c r="H1286" i="5"/>
  <c r="G1286" i="5"/>
  <c r="F1286" i="5"/>
  <c r="L1286" i="5" s="1"/>
  <c r="E1286" i="5"/>
  <c r="D1286" i="5"/>
  <c r="C1286" i="5"/>
  <c r="B1286" i="5"/>
  <c r="J1285" i="5"/>
  <c r="I1285" i="5"/>
  <c r="H1285" i="5"/>
  <c r="G1285" i="5"/>
  <c r="F1285" i="5"/>
  <c r="L1285" i="5" s="1"/>
  <c r="E1285" i="5"/>
  <c r="D1285" i="5"/>
  <c r="C1285" i="5"/>
  <c r="B1285" i="5"/>
  <c r="L1284" i="5"/>
  <c r="J1284" i="5"/>
  <c r="I1284" i="5"/>
  <c r="H1284" i="5"/>
  <c r="G1284" i="5"/>
  <c r="F1284" i="5"/>
  <c r="E1284" i="5"/>
  <c r="D1284" i="5"/>
  <c r="C1284" i="5"/>
  <c r="B1284" i="5"/>
  <c r="J1283" i="5"/>
  <c r="I1283" i="5"/>
  <c r="H1283" i="5"/>
  <c r="G1283" i="5"/>
  <c r="F1283" i="5"/>
  <c r="L1283" i="5" s="1"/>
  <c r="E1283" i="5"/>
  <c r="D1283" i="5"/>
  <c r="C1283" i="5"/>
  <c r="B1283" i="5"/>
  <c r="J1282" i="5"/>
  <c r="I1282" i="5"/>
  <c r="H1282" i="5"/>
  <c r="G1282" i="5"/>
  <c r="F1282" i="5"/>
  <c r="L1282" i="5" s="1"/>
  <c r="E1282" i="5"/>
  <c r="D1282" i="5"/>
  <c r="C1282" i="5"/>
  <c r="B1282" i="5"/>
  <c r="J1281" i="5"/>
  <c r="I1281" i="5"/>
  <c r="H1281" i="5"/>
  <c r="G1281" i="5"/>
  <c r="F1281" i="5"/>
  <c r="L1281" i="5" s="1"/>
  <c r="E1281" i="5"/>
  <c r="D1281" i="5"/>
  <c r="C1281" i="5"/>
  <c r="B1281" i="5"/>
  <c r="L1280" i="5"/>
  <c r="J1280" i="5"/>
  <c r="I1280" i="5"/>
  <c r="H1280" i="5"/>
  <c r="G1280" i="5"/>
  <c r="F1280" i="5"/>
  <c r="E1280" i="5"/>
  <c r="D1280" i="5"/>
  <c r="C1280" i="5"/>
  <c r="B1280" i="5"/>
  <c r="J1279" i="5"/>
  <c r="I1279" i="5"/>
  <c r="H1279" i="5"/>
  <c r="G1279" i="5"/>
  <c r="F1279" i="5"/>
  <c r="L1279" i="5" s="1"/>
  <c r="E1279" i="5"/>
  <c r="D1279" i="5"/>
  <c r="C1279" i="5"/>
  <c r="B1279" i="5"/>
  <c r="J1278" i="5"/>
  <c r="I1278" i="5"/>
  <c r="H1278" i="5"/>
  <c r="G1278" i="5"/>
  <c r="F1278" i="5"/>
  <c r="L1278" i="5" s="1"/>
  <c r="E1278" i="5"/>
  <c r="D1278" i="5"/>
  <c r="C1278" i="5"/>
  <c r="B1278" i="5"/>
  <c r="J1277" i="5"/>
  <c r="I1277" i="5"/>
  <c r="H1277" i="5"/>
  <c r="G1277" i="5"/>
  <c r="F1277" i="5"/>
  <c r="L1277" i="5" s="1"/>
  <c r="E1277" i="5"/>
  <c r="D1277" i="5"/>
  <c r="C1277" i="5"/>
  <c r="B1277" i="5"/>
  <c r="L1276" i="5"/>
  <c r="J1276" i="5"/>
  <c r="I1276" i="5"/>
  <c r="H1276" i="5"/>
  <c r="G1276" i="5"/>
  <c r="F1276" i="5"/>
  <c r="E1276" i="5"/>
  <c r="D1276" i="5"/>
  <c r="C1276" i="5"/>
  <c r="B1276" i="5"/>
  <c r="J1275" i="5"/>
  <c r="I1275" i="5"/>
  <c r="H1275" i="5"/>
  <c r="G1275" i="5"/>
  <c r="F1275" i="5"/>
  <c r="L1275" i="5" s="1"/>
  <c r="E1275" i="5"/>
  <c r="D1275" i="5"/>
  <c r="C1275" i="5"/>
  <c r="B1275" i="5"/>
  <c r="J1274" i="5"/>
  <c r="I1274" i="5"/>
  <c r="H1274" i="5"/>
  <c r="G1274" i="5"/>
  <c r="F1274" i="5"/>
  <c r="L1274" i="5" s="1"/>
  <c r="E1274" i="5"/>
  <c r="D1274" i="5"/>
  <c r="C1274" i="5"/>
  <c r="B1274" i="5"/>
  <c r="J1273" i="5"/>
  <c r="I1273" i="5"/>
  <c r="H1273" i="5"/>
  <c r="G1273" i="5"/>
  <c r="F1273" i="5"/>
  <c r="L1273" i="5" s="1"/>
  <c r="E1273" i="5"/>
  <c r="D1273" i="5"/>
  <c r="C1273" i="5"/>
  <c r="B1273" i="5"/>
  <c r="L1272" i="5"/>
  <c r="J1272" i="5"/>
  <c r="I1272" i="5"/>
  <c r="H1272" i="5"/>
  <c r="G1272" i="5"/>
  <c r="F1272" i="5"/>
  <c r="E1272" i="5"/>
  <c r="D1272" i="5"/>
  <c r="C1272" i="5"/>
  <c r="B1272" i="5"/>
  <c r="J1271" i="5"/>
  <c r="I1271" i="5"/>
  <c r="H1271" i="5"/>
  <c r="G1271" i="5"/>
  <c r="F1271" i="5"/>
  <c r="L1271" i="5" s="1"/>
  <c r="E1271" i="5"/>
  <c r="D1271" i="5"/>
  <c r="C1271" i="5"/>
  <c r="B1271" i="5"/>
  <c r="J1270" i="5"/>
  <c r="I1270" i="5"/>
  <c r="H1270" i="5"/>
  <c r="G1270" i="5"/>
  <c r="F1270" i="5"/>
  <c r="L1270" i="5" s="1"/>
  <c r="E1270" i="5"/>
  <c r="D1270" i="5"/>
  <c r="C1270" i="5"/>
  <c r="B1270" i="5"/>
  <c r="J1269" i="5"/>
  <c r="I1269" i="5"/>
  <c r="H1269" i="5"/>
  <c r="G1269" i="5"/>
  <c r="F1269" i="5"/>
  <c r="L1269" i="5" s="1"/>
  <c r="E1269" i="5"/>
  <c r="D1269" i="5"/>
  <c r="C1269" i="5"/>
  <c r="B1269" i="5"/>
  <c r="L1268" i="5"/>
  <c r="J1268" i="5"/>
  <c r="I1268" i="5"/>
  <c r="H1268" i="5"/>
  <c r="G1268" i="5"/>
  <c r="F1268" i="5"/>
  <c r="E1268" i="5"/>
  <c r="D1268" i="5"/>
  <c r="C1268" i="5"/>
  <c r="B1268" i="5"/>
  <c r="J1267" i="5"/>
  <c r="I1267" i="5"/>
  <c r="H1267" i="5"/>
  <c r="G1267" i="5"/>
  <c r="F1267" i="5"/>
  <c r="L1267" i="5" s="1"/>
  <c r="E1267" i="5"/>
  <c r="D1267" i="5"/>
  <c r="C1267" i="5"/>
  <c r="B1267" i="5"/>
  <c r="J1266" i="5"/>
  <c r="I1266" i="5"/>
  <c r="H1266" i="5"/>
  <c r="G1266" i="5"/>
  <c r="F1266" i="5"/>
  <c r="L1266" i="5" s="1"/>
  <c r="E1266" i="5"/>
  <c r="D1266" i="5"/>
  <c r="C1266" i="5"/>
  <c r="B1266" i="5"/>
  <c r="J1265" i="5"/>
  <c r="I1265" i="5"/>
  <c r="H1265" i="5"/>
  <c r="G1265" i="5"/>
  <c r="F1265" i="5"/>
  <c r="L1265" i="5" s="1"/>
  <c r="E1265" i="5"/>
  <c r="D1265" i="5"/>
  <c r="C1265" i="5"/>
  <c r="B1265" i="5"/>
  <c r="L1264" i="5"/>
  <c r="J1264" i="5"/>
  <c r="I1264" i="5"/>
  <c r="H1264" i="5"/>
  <c r="G1264" i="5"/>
  <c r="F1264" i="5"/>
  <c r="E1264" i="5"/>
  <c r="D1264" i="5"/>
  <c r="C1264" i="5"/>
  <c r="B1264" i="5"/>
  <c r="J1263" i="5"/>
  <c r="I1263" i="5"/>
  <c r="H1263" i="5"/>
  <c r="G1263" i="5"/>
  <c r="F1263" i="5"/>
  <c r="L1263" i="5" s="1"/>
  <c r="E1263" i="5"/>
  <c r="D1263" i="5"/>
  <c r="C1263" i="5"/>
  <c r="B1263" i="5"/>
  <c r="J1262" i="5"/>
  <c r="I1262" i="5"/>
  <c r="H1262" i="5"/>
  <c r="G1262" i="5"/>
  <c r="F1262" i="5"/>
  <c r="L1262" i="5" s="1"/>
  <c r="E1262" i="5"/>
  <c r="D1262" i="5"/>
  <c r="C1262" i="5"/>
  <c r="B1262" i="5"/>
  <c r="J1261" i="5"/>
  <c r="I1261" i="5"/>
  <c r="H1261" i="5"/>
  <c r="G1261" i="5"/>
  <c r="F1261" i="5"/>
  <c r="L1261" i="5" s="1"/>
  <c r="E1261" i="5"/>
  <c r="D1261" i="5"/>
  <c r="C1261" i="5"/>
  <c r="B1261" i="5"/>
  <c r="L1260" i="5"/>
  <c r="J1260" i="5"/>
  <c r="I1260" i="5"/>
  <c r="H1260" i="5"/>
  <c r="G1260" i="5"/>
  <c r="F1260" i="5"/>
  <c r="E1260" i="5"/>
  <c r="D1260" i="5"/>
  <c r="C1260" i="5"/>
  <c r="B1260" i="5"/>
  <c r="J1259" i="5"/>
  <c r="I1259" i="5"/>
  <c r="H1259" i="5"/>
  <c r="G1259" i="5"/>
  <c r="F1259" i="5"/>
  <c r="L1259" i="5" s="1"/>
  <c r="E1259" i="5"/>
  <c r="D1259" i="5"/>
  <c r="C1259" i="5"/>
  <c r="B1259" i="5"/>
  <c r="J1258" i="5"/>
  <c r="I1258" i="5"/>
  <c r="H1258" i="5"/>
  <c r="G1258" i="5"/>
  <c r="F1258" i="5"/>
  <c r="L1258" i="5" s="1"/>
  <c r="E1258" i="5"/>
  <c r="D1258" i="5"/>
  <c r="C1258" i="5"/>
  <c r="B1258" i="5"/>
  <c r="L1257" i="5"/>
  <c r="J1257" i="5"/>
  <c r="I1257" i="5"/>
  <c r="H1257" i="5"/>
  <c r="G1257" i="5"/>
  <c r="F1257" i="5"/>
  <c r="E1257" i="5"/>
  <c r="D1257" i="5"/>
  <c r="C1257" i="5"/>
  <c r="B1257" i="5"/>
  <c r="L1256" i="5"/>
  <c r="J1256" i="5"/>
  <c r="I1256" i="5"/>
  <c r="H1256" i="5"/>
  <c r="G1256" i="5"/>
  <c r="F1256" i="5"/>
  <c r="E1256" i="5"/>
  <c r="D1256" i="5"/>
  <c r="C1256" i="5"/>
  <c r="B1256" i="5"/>
  <c r="J1255" i="5"/>
  <c r="I1255" i="5"/>
  <c r="H1255" i="5"/>
  <c r="G1255" i="5"/>
  <c r="F1255" i="5"/>
  <c r="L1255" i="5" s="1"/>
  <c r="E1255" i="5"/>
  <c r="D1255" i="5"/>
  <c r="C1255" i="5"/>
  <c r="B1255" i="5"/>
  <c r="J1254" i="5"/>
  <c r="I1254" i="5"/>
  <c r="H1254" i="5"/>
  <c r="G1254" i="5"/>
  <c r="F1254" i="5"/>
  <c r="L1254" i="5" s="1"/>
  <c r="E1254" i="5"/>
  <c r="D1254" i="5"/>
  <c r="C1254" i="5"/>
  <c r="B1254" i="5"/>
  <c r="L1253" i="5"/>
  <c r="J1253" i="5"/>
  <c r="I1253" i="5"/>
  <c r="H1253" i="5"/>
  <c r="G1253" i="5"/>
  <c r="F1253" i="5"/>
  <c r="E1253" i="5"/>
  <c r="D1253" i="5"/>
  <c r="C1253" i="5"/>
  <c r="B1253" i="5"/>
  <c r="L1252" i="5"/>
  <c r="J1252" i="5"/>
  <c r="I1252" i="5"/>
  <c r="H1252" i="5"/>
  <c r="G1252" i="5"/>
  <c r="F1252" i="5"/>
  <c r="E1252" i="5"/>
  <c r="D1252" i="5"/>
  <c r="C1252" i="5"/>
  <c r="B1252" i="5"/>
  <c r="J1251" i="5"/>
  <c r="I1251" i="5"/>
  <c r="H1251" i="5"/>
  <c r="G1251" i="5"/>
  <c r="F1251" i="5"/>
  <c r="L1251" i="5" s="1"/>
  <c r="E1251" i="5"/>
  <c r="D1251" i="5"/>
  <c r="C1251" i="5"/>
  <c r="B1251" i="5"/>
  <c r="J1250" i="5"/>
  <c r="I1250" i="5"/>
  <c r="H1250" i="5"/>
  <c r="G1250" i="5"/>
  <c r="F1250" i="5"/>
  <c r="L1250" i="5" s="1"/>
  <c r="E1250" i="5"/>
  <c r="D1250" i="5"/>
  <c r="C1250" i="5"/>
  <c r="B1250" i="5"/>
  <c r="L1249" i="5"/>
  <c r="J1249" i="5"/>
  <c r="I1249" i="5"/>
  <c r="H1249" i="5"/>
  <c r="G1249" i="5"/>
  <c r="F1249" i="5"/>
  <c r="E1249" i="5"/>
  <c r="D1249" i="5"/>
  <c r="C1249" i="5"/>
  <c r="B1249" i="5"/>
  <c r="L1248" i="5"/>
  <c r="J1248" i="5"/>
  <c r="I1248" i="5"/>
  <c r="H1248" i="5"/>
  <c r="G1248" i="5"/>
  <c r="F1248" i="5"/>
  <c r="E1248" i="5"/>
  <c r="D1248" i="5"/>
  <c r="C1248" i="5"/>
  <c r="B1248" i="5"/>
  <c r="J1247" i="5"/>
  <c r="I1247" i="5"/>
  <c r="H1247" i="5"/>
  <c r="G1247" i="5"/>
  <c r="F1247" i="5"/>
  <c r="L1247" i="5" s="1"/>
  <c r="E1247" i="5"/>
  <c r="D1247" i="5"/>
  <c r="C1247" i="5"/>
  <c r="B1247" i="5"/>
  <c r="J1246" i="5"/>
  <c r="I1246" i="5"/>
  <c r="H1246" i="5"/>
  <c r="G1246" i="5"/>
  <c r="F1246" i="5"/>
  <c r="L1246" i="5" s="1"/>
  <c r="E1246" i="5"/>
  <c r="D1246" i="5"/>
  <c r="C1246" i="5"/>
  <c r="B1246" i="5"/>
  <c r="L1245" i="5"/>
  <c r="J1245" i="5"/>
  <c r="I1245" i="5"/>
  <c r="H1245" i="5"/>
  <c r="G1245" i="5"/>
  <c r="F1245" i="5"/>
  <c r="E1245" i="5"/>
  <c r="D1245" i="5"/>
  <c r="C1245" i="5"/>
  <c r="B1245" i="5"/>
  <c r="L1244" i="5"/>
  <c r="J1244" i="5"/>
  <c r="I1244" i="5"/>
  <c r="H1244" i="5"/>
  <c r="G1244" i="5"/>
  <c r="F1244" i="5"/>
  <c r="E1244" i="5"/>
  <c r="D1244" i="5"/>
  <c r="C1244" i="5"/>
  <c r="B1244" i="5"/>
  <c r="J1243" i="5"/>
  <c r="I1243" i="5"/>
  <c r="H1243" i="5"/>
  <c r="G1243" i="5"/>
  <c r="F1243" i="5"/>
  <c r="L1243" i="5" s="1"/>
  <c r="E1243" i="5"/>
  <c r="D1243" i="5"/>
  <c r="C1243" i="5"/>
  <c r="B1243" i="5"/>
  <c r="J1242" i="5"/>
  <c r="I1242" i="5"/>
  <c r="H1242" i="5"/>
  <c r="G1242" i="5"/>
  <c r="F1242" i="5"/>
  <c r="L1242" i="5" s="1"/>
  <c r="E1242" i="5"/>
  <c r="D1242" i="5"/>
  <c r="C1242" i="5"/>
  <c r="B1242" i="5"/>
  <c r="L1241" i="5"/>
  <c r="J1241" i="5"/>
  <c r="I1241" i="5"/>
  <c r="H1241" i="5"/>
  <c r="G1241" i="5"/>
  <c r="F1241" i="5"/>
  <c r="E1241" i="5"/>
  <c r="D1241" i="5"/>
  <c r="C1241" i="5"/>
  <c r="B1241" i="5"/>
  <c r="L1240" i="5"/>
  <c r="J1240" i="5"/>
  <c r="I1240" i="5"/>
  <c r="H1240" i="5"/>
  <c r="G1240" i="5"/>
  <c r="F1240" i="5"/>
  <c r="E1240" i="5"/>
  <c r="D1240" i="5"/>
  <c r="C1240" i="5"/>
  <c r="B1240" i="5"/>
  <c r="J1239" i="5"/>
  <c r="I1239" i="5"/>
  <c r="H1239" i="5"/>
  <c r="G1239" i="5"/>
  <c r="F1239" i="5"/>
  <c r="L1239" i="5" s="1"/>
  <c r="E1239" i="5"/>
  <c r="D1239" i="5"/>
  <c r="C1239" i="5"/>
  <c r="B1239" i="5"/>
  <c r="J1238" i="5"/>
  <c r="I1238" i="5"/>
  <c r="H1238" i="5"/>
  <c r="G1238" i="5"/>
  <c r="F1238" i="5"/>
  <c r="L1238" i="5" s="1"/>
  <c r="E1238" i="5"/>
  <c r="D1238" i="5"/>
  <c r="C1238" i="5"/>
  <c r="B1238" i="5"/>
  <c r="L1237" i="5"/>
  <c r="J1237" i="5"/>
  <c r="I1237" i="5"/>
  <c r="H1237" i="5"/>
  <c r="G1237" i="5"/>
  <c r="F1237" i="5"/>
  <c r="E1237" i="5"/>
  <c r="D1237" i="5"/>
  <c r="C1237" i="5"/>
  <c r="B1237" i="5"/>
  <c r="L1236" i="5"/>
  <c r="J1236" i="5"/>
  <c r="I1236" i="5"/>
  <c r="H1236" i="5"/>
  <c r="G1236" i="5"/>
  <c r="F1236" i="5"/>
  <c r="E1236" i="5"/>
  <c r="D1236" i="5"/>
  <c r="C1236" i="5"/>
  <c r="B1236" i="5"/>
  <c r="J1235" i="5"/>
  <c r="I1235" i="5"/>
  <c r="H1235" i="5"/>
  <c r="G1235" i="5"/>
  <c r="F1235" i="5"/>
  <c r="L1235" i="5" s="1"/>
  <c r="E1235" i="5"/>
  <c r="D1235" i="5"/>
  <c r="C1235" i="5"/>
  <c r="B1235" i="5"/>
  <c r="J1234" i="5"/>
  <c r="I1234" i="5"/>
  <c r="H1234" i="5"/>
  <c r="G1234" i="5"/>
  <c r="F1234" i="5"/>
  <c r="L1234" i="5" s="1"/>
  <c r="E1234" i="5"/>
  <c r="D1234" i="5"/>
  <c r="C1234" i="5"/>
  <c r="B1234" i="5"/>
  <c r="L1233" i="5"/>
  <c r="J1233" i="5"/>
  <c r="I1233" i="5"/>
  <c r="H1233" i="5"/>
  <c r="G1233" i="5"/>
  <c r="F1233" i="5"/>
  <c r="E1233" i="5"/>
  <c r="D1233" i="5"/>
  <c r="C1233" i="5"/>
  <c r="B1233" i="5"/>
  <c r="L1232" i="5"/>
  <c r="J1232" i="5"/>
  <c r="I1232" i="5"/>
  <c r="H1232" i="5"/>
  <c r="G1232" i="5"/>
  <c r="F1232" i="5"/>
  <c r="E1232" i="5"/>
  <c r="D1232" i="5"/>
  <c r="C1232" i="5"/>
  <c r="B1232" i="5"/>
  <c r="J1231" i="5"/>
  <c r="I1231" i="5"/>
  <c r="H1231" i="5"/>
  <c r="G1231" i="5"/>
  <c r="F1231" i="5"/>
  <c r="L1231" i="5" s="1"/>
  <c r="E1231" i="5"/>
  <c r="D1231" i="5"/>
  <c r="C1231" i="5"/>
  <c r="B1231" i="5"/>
  <c r="J1230" i="5"/>
  <c r="I1230" i="5"/>
  <c r="H1230" i="5"/>
  <c r="G1230" i="5"/>
  <c r="F1230" i="5"/>
  <c r="L1230" i="5" s="1"/>
  <c r="E1230" i="5"/>
  <c r="D1230" i="5"/>
  <c r="C1230" i="5"/>
  <c r="B1230" i="5"/>
  <c r="L1229" i="5"/>
  <c r="J1229" i="5"/>
  <c r="I1229" i="5"/>
  <c r="H1229" i="5"/>
  <c r="G1229" i="5"/>
  <c r="F1229" i="5"/>
  <c r="E1229" i="5"/>
  <c r="D1229" i="5"/>
  <c r="C1229" i="5"/>
  <c r="B1229" i="5"/>
  <c r="L1228" i="5"/>
  <c r="J1228" i="5"/>
  <c r="I1228" i="5"/>
  <c r="H1228" i="5"/>
  <c r="G1228" i="5"/>
  <c r="F1228" i="5"/>
  <c r="E1228" i="5"/>
  <c r="D1228" i="5"/>
  <c r="C1228" i="5"/>
  <c r="B1228" i="5"/>
  <c r="J1227" i="5"/>
  <c r="I1227" i="5"/>
  <c r="H1227" i="5"/>
  <c r="G1227" i="5"/>
  <c r="F1227" i="5"/>
  <c r="L1227" i="5" s="1"/>
  <c r="E1227" i="5"/>
  <c r="D1227" i="5"/>
  <c r="C1227" i="5"/>
  <c r="B1227" i="5"/>
  <c r="J1226" i="5"/>
  <c r="I1226" i="5"/>
  <c r="H1226" i="5"/>
  <c r="G1226" i="5"/>
  <c r="F1226" i="5"/>
  <c r="L1226" i="5" s="1"/>
  <c r="E1226" i="5"/>
  <c r="D1226" i="5"/>
  <c r="C1226" i="5"/>
  <c r="B1226" i="5"/>
  <c r="L1225" i="5"/>
  <c r="J1225" i="5"/>
  <c r="I1225" i="5"/>
  <c r="H1225" i="5"/>
  <c r="G1225" i="5"/>
  <c r="F1225" i="5"/>
  <c r="E1225" i="5"/>
  <c r="D1225" i="5"/>
  <c r="C1225" i="5"/>
  <c r="B1225" i="5"/>
  <c r="L1224" i="5"/>
  <c r="J1224" i="5"/>
  <c r="I1224" i="5"/>
  <c r="H1224" i="5"/>
  <c r="G1224" i="5"/>
  <c r="F1224" i="5"/>
  <c r="E1224" i="5"/>
  <c r="D1224" i="5"/>
  <c r="C1224" i="5"/>
  <c r="B1224" i="5"/>
  <c r="J1223" i="5"/>
  <c r="I1223" i="5"/>
  <c r="H1223" i="5"/>
  <c r="G1223" i="5"/>
  <c r="F1223" i="5"/>
  <c r="L1223" i="5" s="1"/>
  <c r="E1223" i="5"/>
  <c r="D1223" i="5"/>
  <c r="C1223" i="5"/>
  <c r="B1223" i="5"/>
  <c r="J1222" i="5"/>
  <c r="I1222" i="5"/>
  <c r="H1222" i="5"/>
  <c r="G1222" i="5"/>
  <c r="F1222" i="5"/>
  <c r="L1222" i="5" s="1"/>
  <c r="E1222" i="5"/>
  <c r="D1222" i="5"/>
  <c r="C1222" i="5"/>
  <c r="B1222" i="5"/>
  <c r="L1221" i="5"/>
  <c r="J1221" i="5"/>
  <c r="I1221" i="5"/>
  <c r="H1221" i="5"/>
  <c r="G1221" i="5"/>
  <c r="F1221" i="5"/>
  <c r="E1221" i="5"/>
  <c r="D1221" i="5"/>
  <c r="C1221" i="5"/>
  <c r="B1221" i="5"/>
  <c r="L1220" i="5"/>
  <c r="J1220" i="5"/>
  <c r="I1220" i="5"/>
  <c r="H1220" i="5"/>
  <c r="G1220" i="5"/>
  <c r="F1220" i="5"/>
  <c r="E1220" i="5"/>
  <c r="D1220" i="5"/>
  <c r="C1220" i="5"/>
  <c r="B1220" i="5"/>
  <c r="J1219" i="5"/>
  <c r="I1219" i="5"/>
  <c r="H1219" i="5"/>
  <c r="G1219" i="5"/>
  <c r="F1219" i="5"/>
  <c r="L1219" i="5" s="1"/>
  <c r="E1219" i="5"/>
  <c r="D1219" i="5"/>
  <c r="C1219" i="5"/>
  <c r="B1219" i="5"/>
  <c r="J1218" i="5"/>
  <c r="I1218" i="5"/>
  <c r="H1218" i="5"/>
  <c r="G1218" i="5"/>
  <c r="F1218" i="5"/>
  <c r="L1218" i="5" s="1"/>
  <c r="E1218" i="5"/>
  <c r="D1218" i="5"/>
  <c r="C1218" i="5"/>
  <c r="B1218" i="5"/>
  <c r="L1217" i="5"/>
  <c r="J1217" i="5"/>
  <c r="I1217" i="5"/>
  <c r="H1217" i="5"/>
  <c r="G1217" i="5"/>
  <c r="F1217" i="5"/>
  <c r="E1217" i="5"/>
  <c r="D1217" i="5"/>
  <c r="C1217" i="5"/>
  <c r="B1217" i="5"/>
  <c r="L1216" i="5"/>
  <c r="J1216" i="5"/>
  <c r="I1216" i="5"/>
  <c r="H1216" i="5"/>
  <c r="G1216" i="5"/>
  <c r="F1216" i="5"/>
  <c r="E1216" i="5"/>
  <c r="D1216" i="5"/>
  <c r="C1216" i="5"/>
  <c r="B1216" i="5"/>
  <c r="J1215" i="5"/>
  <c r="I1215" i="5"/>
  <c r="H1215" i="5"/>
  <c r="G1215" i="5"/>
  <c r="F1215" i="5"/>
  <c r="L1215" i="5" s="1"/>
  <c r="E1215" i="5"/>
  <c r="D1215" i="5"/>
  <c r="C1215" i="5"/>
  <c r="B1215" i="5"/>
  <c r="J1214" i="5"/>
  <c r="I1214" i="5"/>
  <c r="H1214" i="5"/>
  <c r="G1214" i="5"/>
  <c r="F1214" i="5"/>
  <c r="L1214" i="5" s="1"/>
  <c r="E1214" i="5"/>
  <c r="D1214" i="5"/>
  <c r="C1214" i="5"/>
  <c r="B1214" i="5"/>
  <c r="L1213" i="5"/>
  <c r="J1213" i="5"/>
  <c r="I1213" i="5"/>
  <c r="H1213" i="5"/>
  <c r="G1213" i="5"/>
  <c r="F1213" i="5"/>
  <c r="E1213" i="5"/>
  <c r="D1213" i="5"/>
  <c r="C1213" i="5"/>
  <c r="B1213" i="5"/>
  <c r="L1212" i="5"/>
  <c r="J1212" i="5"/>
  <c r="I1212" i="5"/>
  <c r="H1212" i="5"/>
  <c r="G1212" i="5"/>
  <c r="F1212" i="5"/>
  <c r="E1212" i="5"/>
  <c r="D1212" i="5"/>
  <c r="C1212" i="5"/>
  <c r="B1212" i="5"/>
  <c r="J1211" i="5"/>
  <c r="I1211" i="5"/>
  <c r="H1211" i="5"/>
  <c r="G1211" i="5"/>
  <c r="F1211" i="5"/>
  <c r="L1211" i="5" s="1"/>
  <c r="E1211" i="5"/>
  <c r="D1211" i="5"/>
  <c r="C1211" i="5"/>
  <c r="B1211" i="5"/>
  <c r="J1210" i="5"/>
  <c r="I1210" i="5"/>
  <c r="H1210" i="5"/>
  <c r="G1210" i="5"/>
  <c r="F1210" i="5"/>
  <c r="L1210" i="5" s="1"/>
  <c r="E1210" i="5"/>
  <c r="D1210" i="5"/>
  <c r="C1210" i="5"/>
  <c r="B1210" i="5"/>
  <c r="L1209" i="5"/>
  <c r="J1209" i="5"/>
  <c r="I1209" i="5"/>
  <c r="H1209" i="5"/>
  <c r="G1209" i="5"/>
  <c r="F1209" i="5"/>
  <c r="E1209" i="5"/>
  <c r="D1209" i="5"/>
  <c r="C1209" i="5"/>
  <c r="B1209" i="5"/>
  <c r="J1208" i="5"/>
  <c r="I1208" i="5"/>
  <c r="H1208" i="5"/>
  <c r="G1208" i="5"/>
  <c r="F1208" i="5"/>
  <c r="L1208" i="5" s="1"/>
  <c r="E1208" i="5"/>
  <c r="D1208" i="5"/>
  <c r="C1208" i="5"/>
  <c r="B1208" i="5"/>
  <c r="J1207" i="5"/>
  <c r="I1207" i="5"/>
  <c r="H1207" i="5"/>
  <c r="G1207" i="5"/>
  <c r="F1207" i="5"/>
  <c r="L1207" i="5" s="1"/>
  <c r="E1207" i="5"/>
  <c r="D1207" i="5"/>
  <c r="C1207" i="5"/>
  <c r="B1207" i="5"/>
  <c r="J1206" i="5"/>
  <c r="I1206" i="5"/>
  <c r="H1206" i="5"/>
  <c r="G1206" i="5"/>
  <c r="F1206" i="5"/>
  <c r="L1206" i="5" s="1"/>
  <c r="E1206" i="5"/>
  <c r="D1206" i="5"/>
  <c r="C1206" i="5"/>
  <c r="B1206" i="5"/>
  <c r="L1205" i="5"/>
  <c r="J1205" i="5"/>
  <c r="I1205" i="5"/>
  <c r="H1205" i="5"/>
  <c r="G1205" i="5"/>
  <c r="F1205" i="5"/>
  <c r="E1205" i="5"/>
  <c r="D1205" i="5"/>
  <c r="C1205" i="5"/>
  <c r="B1205" i="5"/>
  <c r="L1204" i="5"/>
  <c r="J1204" i="5"/>
  <c r="I1204" i="5"/>
  <c r="H1204" i="5"/>
  <c r="G1204" i="5"/>
  <c r="F1204" i="5"/>
  <c r="E1204" i="5"/>
  <c r="D1204" i="5"/>
  <c r="C1204" i="5"/>
  <c r="B1204" i="5"/>
  <c r="J1203" i="5"/>
  <c r="I1203" i="5"/>
  <c r="H1203" i="5"/>
  <c r="G1203" i="5"/>
  <c r="F1203" i="5"/>
  <c r="L1203" i="5" s="1"/>
  <c r="E1203" i="5"/>
  <c r="D1203" i="5"/>
  <c r="C1203" i="5"/>
  <c r="B1203" i="5"/>
  <c r="J1202" i="5"/>
  <c r="I1202" i="5"/>
  <c r="H1202" i="5"/>
  <c r="G1202" i="5"/>
  <c r="F1202" i="5"/>
  <c r="L1202" i="5" s="1"/>
  <c r="E1202" i="5"/>
  <c r="D1202" i="5"/>
  <c r="C1202" i="5"/>
  <c r="B1202" i="5"/>
  <c r="L1201" i="5"/>
  <c r="J1201" i="5"/>
  <c r="I1201" i="5"/>
  <c r="H1201" i="5"/>
  <c r="G1201" i="5"/>
  <c r="F1201" i="5"/>
  <c r="E1201" i="5"/>
  <c r="D1201" i="5"/>
  <c r="C1201" i="5"/>
  <c r="B1201" i="5"/>
  <c r="L1200" i="5"/>
  <c r="J1200" i="5"/>
  <c r="I1200" i="5"/>
  <c r="H1200" i="5"/>
  <c r="G1200" i="5"/>
  <c r="F1200" i="5"/>
  <c r="E1200" i="5"/>
  <c r="D1200" i="5"/>
  <c r="C1200" i="5"/>
  <c r="B1200" i="5"/>
  <c r="J1199" i="5"/>
  <c r="I1199" i="5"/>
  <c r="H1199" i="5"/>
  <c r="G1199" i="5"/>
  <c r="F1199" i="5"/>
  <c r="L1199" i="5" s="1"/>
  <c r="E1199" i="5"/>
  <c r="D1199" i="5"/>
  <c r="C1199" i="5"/>
  <c r="B1199" i="5"/>
  <c r="J1198" i="5"/>
  <c r="I1198" i="5"/>
  <c r="H1198" i="5"/>
  <c r="G1198" i="5"/>
  <c r="F1198" i="5"/>
  <c r="L1198" i="5" s="1"/>
  <c r="E1198" i="5"/>
  <c r="D1198" i="5"/>
  <c r="C1198" i="5"/>
  <c r="B1198" i="5"/>
  <c r="L1197" i="5"/>
  <c r="J1197" i="5"/>
  <c r="I1197" i="5"/>
  <c r="H1197" i="5"/>
  <c r="G1197" i="5"/>
  <c r="F1197" i="5"/>
  <c r="E1197" i="5"/>
  <c r="D1197" i="5"/>
  <c r="C1197" i="5"/>
  <c r="B1197" i="5"/>
  <c r="L1196" i="5"/>
  <c r="J1196" i="5"/>
  <c r="I1196" i="5"/>
  <c r="H1196" i="5"/>
  <c r="G1196" i="5"/>
  <c r="F1196" i="5"/>
  <c r="E1196" i="5"/>
  <c r="D1196" i="5"/>
  <c r="C1196" i="5"/>
  <c r="B1196" i="5"/>
  <c r="J1195" i="5"/>
  <c r="I1195" i="5"/>
  <c r="H1195" i="5"/>
  <c r="G1195" i="5"/>
  <c r="F1195" i="5"/>
  <c r="L1195" i="5" s="1"/>
  <c r="E1195" i="5"/>
  <c r="D1195" i="5"/>
  <c r="C1195" i="5"/>
  <c r="B1195" i="5"/>
  <c r="J1194" i="5"/>
  <c r="I1194" i="5"/>
  <c r="H1194" i="5"/>
  <c r="G1194" i="5"/>
  <c r="F1194" i="5"/>
  <c r="L1194" i="5" s="1"/>
  <c r="E1194" i="5"/>
  <c r="D1194" i="5"/>
  <c r="C1194" i="5"/>
  <c r="B1194" i="5"/>
  <c r="L1193" i="5"/>
  <c r="J1193" i="5"/>
  <c r="I1193" i="5"/>
  <c r="H1193" i="5"/>
  <c r="G1193" i="5"/>
  <c r="F1193" i="5"/>
  <c r="E1193" i="5"/>
  <c r="D1193" i="5"/>
  <c r="C1193" i="5"/>
  <c r="B1193" i="5"/>
  <c r="J1192" i="5"/>
  <c r="I1192" i="5"/>
  <c r="H1192" i="5"/>
  <c r="G1192" i="5"/>
  <c r="F1192" i="5"/>
  <c r="L1192" i="5" s="1"/>
  <c r="E1192" i="5"/>
  <c r="D1192" i="5"/>
  <c r="C1192" i="5"/>
  <c r="B1192" i="5"/>
  <c r="J1191" i="5"/>
  <c r="I1191" i="5"/>
  <c r="H1191" i="5"/>
  <c r="G1191" i="5"/>
  <c r="F1191" i="5"/>
  <c r="L1191" i="5" s="1"/>
  <c r="E1191" i="5"/>
  <c r="D1191" i="5"/>
  <c r="C1191" i="5"/>
  <c r="B1191" i="5"/>
  <c r="J1190" i="5"/>
  <c r="I1190" i="5"/>
  <c r="H1190" i="5"/>
  <c r="G1190" i="5"/>
  <c r="F1190" i="5"/>
  <c r="L1190" i="5" s="1"/>
  <c r="E1190" i="5"/>
  <c r="D1190" i="5"/>
  <c r="C1190" i="5"/>
  <c r="B1190" i="5"/>
  <c r="L1189" i="5"/>
  <c r="J1189" i="5"/>
  <c r="I1189" i="5"/>
  <c r="H1189" i="5"/>
  <c r="G1189" i="5"/>
  <c r="F1189" i="5"/>
  <c r="E1189" i="5"/>
  <c r="D1189" i="5"/>
  <c r="C1189" i="5"/>
  <c r="B1189" i="5"/>
  <c r="L1188" i="5"/>
  <c r="J1188" i="5"/>
  <c r="I1188" i="5"/>
  <c r="H1188" i="5"/>
  <c r="G1188" i="5"/>
  <c r="F1188" i="5"/>
  <c r="E1188" i="5"/>
  <c r="D1188" i="5"/>
  <c r="C1188" i="5"/>
  <c r="B1188" i="5"/>
  <c r="J1187" i="5"/>
  <c r="I1187" i="5"/>
  <c r="H1187" i="5"/>
  <c r="G1187" i="5"/>
  <c r="F1187" i="5"/>
  <c r="L1187" i="5" s="1"/>
  <c r="E1187" i="5"/>
  <c r="D1187" i="5"/>
  <c r="C1187" i="5"/>
  <c r="B1187" i="5"/>
  <c r="J1186" i="5"/>
  <c r="I1186" i="5"/>
  <c r="H1186" i="5"/>
  <c r="G1186" i="5"/>
  <c r="F1186" i="5"/>
  <c r="L1186" i="5" s="1"/>
  <c r="E1186" i="5"/>
  <c r="D1186" i="5"/>
  <c r="C1186" i="5"/>
  <c r="B1186" i="5"/>
  <c r="L1185" i="5"/>
  <c r="J1185" i="5"/>
  <c r="I1185" i="5"/>
  <c r="H1185" i="5"/>
  <c r="G1185" i="5"/>
  <c r="F1185" i="5"/>
  <c r="E1185" i="5"/>
  <c r="D1185" i="5"/>
  <c r="C1185" i="5"/>
  <c r="B1185" i="5"/>
  <c r="L1184" i="5"/>
  <c r="J1184" i="5"/>
  <c r="I1184" i="5"/>
  <c r="H1184" i="5"/>
  <c r="G1184" i="5"/>
  <c r="F1184" i="5"/>
  <c r="E1184" i="5"/>
  <c r="D1184" i="5"/>
  <c r="C1184" i="5"/>
  <c r="B1184" i="5"/>
  <c r="J1183" i="5"/>
  <c r="I1183" i="5"/>
  <c r="H1183" i="5"/>
  <c r="G1183" i="5"/>
  <c r="F1183" i="5"/>
  <c r="L1183" i="5" s="1"/>
  <c r="E1183" i="5"/>
  <c r="D1183" i="5"/>
  <c r="C1183" i="5"/>
  <c r="B1183" i="5"/>
  <c r="J1182" i="5"/>
  <c r="I1182" i="5"/>
  <c r="H1182" i="5"/>
  <c r="G1182" i="5"/>
  <c r="F1182" i="5"/>
  <c r="L1182" i="5" s="1"/>
  <c r="E1182" i="5"/>
  <c r="D1182" i="5"/>
  <c r="C1182" i="5"/>
  <c r="B1182" i="5"/>
  <c r="L1181" i="5"/>
  <c r="J1181" i="5"/>
  <c r="I1181" i="5"/>
  <c r="H1181" i="5"/>
  <c r="G1181" i="5"/>
  <c r="F1181" i="5"/>
  <c r="E1181" i="5"/>
  <c r="D1181" i="5"/>
  <c r="C1181" i="5"/>
  <c r="B1181" i="5"/>
  <c r="L1180" i="5"/>
  <c r="J1180" i="5"/>
  <c r="I1180" i="5"/>
  <c r="H1180" i="5"/>
  <c r="G1180" i="5"/>
  <c r="F1180" i="5"/>
  <c r="E1180" i="5"/>
  <c r="D1180" i="5"/>
  <c r="C1180" i="5"/>
  <c r="B1180" i="5"/>
  <c r="J1179" i="5"/>
  <c r="I1179" i="5"/>
  <c r="H1179" i="5"/>
  <c r="G1179" i="5"/>
  <c r="F1179" i="5"/>
  <c r="L1179" i="5" s="1"/>
  <c r="E1179" i="5"/>
  <c r="D1179" i="5"/>
  <c r="C1179" i="5"/>
  <c r="B1179" i="5"/>
  <c r="J1178" i="5"/>
  <c r="I1178" i="5"/>
  <c r="H1178" i="5"/>
  <c r="G1178" i="5"/>
  <c r="F1178" i="5"/>
  <c r="L1178" i="5" s="1"/>
  <c r="E1178" i="5"/>
  <c r="D1178" i="5"/>
  <c r="C1178" i="5"/>
  <c r="B1178" i="5"/>
  <c r="L1177" i="5"/>
  <c r="J1177" i="5"/>
  <c r="I1177" i="5"/>
  <c r="H1177" i="5"/>
  <c r="G1177" i="5"/>
  <c r="F1177" i="5"/>
  <c r="E1177" i="5"/>
  <c r="D1177" i="5"/>
  <c r="C1177" i="5"/>
  <c r="B1177" i="5"/>
  <c r="J1176" i="5"/>
  <c r="I1176" i="5"/>
  <c r="H1176" i="5"/>
  <c r="G1176" i="5"/>
  <c r="F1176" i="5"/>
  <c r="L1176" i="5" s="1"/>
  <c r="E1176" i="5"/>
  <c r="D1176" i="5"/>
  <c r="C1176" i="5"/>
  <c r="B1176" i="5"/>
  <c r="J1175" i="5"/>
  <c r="I1175" i="5"/>
  <c r="H1175" i="5"/>
  <c r="G1175" i="5"/>
  <c r="F1175" i="5"/>
  <c r="L1175" i="5" s="1"/>
  <c r="E1175" i="5"/>
  <c r="D1175" i="5"/>
  <c r="C1175" i="5"/>
  <c r="B1175" i="5"/>
  <c r="J1174" i="5"/>
  <c r="I1174" i="5"/>
  <c r="H1174" i="5"/>
  <c r="G1174" i="5"/>
  <c r="F1174" i="5"/>
  <c r="L1174" i="5" s="1"/>
  <c r="E1174" i="5"/>
  <c r="D1174" i="5"/>
  <c r="C1174" i="5"/>
  <c r="B1174" i="5"/>
  <c r="L1173" i="5"/>
  <c r="J1173" i="5"/>
  <c r="I1173" i="5"/>
  <c r="H1173" i="5"/>
  <c r="G1173" i="5"/>
  <c r="F1173" i="5"/>
  <c r="E1173" i="5"/>
  <c r="D1173" i="5"/>
  <c r="C1173" i="5"/>
  <c r="B1173" i="5"/>
  <c r="L1172" i="5"/>
  <c r="J1172" i="5"/>
  <c r="I1172" i="5"/>
  <c r="H1172" i="5"/>
  <c r="G1172" i="5"/>
  <c r="F1172" i="5"/>
  <c r="E1172" i="5"/>
  <c r="D1172" i="5"/>
  <c r="C1172" i="5"/>
  <c r="B1172" i="5"/>
  <c r="J1171" i="5"/>
  <c r="I1171" i="5"/>
  <c r="H1171" i="5"/>
  <c r="G1171" i="5"/>
  <c r="F1171" i="5"/>
  <c r="L1171" i="5" s="1"/>
  <c r="E1171" i="5"/>
  <c r="D1171" i="5"/>
  <c r="C1171" i="5"/>
  <c r="B1171" i="5"/>
  <c r="J1170" i="5"/>
  <c r="I1170" i="5"/>
  <c r="H1170" i="5"/>
  <c r="G1170" i="5"/>
  <c r="F1170" i="5"/>
  <c r="L1170" i="5" s="1"/>
  <c r="E1170" i="5"/>
  <c r="D1170" i="5"/>
  <c r="C1170" i="5"/>
  <c r="B1170" i="5"/>
  <c r="L1169" i="5"/>
  <c r="J1169" i="5"/>
  <c r="I1169" i="5"/>
  <c r="H1169" i="5"/>
  <c r="G1169" i="5"/>
  <c r="F1169" i="5"/>
  <c r="E1169" i="5"/>
  <c r="D1169" i="5"/>
  <c r="C1169" i="5"/>
  <c r="B1169" i="5"/>
  <c r="L1168" i="5"/>
  <c r="J1168" i="5"/>
  <c r="I1168" i="5"/>
  <c r="H1168" i="5"/>
  <c r="G1168" i="5"/>
  <c r="F1168" i="5"/>
  <c r="E1168" i="5"/>
  <c r="D1168" i="5"/>
  <c r="C1168" i="5"/>
  <c r="B1168" i="5"/>
  <c r="J1167" i="5"/>
  <c r="I1167" i="5"/>
  <c r="H1167" i="5"/>
  <c r="G1167" i="5"/>
  <c r="F1167" i="5"/>
  <c r="L1167" i="5" s="1"/>
  <c r="E1167" i="5"/>
  <c r="D1167" i="5"/>
  <c r="C1167" i="5"/>
  <c r="B1167" i="5"/>
  <c r="J1166" i="5"/>
  <c r="I1166" i="5"/>
  <c r="H1166" i="5"/>
  <c r="G1166" i="5"/>
  <c r="F1166" i="5"/>
  <c r="L1166" i="5" s="1"/>
  <c r="E1166" i="5"/>
  <c r="D1166" i="5"/>
  <c r="C1166" i="5"/>
  <c r="B1166" i="5"/>
  <c r="L1165" i="5"/>
  <c r="J1165" i="5"/>
  <c r="I1165" i="5"/>
  <c r="H1165" i="5"/>
  <c r="G1165" i="5"/>
  <c r="F1165" i="5"/>
  <c r="E1165" i="5"/>
  <c r="D1165" i="5"/>
  <c r="C1165" i="5"/>
  <c r="B1165" i="5"/>
  <c r="L1164" i="5"/>
  <c r="J1164" i="5"/>
  <c r="I1164" i="5"/>
  <c r="H1164" i="5"/>
  <c r="G1164" i="5"/>
  <c r="F1164" i="5"/>
  <c r="E1164" i="5"/>
  <c r="D1164" i="5"/>
  <c r="C1164" i="5"/>
  <c r="B1164" i="5"/>
  <c r="J1163" i="5"/>
  <c r="I1163" i="5"/>
  <c r="H1163" i="5"/>
  <c r="G1163" i="5"/>
  <c r="F1163" i="5"/>
  <c r="L1163" i="5" s="1"/>
  <c r="E1163" i="5"/>
  <c r="D1163" i="5"/>
  <c r="C1163" i="5"/>
  <c r="B1163" i="5"/>
  <c r="J1162" i="5"/>
  <c r="I1162" i="5"/>
  <c r="H1162" i="5"/>
  <c r="G1162" i="5"/>
  <c r="F1162" i="5"/>
  <c r="L1162" i="5" s="1"/>
  <c r="E1162" i="5"/>
  <c r="D1162" i="5"/>
  <c r="C1162" i="5"/>
  <c r="B1162" i="5"/>
  <c r="L1161" i="5"/>
  <c r="J1161" i="5"/>
  <c r="I1161" i="5"/>
  <c r="H1161" i="5"/>
  <c r="G1161" i="5"/>
  <c r="F1161" i="5"/>
  <c r="E1161" i="5"/>
  <c r="D1161" i="5"/>
  <c r="C1161" i="5"/>
  <c r="B1161" i="5"/>
  <c r="J1160" i="5"/>
  <c r="I1160" i="5"/>
  <c r="H1160" i="5"/>
  <c r="G1160" i="5"/>
  <c r="F1160" i="5"/>
  <c r="L1160" i="5" s="1"/>
  <c r="E1160" i="5"/>
  <c r="D1160" i="5"/>
  <c r="C1160" i="5"/>
  <c r="B1160" i="5"/>
  <c r="J1159" i="5"/>
  <c r="I1159" i="5"/>
  <c r="H1159" i="5"/>
  <c r="G1159" i="5"/>
  <c r="F1159" i="5"/>
  <c r="L1159" i="5" s="1"/>
  <c r="E1159" i="5"/>
  <c r="D1159" i="5"/>
  <c r="C1159" i="5"/>
  <c r="B1159" i="5"/>
  <c r="J1158" i="5"/>
  <c r="I1158" i="5"/>
  <c r="H1158" i="5"/>
  <c r="G1158" i="5"/>
  <c r="F1158" i="5"/>
  <c r="L1158" i="5" s="1"/>
  <c r="E1158" i="5"/>
  <c r="D1158" i="5"/>
  <c r="C1158" i="5"/>
  <c r="B1158" i="5"/>
  <c r="L1157" i="5"/>
  <c r="J1157" i="5"/>
  <c r="I1157" i="5"/>
  <c r="H1157" i="5"/>
  <c r="G1157" i="5"/>
  <c r="F1157" i="5"/>
  <c r="E1157" i="5"/>
  <c r="D1157" i="5"/>
  <c r="C1157" i="5"/>
  <c r="B1157" i="5"/>
  <c r="L1156" i="5"/>
  <c r="J1156" i="5"/>
  <c r="I1156" i="5"/>
  <c r="H1156" i="5"/>
  <c r="G1156" i="5"/>
  <c r="F1156" i="5"/>
  <c r="E1156" i="5"/>
  <c r="D1156" i="5"/>
  <c r="C1156" i="5"/>
  <c r="B1156" i="5"/>
  <c r="J1155" i="5"/>
  <c r="I1155" i="5"/>
  <c r="H1155" i="5"/>
  <c r="G1155" i="5"/>
  <c r="F1155" i="5"/>
  <c r="L1155" i="5" s="1"/>
  <c r="E1155" i="5"/>
  <c r="D1155" i="5"/>
  <c r="C1155" i="5"/>
  <c r="B1155" i="5"/>
  <c r="J1154" i="5"/>
  <c r="I1154" i="5"/>
  <c r="H1154" i="5"/>
  <c r="G1154" i="5"/>
  <c r="F1154" i="5"/>
  <c r="L1154" i="5" s="1"/>
  <c r="E1154" i="5"/>
  <c r="D1154" i="5"/>
  <c r="C1154" i="5"/>
  <c r="B1154" i="5"/>
  <c r="L1153" i="5"/>
  <c r="J1153" i="5"/>
  <c r="I1153" i="5"/>
  <c r="H1153" i="5"/>
  <c r="G1153" i="5"/>
  <c r="F1153" i="5"/>
  <c r="E1153" i="5"/>
  <c r="D1153" i="5"/>
  <c r="C1153" i="5"/>
  <c r="B1153" i="5"/>
  <c r="J1152" i="5"/>
  <c r="I1152" i="5"/>
  <c r="H1152" i="5"/>
  <c r="G1152" i="5"/>
  <c r="F1152" i="5"/>
  <c r="L1152" i="5" s="1"/>
  <c r="E1152" i="5"/>
  <c r="D1152" i="5"/>
  <c r="C1152" i="5"/>
  <c r="B1152" i="5"/>
  <c r="J1151" i="5"/>
  <c r="I1151" i="5"/>
  <c r="H1151" i="5"/>
  <c r="G1151" i="5"/>
  <c r="F1151" i="5"/>
  <c r="L1151" i="5" s="1"/>
  <c r="E1151" i="5"/>
  <c r="D1151" i="5"/>
  <c r="C1151" i="5"/>
  <c r="B1151" i="5"/>
  <c r="J1150" i="5"/>
  <c r="I1150" i="5"/>
  <c r="H1150" i="5"/>
  <c r="G1150" i="5"/>
  <c r="F1150" i="5"/>
  <c r="L1150" i="5" s="1"/>
  <c r="E1150" i="5"/>
  <c r="D1150" i="5"/>
  <c r="C1150" i="5"/>
  <c r="B1150" i="5"/>
  <c r="J1149" i="5"/>
  <c r="I1149" i="5"/>
  <c r="H1149" i="5"/>
  <c r="G1149" i="5"/>
  <c r="F1149" i="5"/>
  <c r="L1149" i="5" s="1"/>
  <c r="E1149" i="5"/>
  <c r="D1149" i="5"/>
  <c r="C1149" i="5"/>
  <c r="B1149" i="5"/>
  <c r="L1148" i="5"/>
  <c r="J1148" i="5"/>
  <c r="I1148" i="5"/>
  <c r="H1148" i="5"/>
  <c r="G1148" i="5"/>
  <c r="F1148" i="5"/>
  <c r="E1148" i="5"/>
  <c r="D1148" i="5"/>
  <c r="C1148" i="5"/>
  <c r="B1148" i="5"/>
  <c r="J1147" i="5"/>
  <c r="I1147" i="5"/>
  <c r="H1147" i="5"/>
  <c r="G1147" i="5"/>
  <c r="F1147" i="5"/>
  <c r="L1147" i="5" s="1"/>
  <c r="E1147" i="5"/>
  <c r="D1147" i="5"/>
  <c r="C1147" i="5"/>
  <c r="B1147" i="5"/>
  <c r="J1146" i="5"/>
  <c r="I1146" i="5"/>
  <c r="H1146" i="5"/>
  <c r="G1146" i="5"/>
  <c r="F1146" i="5"/>
  <c r="L1146" i="5" s="1"/>
  <c r="E1146" i="5"/>
  <c r="D1146" i="5"/>
  <c r="C1146" i="5"/>
  <c r="B1146" i="5"/>
  <c r="L1145" i="5"/>
  <c r="J1145" i="5"/>
  <c r="I1145" i="5"/>
  <c r="H1145" i="5"/>
  <c r="G1145" i="5"/>
  <c r="F1145" i="5"/>
  <c r="E1145" i="5"/>
  <c r="D1145" i="5"/>
  <c r="C1145" i="5"/>
  <c r="B1145" i="5"/>
  <c r="J1144" i="5"/>
  <c r="I1144" i="5"/>
  <c r="H1144" i="5"/>
  <c r="G1144" i="5"/>
  <c r="F1144" i="5"/>
  <c r="L1144" i="5" s="1"/>
  <c r="E1144" i="5"/>
  <c r="D1144" i="5"/>
  <c r="C1144" i="5"/>
  <c r="B1144" i="5"/>
  <c r="J1143" i="5"/>
  <c r="I1143" i="5"/>
  <c r="H1143" i="5"/>
  <c r="G1143" i="5"/>
  <c r="F1143" i="5"/>
  <c r="L1143" i="5" s="1"/>
  <c r="E1143" i="5"/>
  <c r="D1143" i="5"/>
  <c r="C1143" i="5"/>
  <c r="B1143" i="5"/>
  <c r="J1142" i="5"/>
  <c r="I1142" i="5"/>
  <c r="H1142" i="5"/>
  <c r="G1142" i="5"/>
  <c r="F1142" i="5"/>
  <c r="L1142" i="5" s="1"/>
  <c r="E1142" i="5"/>
  <c r="D1142" i="5"/>
  <c r="C1142" i="5"/>
  <c r="B1142" i="5"/>
  <c r="J1141" i="5"/>
  <c r="I1141" i="5"/>
  <c r="H1141" i="5"/>
  <c r="G1141" i="5"/>
  <c r="F1141" i="5"/>
  <c r="L1141" i="5" s="1"/>
  <c r="E1141" i="5"/>
  <c r="D1141" i="5"/>
  <c r="C1141" i="5"/>
  <c r="B1141" i="5"/>
  <c r="L1140" i="5"/>
  <c r="J1140" i="5"/>
  <c r="I1140" i="5"/>
  <c r="H1140" i="5"/>
  <c r="G1140" i="5"/>
  <c r="F1140" i="5"/>
  <c r="E1140" i="5"/>
  <c r="D1140" i="5"/>
  <c r="C1140" i="5"/>
  <c r="B1140" i="5"/>
  <c r="J1139" i="5"/>
  <c r="I1139" i="5"/>
  <c r="H1139" i="5"/>
  <c r="G1139" i="5"/>
  <c r="F1139" i="5"/>
  <c r="L1139" i="5" s="1"/>
  <c r="E1139" i="5"/>
  <c r="D1139" i="5"/>
  <c r="C1139" i="5"/>
  <c r="B1139" i="5"/>
  <c r="J1138" i="5"/>
  <c r="I1138" i="5"/>
  <c r="H1138" i="5"/>
  <c r="G1138" i="5"/>
  <c r="F1138" i="5"/>
  <c r="L1138" i="5" s="1"/>
  <c r="E1138" i="5"/>
  <c r="D1138" i="5"/>
  <c r="C1138" i="5"/>
  <c r="B1138" i="5"/>
  <c r="L1137" i="5"/>
  <c r="J1137" i="5"/>
  <c r="I1137" i="5"/>
  <c r="H1137" i="5"/>
  <c r="G1137" i="5"/>
  <c r="F1137" i="5"/>
  <c r="E1137" i="5"/>
  <c r="D1137" i="5"/>
  <c r="C1137" i="5"/>
  <c r="B1137" i="5"/>
  <c r="J1136" i="5"/>
  <c r="I1136" i="5"/>
  <c r="H1136" i="5"/>
  <c r="G1136" i="5"/>
  <c r="F1136" i="5"/>
  <c r="L1136" i="5" s="1"/>
  <c r="E1136" i="5"/>
  <c r="D1136" i="5"/>
  <c r="C1136" i="5"/>
  <c r="B1136" i="5"/>
  <c r="L1135" i="5"/>
  <c r="J1135" i="5"/>
  <c r="I1135" i="5"/>
  <c r="H1135" i="5"/>
  <c r="G1135" i="5"/>
  <c r="F1135" i="5"/>
  <c r="E1135" i="5"/>
  <c r="D1135" i="5"/>
  <c r="C1135" i="5"/>
  <c r="B1135" i="5"/>
  <c r="J1134" i="5"/>
  <c r="I1134" i="5"/>
  <c r="H1134" i="5"/>
  <c r="G1134" i="5"/>
  <c r="F1134" i="5"/>
  <c r="L1134" i="5" s="1"/>
  <c r="E1134" i="5"/>
  <c r="D1134" i="5"/>
  <c r="C1134" i="5"/>
  <c r="B1134" i="5"/>
  <c r="L1133" i="5"/>
  <c r="J1133" i="5"/>
  <c r="I1133" i="5"/>
  <c r="H1133" i="5"/>
  <c r="G1133" i="5"/>
  <c r="F1133" i="5"/>
  <c r="E1133" i="5"/>
  <c r="D1133" i="5"/>
  <c r="C1133" i="5"/>
  <c r="B1133" i="5"/>
  <c r="L1132" i="5"/>
  <c r="J1132" i="5"/>
  <c r="I1132" i="5"/>
  <c r="H1132" i="5"/>
  <c r="G1132" i="5"/>
  <c r="F1132" i="5"/>
  <c r="E1132" i="5"/>
  <c r="D1132" i="5"/>
  <c r="C1132" i="5"/>
  <c r="B1132" i="5"/>
  <c r="L1131" i="5"/>
  <c r="J1131" i="5"/>
  <c r="I1131" i="5"/>
  <c r="H1131" i="5"/>
  <c r="G1131" i="5"/>
  <c r="F1131" i="5"/>
  <c r="E1131" i="5"/>
  <c r="D1131" i="5"/>
  <c r="C1131" i="5"/>
  <c r="B1131" i="5"/>
  <c r="J1130" i="5"/>
  <c r="I1130" i="5"/>
  <c r="H1130" i="5"/>
  <c r="G1130" i="5"/>
  <c r="F1130" i="5"/>
  <c r="L1130" i="5" s="1"/>
  <c r="E1130" i="5"/>
  <c r="D1130" i="5"/>
  <c r="C1130" i="5"/>
  <c r="B1130" i="5"/>
  <c r="L1129" i="5"/>
  <c r="J1129" i="5"/>
  <c r="I1129" i="5"/>
  <c r="H1129" i="5"/>
  <c r="G1129" i="5"/>
  <c r="F1129" i="5"/>
  <c r="E1129" i="5"/>
  <c r="D1129" i="5"/>
  <c r="C1129" i="5"/>
  <c r="B1129" i="5"/>
  <c r="L1128" i="5"/>
  <c r="J1128" i="5"/>
  <c r="I1128" i="5"/>
  <c r="H1128" i="5"/>
  <c r="G1128" i="5"/>
  <c r="F1128" i="5"/>
  <c r="E1128" i="5"/>
  <c r="D1128" i="5"/>
  <c r="C1128" i="5"/>
  <c r="B1128" i="5"/>
  <c r="L1127" i="5"/>
  <c r="J1127" i="5"/>
  <c r="I1127" i="5"/>
  <c r="H1127" i="5"/>
  <c r="G1127" i="5"/>
  <c r="F1127" i="5"/>
  <c r="E1127" i="5"/>
  <c r="D1127" i="5"/>
  <c r="C1127" i="5"/>
  <c r="B1127" i="5"/>
  <c r="J1126" i="5"/>
  <c r="I1126" i="5"/>
  <c r="H1126" i="5"/>
  <c r="G1126" i="5"/>
  <c r="F1126" i="5"/>
  <c r="L1126" i="5" s="1"/>
  <c r="E1126" i="5"/>
  <c r="D1126" i="5"/>
  <c r="C1126" i="5"/>
  <c r="B1126" i="5"/>
  <c r="L1125" i="5"/>
  <c r="J1125" i="5"/>
  <c r="I1125" i="5"/>
  <c r="H1125" i="5"/>
  <c r="G1125" i="5"/>
  <c r="F1125" i="5"/>
  <c r="E1125" i="5"/>
  <c r="D1125" i="5"/>
  <c r="C1125" i="5"/>
  <c r="B1125" i="5"/>
  <c r="L1124" i="5"/>
  <c r="J1124" i="5"/>
  <c r="I1124" i="5"/>
  <c r="H1124" i="5"/>
  <c r="G1124" i="5"/>
  <c r="F1124" i="5"/>
  <c r="E1124" i="5"/>
  <c r="D1124" i="5"/>
  <c r="C1124" i="5"/>
  <c r="B1124" i="5"/>
  <c r="L1123" i="5"/>
  <c r="J1123" i="5"/>
  <c r="I1123" i="5"/>
  <c r="H1123" i="5"/>
  <c r="G1123" i="5"/>
  <c r="F1123" i="5"/>
  <c r="E1123" i="5"/>
  <c r="D1123" i="5"/>
  <c r="C1123" i="5"/>
  <c r="B1123" i="5"/>
  <c r="J1122" i="5"/>
  <c r="I1122" i="5"/>
  <c r="H1122" i="5"/>
  <c r="G1122" i="5"/>
  <c r="F1122" i="5"/>
  <c r="L1122" i="5" s="1"/>
  <c r="E1122" i="5"/>
  <c r="D1122" i="5"/>
  <c r="C1122" i="5"/>
  <c r="B1122" i="5"/>
  <c r="L1121" i="5"/>
  <c r="J1121" i="5"/>
  <c r="I1121" i="5"/>
  <c r="H1121" i="5"/>
  <c r="G1121" i="5"/>
  <c r="F1121" i="5"/>
  <c r="E1121" i="5"/>
  <c r="D1121" i="5"/>
  <c r="C1121" i="5"/>
  <c r="B1121" i="5"/>
  <c r="L1120" i="5"/>
  <c r="J1120" i="5"/>
  <c r="I1120" i="5"/>
  <c r="H1120" i="5"/>
  <c r="G1120" i="5"/>
  <c r="F1120" i="5"/>
  <c r="E1120" i="5"/>
  <c r="D1120" i="5"/>
  <c r="C1120" i="5"/>
  <c r="B1120" i="5"/>
  <c r="L1119" i="5"/>
  <c r="J1119" i="5"/>
  <c r="I1119" i="5"/>
  <c r="H1119" i="5"/>
  <c r="G1119" i="5"/>
  <c r="F1119" i="5"/>
  <c r="E1119" i="5"/>
  <c r="D1119" i="5"/>
  <c r="C1119" i="5"/>
  <c r="B1119" i="5"/>
  <c r="J1118" i="5"/>
  <c r="I1118" i="5"/>
  <c r="H1118" i="5"/>
  <c r="G1118" i="5"/>
  <c r="F1118" i="5"/>
  <c r="L1118" i="5" s="1"/>
  <c r="E1118" i="5"/>
  <c r="D1118" i="5"/>
  <c r="C1118" i="5"/>
  <c r="B1118" i="5"/>
  <c r="L1117" i="5"/>
  <c r="J1117" i="5"/>
  <c r="I1117" i="5"/>
  <c r="H1117" i="5"/>
  <c r="G1117" i="5"/>
  <c r="F1117" i="5"/>
  <c r="E1117" i="5"/>
  <c r="D1117" i="5"/>
  <c r="C1117" i="5"/>
  <c r="B1117" i="5"/>
  <c r="L1116" i="5"/>
  <c r="J1116" i="5"/>
  <c r="I1116" i="5"/>
  <c r="H1116" i="5"/>
  <c r="G1116" i="5"/>
  <c r="F1116" i="5"/>
  <c r="E1116" i="5"/>
  <c r="D1116" i="5"/>
  <c r="C1116" i="5"/>
  <c r="B1116" i="5"/>
  <c r="L1115" i="5"/>
  <c r="J1115" i="5"/>
  <c r="I1115" i="5"/>
  <c r="H1115" i="5"/>
  <c r="G1115" i="5"/>
  <c r="F1115" i="5"/>
  <c r="E1115" i="5"/>
  <c r="D1115" i="5"/>
  <c r="C1115" i="5"/>
  <c r="B1115" i="5"/>
  <c r="J1114" i="5"/>
  <c r="I1114" i="5"/>
  <c r="H1114" i="5"/>
  <c r="G1114" i="5"/>
  <c r="F1114" i="5"/>
  <c r="L1114" i="5" s="1"/>
  <c r="E1114" i="5"/>
  <c r="D1114" i="5"/>
  <c r="C1114" i="5"/>
  <c r="B1114" i="5"/>
  <c r="L1113" i="5"/>
  <c r="J1113" i="5"/>
  <c r="I1113" i="5"/>
  <c r="H1113" i="5"/>
  <c r="G1113" i="5"/>
  <c r="F1113" i="5"/>
  <c r="E1113" i="5"/>
  <c r="D1113" i="5"/>
  <c r="C1113" i="5"/>
  <c r="B1113" i="5"/>
  <c r="L1112" i="5"/>
  <c r="J1112" i="5"/>
  <c r="I1112" i="5"/>
  <c r="H1112" i="5"/>
  <c r="G1112" i="5"/>
  <c r="F1112" i="5"/>
  <c r="E1112" i="5"/>
  <c r="D1112" i="5"/>
  <c r="C1112" i="5"/>
  <c r="B1112" i="5"/>
  <c r="L1111" i="5"/>
  <c r="J1111" i="5"/>
  <c r="I1111" i="5"/>
  <c r="H1111" i="5"/>
  <c r="G1111" i="5"/>
  <c r="F1111" i="5"/>
  <c r="E1111" i="5"/>
  <c r="D1111" i="5"/>
  <c r="C1111" i="5"/>
  <c r="B1111" i="5"/>
  <c r="J1110" i="5"/>
  <c r="I1110" i="5"/>
  <c r="H1110" i="5"/>
  <c r="G1110" i="5"/>
  <c r="F1110" i="5"/>
  <c r="L1110" i="5" s="1"/>
  <c r="E1110" i="5"/>
  <c r="D1110" i="5"/>
  <c r="C1110" i="5"/>
  <c r="B1110" i="5"/>
  <c r="L1109" i="5"/>
  <c r="J1109" i="5"/>
  <c r="I1109" i="5"/>
  <c r="H1109" i="5"/>
  <c r="G1109" i="5"/>
  <c r="F1109" i="5"/>
  <c r="E1109" i="5"/>
  <c r="D1109" i="5"/>
  <c r="C1109" i="5"/>
  <c r="B1109" i="5"/>
  <c r="L1108" i="5"/>
  <c r="J1108" i="5"/>
  <c r="I1108" i="5"/>
  <c r="H1108" i="5"/>
  <c r="G1108" i="5"/>
  <c r="F1108" i="5"/>
  <c r="E1108" i="5"/>
  <c r="D1108" i="5"/>
  <c r="C1108" i="5"/>
  <c r="B1108" i="5"/>
  <c r="L1107" i="5"/>
  <c r="J1107" i="5"/>
  <c r="I1107" i="5"/>
  <c r="H1107" i="5"/>
  <c r="G1107" i="5"/>
  <c r="F1107" i="5"/>
  <c r="E1107" i="5"/>
  <c r="D1107" i="5"/>
  <c r="C1107" i="5"/>
  <c r="B1107" i="5"/>
  <c r="J1106" i="5"/>
  <c r="I1106" i="5"/>
  <c r="H1106" i="5"/>
  <c r="G1106" i="5"/>
  <c r="F1106" i="5"/>
  <c r="L1106" i="5" s="1"/>
  <c r="E1106" i="5"/>
  <c r="D1106" i="5"/>
  <c r="C1106" i="5"/>
  <c r="B1106" i="5"/>
  <c r="L1105" i="5"/>
  <c r="J1105" i="5"/>
  <c r="I1105" i="5"/>
  <c r="H1105" i="5"/>
  <c r="G1105" i="5"/>
  <c r="F1105" i="5"/>
  <c r="E1105" i="5"/>
  <c r="D1105" i="5"/>
  <c r="C1105" i="5"/>
  <c r="B1105" i="5"/>
  <c r="L1104" i="5"/>
  <c r="J1104" i="5"/>
  <c r="I1104" i="5"/>
  <c r="H1104" i="5"/>
  <c r="G1104" i="5"/>
  <c r="F1104" i="5"/>
  <c r="E1104" i="5"/>
  <c r="D1104" i="5"/>
  <c r="C1104" i="5"/>
  <c r="B1104" i="5"/>
  <c r="L1103" i="5"/>
  <c r="J1103" i="5"/>
  <c r="I1103" i="5"/>
  <c r="H1103" i="5"/>
  <c r="G1103" i="5"/>
  <c r="F1103" i="5"/>
  <c r="E1103" i="5"/>
  <c r="D1103" i="5"/>
  <c r="C1103" i="5"/>
  <c r="B1103" i="5"/>
  <c r="J1102" i="5"/>
  <c r="I1102" i="5"/>
  <c r="H1102" i="5"/>
  <c r="G1102" i="5"/>
  <c r="F1102" i="5"/>
  <c r="L1102" i="5" s="1"/>
  <c r="E1102" i="5"/>
  <c r="D1102" i="5"/>
  <c r="C1102" i="5"/>
  <c r="B1102" i="5"/>
  <c r="L1101" i="5"/>
  <c r="J1101" i="5"/>
  <c r="I1101" i="5"/>
  <c r="H1101" i="5"/>
  <c r="G1101" i="5"/>
  <c r="F1101" i="5"/>
  <c r="E1101" i="5"/>
  <c r="D1101" i="5"/>
  <c r="C1101" i="5"/>
  <c r="B1101" i="5"/>
  <c r="L1100" i="5"/>
  <c r="J1100" i="5"/>
  <c r="I1100" i="5"/>
  <c r="H1100" i="5"/>
  <c r="G1100" i="5"/>
  <c r="F1100" i="5"/>
  <c r="E1100" i="5"/>
  <c r="D1100" i="5"/>
  <c r="C1100" i="5"/>
  <c r="B1100" i="5"/>
  <c r="L1099" i="5"/>
  <c r="J1099" i="5"/>
  <c r="I1099" i="5"/>
  <c r="H1099" i="5"/>
  <c r="G1099" i="5"/>
  <c r="F1099" i="5"/>
  <c r="E1099" i="5"/>
  <c r="D1099" i="5"/>
  <c r="C1099" i="5"/>
  <c r="B1099" i="5"/>
  <c r="J1098" i="5"/>
  <c r="I1098" i="5"/>
  <c r="H1098" i="5"/>
  <c r="G1098" i="5"/>
  <c r="F1098" i="5"/>
  <c r="L1098" i="5" s="1"/>
  <c r="E1098" i="5"/>
  <c r="D1098" i="5"/>
  <c r="C1098" i="5"/>
  <c r="B1098" i="5"/>
  <c r="L1097" i="5"/>
  <c r="J1097" i="5"/>
  <c r="I1097" i="5"/>
  <c r="H1097" i="5"/>
  <c r="G1097" i="5"/>
  <c r="F1097" i="5"/>
  <c r="E1097" i="5"/>
  <c r="D1097" i="5"/>
  <c r="C1097" i="5"/>
  <c r="B1097" i="5"/>
  <c r="L1096" i="5"/>
  <c r="J1096" i="5"/>
  <c r="I1096" i="5"/>
  <c r="H1096" i="5"/>
  <c r="G1096" i="5"/>
  <c r="F1096" i="5"/>
  <c r="E1096" i="5"/>
  <c r="D1096" i="5"/>
  <c r="C1096" i="5"/>
  <c r="B1096" i="5"/>
  <c r="L1095" i="5"/>
  <c r="J1095" i="5"/>
  <c r="I1095" i="5"/>
  <c r="H1095" i="5"/>
  <c r="G1095" i="5"/>
  <c r="F1095" i="5"/>
  <c r="E1095" i="5"/>
  <c r="D1095" i="5"/>
  <c r="C1095" i="5"/>
  <c r="B1095" i="5"/>
  <c r="J1094" i="5"/>
  <c r="I1094" i="5"/>
  <c r="H1094" i="5"/>
  <c r="G1094" i="5"/>
  <c r="F1094" i="5"/>
  <c r="L1094" i="5" s="1"/>
  <c r="E1094" i="5"/>
  <c r="D1094" i="5"/>
  <c r="C1094" i="5"/>
  <c r="B1094" i="5"/>
  <c r="L1093" i="5"/>
  <c r="J1093" i="5"/>
  <c r="I1093" i="5"/>
  <c r="H1093" i="5"/>
  <c r="G1093" i="5"/>
  <c r="F1093" i="5"/>
  <c r="E1093" i="5"/>
  <c r="D1093" i="5"/>
  <c r="C1093" i="5"/>
  <c r="B1093" i="5"/>
  <c r="L1092" i="5"/>
  <c r="J1092" i="5"/>
  <c r="I1092" i="5"/>
  <c r="H1092" i="5"/>
  <c r="G1092" i="5"/>
  <c r="F1092" i="5"/>
  <c r="E1092" i="5"/>
  <c r="D1092" i="5"/>
  <c r="C1092" i="5"/>
  <c r="B1092" i="5"/>
  <c r="L1091" i="5"/>
  <c r="J1091" i="5"/>
  <c r="I1091" i="5"/>
  <c r="H1091" i="5"/>
  <c r="G1091" i="5"/>
  <c r="F1091" i="5"/>
  <c r="E1091" i="5"/>
  <c r="D1091" i="5"/>
  <c r="C1091" i="5"/>
  <c r="B1091" i="5"/>
  <c r="J1090" i="5"/>
  <c r="I1090" i="5"/>
  <c r="H1090" i="5"/>
  <c r="G1090" i="5"/>
  <c r="F1090" i="5"/>
  <c r="L1090" i="5" s="1"/>
  <c r="E1090" i="5"/>
  <c r="D1090" i="5"/>
  <c r="C1090" i="5"/>
  <c r="B1090" i="5"/>
  <c r="L1089" i="5"/>
  <c r="J1089" i="5"/>
  <c r="I1089" i="5"/>
  <c r="H1089" i="5"/>
  <c r="G1089" i="5"/>
  <c r="F1089" i="5"/>
  <c r="E1089" i="5"/>
  <c r="D1089" i="5"/>
  <c r="C1089" i="5"/>
  <c r="B1089" i="5"/>
  <c r="L1088" i="5"/>
  <c r="J1088" i="5"/>
  <c r="I1088" i="5"/>
  <c r="H1088" i="5"/>
  <c r="G1088" i="5"/>
  <c r="F1088" i="5"/>
  <c r="E1088" i="5"/>
  <c r="D1088" i="5"/>
  <c r="C1088" i="5"/>
  <c r="B1088" i="5"/>
  <c r="L1087" i="5"/>
  <c r="J1087" i="5"/>
  <c r="I1087" i="5"/>
  <c r="H1087" i="5"/>
  <c r="G1087" i="5"/>
  <c r="F1087" i="5"/>
  <c r="E1087" i="5"/>
  <c r="D1087" i="5"/>
  <c r="C1087" i="5"/>
  <c r="B1087" i="5"/>
  <c r="J1086" i="5"/>
  <c r="I1086" i="5"/>
  <c r="H1086" i="5"/>
  <c r="G1086" i="5"/>
  <c r="F1086" i="5"/>
  <c r="L1086" i="5" s="1"/>
  <c r="E1086" i="5"/>
  <c r="D1086" i="5"/>
  <c r="C1086" i="5"/>
  <c r="B1086" i="5"/>
  <c r="L1085" i="5"/>
  <c r="J1085" i="5"/>
  <c r="I1085" i="5"/>
  <c r="H1085" i="5"/>
  <c r="G1085" i="5"/>
  <c r="F1085" i="5"/>
  <c r="E1085" i="5"/>
  <c r="D1085" i="5"/>
  <c r="C1085" i="5"/>
  <c r="B1085" i="5"/>
  <c r="L1084" i="5"/>
  <c r="J1084" i="5"/>
  <c r="I1084" i="5"/>
  <c r="H1084" i="5"/>
  <c r="G1084" i="5"/>
  <c r="F1084" i="5"/>
  <c r="E1084" i="5"/>
  <c r="D1084" i="5"/>
  <c r="C1084" i="5"/>
  <c r="B1084" i="5"/>
  <c r="L1083" i="5"/>
  <c r="J1083" i="5"/>
  <c r="I1083" i="5"/>
  <c r="H1083" i="5"/>
  <c r="G1083" i="5"/>
  <c r="F1083" i="5"/>
  <c r="E1083" i="5"/>
  <c r="D1083" i="5"/>
  <c r="C1083" i="5"/>
  <c r="B1083" i="5"/>
  <c r="J1082" i="5"/>
  <c r="I1082" i="5"/>
  <c r="H1082" i="5"/>
  <c r="G1082" i="5"/>
  <c r="F1082" i="5"/>
  <c r="L1082" i="5" s="1"/>
  <c r="E1082" i="5"/>
  <c r="D1082" i="5"/>
  <c r="C1082" i="5"/>
  <c r="B1082" i="5"/>
  <c r="L1081" i="5"/>
  <c r="J1081" i="5"/>
  <c r="I1081" i="5"/>
  <c r="H1081" i="5"/>
  <c r="G1081" i="5"/>
  <c r="F1081" i="5"/>
  <c r="E1081" i="5"/>
  <c r="D1081" i="5"/>
  <c r="C1081" i="5"/>
  <c r="B1081" i="5"/>
  <c r="L1080" i="5"/>
  <c r="J1080" i="5"/>
  <c r="I1080" i="5"/>
  <c r="H1080" i="5"/>
  <c r="G1080" i="5"/>
  <c r="F1080" i="5"/>
  <c r="E1080" i="5"/>
  <c r="D1080" i="5"/>
  <c r="C1080" i="5"/>
  <c r="B1080" i="5"/>
  <c r="L1079" i="5"/>
  <c r="J1079" i="5"/>
  <c r="I1079" i="5"/>
  <c r="H1079" i="5"/>
  <c r="G1079" i="5"/>
  <c r="F1079" i="5"/>
  <c r="E1079" i="5"/>
  <c r="D1079" i="5"/>
  <c r="C1079" i="5"/>
  <c r="B1079" i="5"/>
  <c r="J1078" i="5"/>
  <c r="I1078" i="5"/>
  <c r="H1078" i="5"/>
  <c r="G1078" i="5"/>
  <c r="F1078" i="5"/>
  <c r="L1078" i="5" s="1"/>
  <c r="E1078" i="5"/>
  <c r="D1078" i="5"/>
  <c r="C1078" i="5"/>
  <c r="B1078" i="5"/>
  <c r="L1077" i="5"/>
  <c r="J1077" i="5"/>
  <c r="I1077" i="5"/>
  <c r="H1077" i="5"/>
  <c r="G1077" i="5"/>
  <c r="F1077" i="5"/>
  <c r="E1077" i="5"/>
  <c r="D1077" i="5"/>
  <c r="C1077" i="5"/>
  <c r="B1077" i="5"/>
  <c r="L1076" i="5"/>
  <c r="J1076" i="5"/>
  <c r="I1076" i="5"/>
  <c r="H1076" i="5"/>
  <c r="G1076" i="5"/>
  <c r="F1076" i="5"/>
  <c r="E1076" i="5"/>
  <c r="D1076" i="5"/>
  <c r="C1076" i="5"/>
  <c r="B1076" i="5"/>
  <c r="L1075" i="5"/>
  <c r="J1075" i="5"/>
  <c r="I1075" i="5"/>
  <c r="H1075" i="5"/>
  <c r="G1075" i="5"/>
  <c r="F1075" i="5"/>
  <c r="E1075" i="5"/>
  <c r="D1075" i="5"/>
  <c r="C1075" i="5"/>
  <c r="B1075" i="5"/>
  <c r="J1074" i="5"/>
  <c r="I1074" i="5"/>
  <c r="H1074" i="5"/>
  <c r="G1074" i="5"/>
  <c r="F1074" i="5"/>
  <c r="L1074" i="5" s="1"/>
  <c r="E1074" i="5"/>
  <c r="D1074" i="5"/>
  <c r="C1074" i="5"/>
  <c r="B1074" i="5"/>
  <c r="L1073" i="5"/>
  <c r="J1073" i="5"/>
  <c r="I1073" i="5"/>
  <c r="H1073" i="5"/>
  <c r="G1073" i="5"/>
  <c r="F1073" i="5"/>
  <c r="E1073" i="5"/>
  <c r="D1073" i="5"/>
  <c r="C1073" i="5"/>
  <c r="B1073" i="5"/>
  <c r="L1072" i="5"/>
  <c r="J1072" i="5"/>
  <c r="I1072" i="5"/>
  <c r="H1072" i="5"/>
  <c r="G1072" i="5"/>
  <c r="F1072" i="5"/>
  <c r="E1072" i="5"/>
  <c r="D1072" i="5"/>
  <c r="C1072" i="5"/>
  <c r="B1072" i="5"/>
  <c r="L1071" i="5"/>
  <c r="J1071" i="5"/>
  <c r="I1071" i="5"/>
  <c r="H1071" i="5"/>
  <c r="G1071" i="5"/>
  <c r="F1071" i="5"/>
  <c r="E1071" i="5"/>
  <c r="D1071" i="5"/>
  <c r="C1071" i="5"/>
  <c r="B1071" i="5"/>
  <c r="J1070" i="5"/>
  <c r="I1070" i="5"/>
  <c r="H1070" i="5"/>
  <c r="G1070" i="5"/>
  <c r="F1070" i="5"/>
  <c r="L1070" i="5" s="1"/>
  <c r="E1070" i="5"/>
  <c r="D1070" i="5"/>
  <c r="C1070" i="5"/>
  <c r="B1070" i="5"/>
  <c r="L1069" i="5"/>
  <c r="J1069" i="5"/>
  <c r="I1069" i="5"/>
  <c r="H1069" i="5"/>
  <c r="G1069" i="5"/>
  <c r="F1069" i="5"/>
  <c r="E1069" i="5"/>
  <c r="D1069" i="5"/>
  <c r="C1069" i="5"/>
  <c r="B1069" i="5"/>
  <c r="L1068" i="5"/>
  <c r="J1068" i="5"/>
  <c r="I1068" i="5"/>
  <c r="H1068" i="5"/>
  <c r="G1068" i="5"/>
  <c r="F1068" i="5"/>
  <c r="E1068" i="5"/>
  <c r="D1068" i="5"/>
  <c r="C1068" i="5"/>
  <c r="B1068" i="5"/>
  <c r="L1067" i="5"/>
  <c r="J1067" i="5"/>
  <c r="I1067" i="5"/>
  <c r="H1067" i="5"/>
  <c r="G1067" i="5"/>
  <c r="F1067" i="5"/>
  <c r="E1067" i="5"/>
  <c r="D1067" i="5"/>
  <c r="C1067" i="5"/>
  <c r="B1067" i="5"/>
  <c r="J1066" i="5"/>
  <c r="I1066" i="5"/>
  <c r="H1066" i="5"/>
  <c r="G1066" i="5"/>
  <c r="F1066" i="5"/>
  <c r="L1066" i="5" s="1"/>
  <c r="E1066" i="5"/>
  <c r="D1066" i="5"/>
  <c r="C1066" i="5"/>
  <c r="B1066" i="5"/>
  <c r="L1065" i="5"/>
  <c r="J1065" i="5"/>
  <c r="I1065" i="5"/>
  <c r="H1065" i="5"/>
  <c r="G1065" i="5"/>
  <c r="F1065" i="5"/>
  <c r="E1065" i="5"/>
  <c r="D1065" i="5"/>
  <c r="C1065" i="5"/>
  <c r="B1065" i="5"/>
  <c r="L1064" i="5"/>
  <c r="J1064" i="5"/>
  <c r="I1064" i="5"/>
  <c r="H1064" i="5"/>
  <c r="G1064" i="5"/>
  <c r="F1064" i="5"/>
  <c r="E1064" i="5"/>
  <c r="D1064" i="5"/>
  <c r="C1064" i="5"/>
  <c r="B1064" i="5"/>
  <c r="L1063" i="5"/>
  <c r="J1063" i="5"/>
  <c r="I1063" i="5"/>
  <c r="H1063" i="5"/>
  <c r="G1063" i="5"/>
  <c r="F1063" i="5"/>
  <c r="E1063" i="5"/>
  <c r="D1063" i="5"/>
  <c r="C1063" i="5"/>
  <c r="B1063" i="5"/>
  <c r="J1062" i="5"/>
  <c r="I1062" i="5"/>
  <c r="H1062" i="5"/>
  <c r="G1062" i="5"/>
  <c r="F1062" i="5"/>
  <c r="L1062" i="5" s="1"/>
  <c r="E1062" i="5"/>
  <c r="D1062" i="5"/>
  <c r="C1062" i="5"/>
  <c r="B1062" i="5"/>
  <c r="L1061" i="5"/>
  <c r="J1061" i="5"/>
  <c r="I1061" i="5"/>
  <c r="H1061" i="5"/>
  <c r="G1061" i="5"/>
  <c r="F1061" i="5"/>
  <c r="E1061" i="5"/>
  <c r="D1061" i="5"/>
  <c r="C1061" i="5"/>
  <c r="B1061" i="5"/>
  <c r="L1060" i="5"/>
  <c r="J1060" i="5"/>
  <c r="I1060" i="5"/>
  <c r="H1060" i="5"/>
  <c r="G1060" i="5"/>
  <c r="F1060" i="5"/>
  <c r="E1060" i="5"/>
  <c r="D1060" i="5"/>
  <c r="C1060" i="5"/>
  <c r="B1060" i="5"/>
  <c r="L1059" i="5"/>
  <c r="J1059" i="5"/>
  <c r="I1059" i="5"/>
  <c r="H1059" i="5"/>
  <c r="G1059" i="5"/>
  <c r="F1059" i="5"/>
  <c r="E1059" i="5"/>
  <c r="D1059" i="5"/>
  <c r="C1059" i="5"/>
  <c r="B1059" i="5"/>
  <c r="J1058" i="5"/>
  <c r="I1058" i="5"/>
  <c r="H1058" i="5"/>
  <c r="G1058" i="5"/>
  <c r="F1058" i="5"/>
  <c r="L1058" i="5" s="1"/>
  <c r="E1058" i="5"/>
  <c r="D1058" i="5"/>
  <c r="C1058" i="5"/>
  <c r="B1058" i="5"/>
  <c r="L1057" i="5"/>
  <c r="J1057" i="5"/>
  <c r="I1057" i="5"/>
  <c r="H1057" i="5"/>
  <c r="G1057" i="5"/>
  <c r="F1057" i="5"/>
  <c r="E1057" i="5"/>
  <c r="D1057" i="5"/>
  <c r="C1057" i="5"/>
  <c r="B1057" i="5"/>
  <c r="L1056" i="5"/>
  <c r="J1056" i="5"/>
  <c r="I1056" i="5"/>
  <c r="H1056" i="5"/>
  <c r="G1056" i="5"/>
  <c r="F1056" i="5"/>
  <c r="E1056" i="5"/>
  <c r="D1056" i="5"/>
  <c r="C1056" i="5"/>
  <c r="B1056" i="5"/>
  <c r="L1055" i="5"/>
  <c r="J1055" i="5"/>
  <c r="I1055" i="5"/>
  <c r="H1055" i="5"/>
  <c r="G1055" i="5"/>
  <c r="F1055" i="5"/>
  <c r="E1055" i="5"/>
  <c r="D1055" i="5"/>
  <c r="C1055" i="5"/>
  <c r="B1055" i="5"/>
  <c r="J1054" i="5"/>
  <c r="I1054" i="5"/>
  <c r="H1054" i="5"/>
  <c r="G1054" i="5"/>
  <c r="F1054" i="5"/>
  <c r="L1054" i="5" s="1"/>
  <c r="E1054" i="5"/>
  <c r="D1054" i="5"/>
  <c r="C1054" i="5"/>
  <c r="B1054" i="5"/>
  <c r="L1053" i="5"/>
  <c r="J1053" i="5"/>
  <c r="I1053" i="5"/>
  <c r="H1053" i="5"/>
  <c r="G1053" i="5"/>
  <c r="F1053" i="5"/>
  <c r="E1053" i="5"/>
  <c r="D1053" i="5"/>
  <c r="C1053" i="5"/>
  <c r="B1053" i="5"/>
  <c r="L1052" i="5"/>
  <c r="J1052" i="5"/>
  <c r="I1052" i="5"/>
  <c r="H1052" i="5"/>
  <c r="G1052" i="5"/>
  <c r="F1052" i="5"/>
  <c r="E1052" i="5"/>
  <c r="D1052" i="5"/>
  <c r="C1052" i="5"/>
  <c r="B1052" i="5"/>
  <c r="L1051" i="5"/>
  <c r="J1051" i="5"/>
  <c r="I1051" i="5"/>
  <c r="H1051" i="5"/>
  <c r="G1051" i="5"/>
  <c r="F1051" i="5"/>
  <c r="E1051" i="5"/>
  <c r="D1051" i="5"/>
  <c r="C1051" i="5"/>
  <c r="B1051" i="5"/>
  <c r="J1050" i="5"/>
  <c r="I1050" i="5"/>
  <c r="H1050" i="5"/>
  <c r="G1050" i="5"/>
  <c r="F1050" i="5"/>
  <c r="L1050" i="5" s="1"/>
  <c r="E1050" i="5"/>
  <c r="D1050" i="5"/>
  <c r="C1050" i="5"/>
  <c r="B1050" i="5"/>
  <c r="L1049" i="5"/>
  <c r="J1049" i="5"/>
  <c r="I1049" i="5"/>
  <c r="H1049" i="5"/>
  <c r="G1049" i="5"/>
  <c r="F1049" i="5"/>
  <c r="E1049" i="5"/>
  <c r="D1049" i="5"/>
  <c r="C1049" i="5"/>
  <c r="B1049" i="5"/>
  <c r="L1048" i="5"/>
  <c r="J1048" i="5"/>
  <c r="I1048" i="5"/>
  <c r="H1048" i="5"/>
  <c r="G1048" i="5"/>
  <c r="F1048" i="5"/>
  <c r="E1048" i="5"/>
  <c r="D1048" i="5"/>
  <c r="C1048" i="5"/>
  <c r="B1048" i="5"/>
  <c r="L1047" i="5"/>
  <c r="J1047" i="5"/>
  <c r="I1047" i="5"/>
  <c r="H1047" i="5"/>
  <c r="G1047" i="5"/>
  <c r="F1047" i="5"/>
  <c r="E1047" i="5"/>
  <c r="D1047" i="5"/>
  <c r="C1047" i="5"/>
  <c r="B1047" i="5"/>
  <c r="J1046" i="5"/>
  <c r="I1046" i="5"/>
  <c r="H1046" i="5"/>
  <c r="G1046" i="5"/>
  <c r="F1046" i="5"/>
  <c r="L1046" i="5" s="1"/>
  <c r="E1046" i="5"/>
  <c r="D1046" i="5"/>
  <c r="C1046" i="5"/>
  <c r="B1046" i="5"/>
  <c r="L1045" i="5"/>
  <c r="J1045" i="5"/>
  <c r="I1045" i="5"/>
  <c r="H1045" i="5"/>
  <c r="G1045" i="5"/>
  <c r="F1045" i="5"/>
  <c r="E1045" i="5"/>
  <c r="D1045" i="5"/>
  <c r="C1045" i="5"/>
  <c r="B1045" i="5"/>
  <c r="L1044" i="5"/>
  <c r="J1044" i="5"/>
  <c r="I1044" i="5"/>
  <c r="H1044" i="5"/>
  <c r="G1044" i="5"/>
  <c r="F1044" i="5"/>
  <c r="E1044" i="5"/>
  <c r="D1044" i="5"/>
  <c r="C1044" i="5"/>
  <c r="B1044" i="5"/>
  <c r="L1043" i="5"/>
  <c r="J1043" i="5"/>
  <c r="I1043" i="5"/>
  <c r="H1043" i="5"/>
  <c r="G1043" i="5"/>
  <c r="F1043" i="5"/>
  <c r="E1043" i="5"/>
  <c r="D1043" i="5"/>
  <c r="C1043" i="5"/>
  <c r="B1043" i="5"/>
  <c r="J1042" i="5"/>
  <c r="I1042" i="5"/>
  <c r="H1042" i="5"/>
  <c r="G1042" i="5"/>
  <c r="F1042" i="5"/>
  <c r="L1042" i="5" s="1"/>
  <c r="E1042" i="5"/>
  <c r="D1042" i="5"/>
  <c r="C1042" i="5"/>
  <c r="B1042" i="5"/>
  <c r="L1041" i="5"/>
  <c r="J1041" i="5"/>
  <c r="I1041" i="5"/>
  <c r="H1041" i="5"/>
  <c r="G1041" i="5"/>
  <c r="F1041" i="5"/>
  <c r="E1041" i="5"/>
  <c r="D1041" i="5"/>
  <c r="C1041" i="5"/>
  <c r="B1041" i="5"/>
  <c r="L1040" i="5"/>
  <c r="J1040" i="5"/>
  <c r="I1040" i="5"/>
  <c r="H1040" i="5"/>
  <c r="G1040" i="5"/>
  <c r="F1040" i="5"/>
  <c r="E1040" i="5"/>
  <c r="D1040" i="5"/>
  <c r="C1040" i="5"/>
  <c r="B1040" i="5"/>
  <c r="L1039" i="5"/>
  <c r="J1039" i="5"/>
  <c r="I1039" i="5"/>
  <c r="H1039" i="5"/>
  <c r="G1039" i="5"/>
  <c r="F1039" i="5"/>
  <c r="E1039" i="5"/>
  <c r="D1039" i="5"/>
  <c r="C1039" i="5"/>
  <c r="B1039" i="5"/>
  <c r="J1038" i="5"/>
  <c r="I1038" i="5"/>
  <c r="H1038" i="5"/>
  <c r="G1038" i="5"/>
  <c r="F1038" i="5"/>
  <c r="L1038" i="5" s="1"/>
  <c r="E1038" i="5"/>
  <c r="D1038" i="5"/>
  <c r="C1038" i="5"/>
  <c r="B1038" i="5"/>
  <c r="L1037" i="5"/>
  <c r="J1037" i="5"/>
  <c r="I1037" i="5"/>
  <c r="H1037" i="5"/>
  <c r="G1037" i="5"/>
  <c r="F1037" i="5"/>
  <c r="E1037" i="5"/>
  <c r="D1037" i="5"/>
  <c r="C1037" i="5"/>
  <c r="B1037" i="5"/>
  <c r="L1036" i="5"/>
  <c r="J1036" i="5"/>
  <c r="I1036" i="5"/>
  <c r="H1036" i="5"/>
  <c r="G1036" i="5"/>
  <c r="F1036" i="5"/>
  <c r="E1036" i="5"/>
  <c r="D1036" i="5"/>
  <c r="C1036" i="5"/>
  <c r="B1036" i="5"/>
  <c r="L1035" i="5"/>
  <c r="J1035" i="5"/>
  <c r="I1035" i="5"/>
  <c r="H1035" i="5"/>
  <c r="G1035" i="5"/>
  <c r="F1035" i="5"/>
  <c r="E1035" i="5"/>
  <c r="D1035" i="5"/>
  <c r="C1035" i="5"/>
  <c r="B1035" i="5"/>
  <c r="J1034" i="5"/>
  <c r="I1034" i="5"/>
  <c r="H1034" i="5"/>
  <c r="G1034" i="5"/>
  <c r="F1034" i="5"/>
  <c r="L1034" i="5" s="1"/>
  <c r="E1034" i="5"/>
  <c r="D1034" i="5"/>
  <c r="C1034" i="5"/>
  <c r="B1034" i="5"/>
  <c r="L1033" i="5"/>
  <c r="J1033" i="5"/>
  <c r="I1033" i="5"/>
  <c r="H1033" i="5"/>
  <c r="G1033" i="5"/>
  <c r="F1033" i="5"/>
  <c r="E1033" i="5"/>
  <c r="D1033" i="5"/>
  <c r="C1033" i="5"/>
  <c r="B1033" i="5"/>
  <c r="L1032" i="5"/>
  <c r="J1032" i="5"/>
  <c r="I1032" i="5"/>
  <c r="H1032" i="5"/>
  <c r="G1032" i="5"/>
  <c r="F1032" i="5"/>
  <c r="E1032" i="5"/>
  <c r="D1032" i="5"/>
  <c r="C1032" i="5"/>
  <c r="B1032" i="5"/>
  <c r="L1031" i="5"/>
  <c r="J1031" i="5"/>
  <c r="I1031" i="5"/>
  <c r="H1031" i="5"/>
  <c r="G1031" i="5"/>
  <c r="F1031" i="5"/>
  <c r="E1031" i="5"/>
  <c r="D1031" i="5"/>
  <c r="C1031" i="5"/>
  <c r="B1031" i="5"/>
  <c r="J1030" i="5"/>
  <c r="I1030" i="5"/>
  <c r="H1030" i="5"/>
  <c r="G1030" i="5"/>
  <c r="F1030" i="5"/>
  <c r="L1030" i="5" s="1"/>
  <c r="E1030" i="5"/>
  <c r="D1030" i="5"/>
  <c r="C1030" i="5"/>
  <c r="B1030" i="5"/>
  <c r="L1029" i="5"/>
  <c r="J1029" i="5"/>
  <c r="I1029" i="5"/>
  <c r="H1029" i="5"/>
  <c r="G1029" i="5"/>
  <c r="F1029" i="5"/>
  <c r="E1029" i="5"/>
  <c r="D1029" i="5"/>
  <c r="C1029" i="5"/>
  <c r="B1029" i="5"/>
  <c r="L1028" i="5"/>
  <c r="J1028" i="5"/>
  <c r="I1028" i="5"/>
  <c r="H1028" i="5"/>
  <c r="G1028" i="5"/>
  <c r="F1028" i="5"/>
  <c r="E1028" i="5"/>
  <c r="D1028" i="5"/>
  <c r="C1028" i="5"/>
  <c r="B1028" i="5"/>
  <c r="L1027" i="5"/>
  <c r="J1027" i="5"/>
  <c r="I1027" i="5"/>
  <c r="H1027" i="5"/>
  <c r="G1027" i="5"/>
  <c r="F1027" i="5"/>
  <c r="E1027" i="5"/>
  <c r="D1027" i="5"/>
  <c r="C1027" i="5"/>
  <c r="B1027" i="5"/>
  <c r="J1026" i="5"/>
  <c r="I1026" i="5"/>
  <c r="H1026" i="5"/>
  <c r="G1026" i="5"/>
  <c r="F1026" i="5"/>
  <c r="L1026" i="5" s="1"/>
  <c r="E1026" i="5"/>
  <c r="D1026" i="5"/>
  <c r="C1026" i="5"/>
  <c r="B1026" i="5"/>
  <c r="L1025" i="5"/>
  <c r="J1025" i="5"/>
  <c r="I1025" i="5"/>
  <c r="H1025" i="5"/>
  <c r="G1025" i="5"/>
  <c r="F1025" i="5"/>
  <c r="E1025" i="5"/>
  <c r="D1025" i="5"/>
  <c r="C1025" i="5"/>
  <c r="B1025" i="5"/>
  <c r="L1024" i="5"/>
  <c r="J1024" i="5"/>
  <c r="I1024" i="5"/>
  <c r="H1024" i="5"/>
  <c r="G1024" i="5"/>
  <c r="F1024" i="5"/>
  <c r="E1024" i="5"/>
  <c r="D1024" i="5"/>
  <c r="C1024" i="5"/>
  <c r="B1024" i="5"/>
  <c r="L1023" i="5"/>
  <c r="J1023" i="5"/>
  <c r="I1023" i="5"/>
  <c r="H1023" i="5"/>
  <c r="G1023" i="5"/>
  <c r="F1023" i="5"/>
  <c r="E1023" i="5"/>
  <c r="D1023" i="5"/>
  <c r="C1023" i="5"/>
  <c r="B1023" i="5"/>
  <c r="J1022" i="5"/>
  <c r="I1022" i="5"/>
  <c r="H1022" i="5"/>
  <c r="G1022" i="5"/>
  <c r="F1022" i="5"/>
  <c r="L1022" i="5" s="1"/>
  <c r="E1022" i="5"/>
  <c r="D1022" i="5"/>
  <c r="C1022" i="5"/>
  <c r="B1022" i="5"/>
  <c r="L1021" i="5"/>
  <c r="J1021" i="5"/>
  <c r="I1021" i="5"/>
  <c r="H1021" i="5"/>
  <c r="G1021" i="5"/>
  <c r="F1021" i="5"/>
  <c r="E1021" i="5"/>
  <c r="D1021" i="5"/>
  <c r="C1021" i="5"/>
  <c r="B1021" i="5"/>
  <c r="L1020" i="5"/>
  <c r="J1020" i="5"/>
  <c r="I1020" i="5"/>
  <c r="H1020" i="5"/>
  <c r="G1020" i="5"/>
  <c r="F1020" i="5"/>
  <c r="E1020" i="5"/>
  <c r="D1020" i="5"/>
  <c r="C1020" i="5"/>
  <c r="B1020" i="5"/>
  <c r="L1019" i="5"/>
  <c r="J1019" i="5"/>
  <c r="I1019" i="5"/>
  <c r="H1019" i="5"/>
  <c r="G1019" i="5"/>
  <c r="F1019" i="5"/>
  <c r="E1019" i="5"/>
  <c r="D1019" i="5"/>
  <c r="C1019" i="5"/>
  <c r="B1019" i="5"/>
  <c r="J1018" i="5"/>
  <c r="I1018" i="5"/>
  <c r="H1018" i="5"/>
  <c r="G1018" i="5"/>
  <c r="F1018" i="5"/>
  <c r="L1018" i="5" s="1"/>
  <c r="E1018" i="5"/>
  <c r="D1018" i="5"/>
  <c r="C1018" i="5"/>
  <c r="B1018" i="5"/>
  <c r="L1017" i="5"/>
  <c r="J1017" i="5"/>
  <c r="I1017" i="5"/>
  <c r="H1017" i="5"/>
  <c r="G1017" i="5"/>
  <c r="F1017" i="5"/>
  <c r="E1017" i="5"/>
  <c r="D1017" i="5"/>
  <c r="C1017" i="5"/>
  <c r="B1017" i="5"/>
  <c r="L1016" i="5"/>
  <c r="J1016" i="5"/>
  <c r="I1016" i="5"/>
  <c r="H1016" i="5"/>
  <c r="G1016" i="5"/>
  <c r="F1016" i="5"/>
  <c r="E1016" i="5"/>
  <c r="D1016" i="5"/>
  <c r="C1016" i="5"/>
  <c r="B1016" i="5"/>
  <c r="L1015" i="5"/>
  <c r="J1015" i="5"/>
  <c r="I1015" i="5"/>
  <c r="H1015" i="5"/>
  <c r="G1015" i="5"/>
  <c r="F1015" i="5"/>
  <c r="E1015" i="5"/>
  <c r="D1015" i="5"/>
  <c r="C1015" i="5"/>
  <c r="B1015" i="5"/>
  <c r="J1014" i="5"/>
  <c r="I1014" i="5"/>
  <c r="H1014" i="5"/>
  <c r="G1014" i="5"/>
  <c r="F1014" i="5"/>
  <c r="L1014" i="5" s="1"/>
  <c r="E1014" i="5"/>
  <c r="D1014" i="5"/>
  <c r="C1014" i="5"/>
  <c r="B1014" i="5"/>
  <c r="L1013" i="5"/>
  <c r="J1013" i="5"/>
  <c r="I1013" i="5"/>
  <c r="H1013" i="5"/>
  <c r="G1013" i="5"/>
  <c r="F1013" i="5"/>
  <c r="E1013" i="5"/>
  <c r="D1013" i="5"/>
  <c r="C1013" i="5"/>
  <c r="B1013" i="5"/>
  <c r="L1012" i="5"/>
  <c r="J1012" i="5"/>
  <c r="I1012" i="5"/>
  <c r="H1012" i="5"/>
  <c r="G1012" i="5"/>
  <c r="F1012" i="5"/>
  <c r="E1012" i="5"/>
  <c r="D1012" i="5"/>
  <c r="C1012" i="5"/>
  <c r="B1012" i="5"/>
  <c r="L1011" i="5"/>
  <c r="J1011" i="5"/>
  <c r="I1011" i="5"/>
  <c r="H1011" i="5"/>
  <c r="G1011" i="5"/>
  <c r="F1011" i="5"/>
  <c r="E1011" i="5"/>
  <c r="D1011" i="5"/>
  <c r="C1011" i="5"/>
  <c r="B1011" i="5"/>
  <c r="J1010" i="5"/>
  <c r="I1010" i="5"/>
  <c r="H1010" i="5"/>
  <c r="G1010" i="5"/>
  <c r="F1010" i="5"/>
  <c r="L1010" i="5" s="1"/>
  <c r="E1010" i="5"/>
  <c r="D1010" i="5"/>
  <c r="C1010" i="5"/>
  <c r="B1010" i="5"/>
  <c r="L1009" i="5"/>
  <c r="J1009" i="5"/>
  <c r="I1009" i="5"/>
  <c r="H1009" i="5"/>
  <c r="G1009" i="5"/>
  <c r="F1009" i="5"/>
  <c r="E1009" i="5"/>
  <c r="D1009" i="5"/>
  <c r="C1009" i="5"/>
  <c r="B1009" i="5"/>
  <c r="L1008" i="5"/>
  <c r="J1008" i="5"/>
  <c r="I1008" i="5"/>
  <c r="H1008" i="5"/>
  <c r="G1008" i="5"/>
  <c r="F1008" i="5"/>
  <c r="E1008" i="5"/>
  <c r="D1008" i="5"/>
  <c r="C1008" i="5"/>
  <c r="B1008" i="5"/>
  <c r="L1007" i="5"/>
  <c r="J1007" i="5"/>
  <c r="I1007" i="5"/>
  <c r="H1007" i="5"/>
  <c r="G1007" i="5"/>
  <c r="F1007" i="5"/>
  <c r="E1007" i="5"/>
  <c r="D1007" i="5"/>
  <c r="C1007" i="5"/>
  <c r="B1007" i="5"/>
  <c r="J1006" i="5"/>
  <c r="I1006" i="5"/>
  <c r="H1006" i="5"/>
  <c r="G1006" i="5"/>
  <c r="F1006" i="5"/>
  <c r="L1006" i="5" s="1"/>
  <c r="E1006" i="5"/>
  <c r="D1006" i="5"/>
  <c r="C1006" i="5"/>
  <c r="B1006" i="5"/>
  <c r="L1005" i="5"/>
  <c r="J1005" i="5"/>
  <c r="I1005" i="5"/>
  <c r="H1005" i="5"/>
  <c r="G1005" i="5"/>
  <c r="F1005" i="5"/>
  <c r="E1005" i="5"/>
  <c r="D1005" i="5"/>
  <c r="C1005" i="5"/>
  <c r="B1005" i="5"/>
  <c r="L1004" i="5"/>
  <c r="J1004" i="5"/>
  <c r="I1004" i="5"/>
  <c r="H1004" i="5"/>
  <c r="G1004" i="5"/>
  <c r="F1004" i="5"/>
  <c r="E1004" i="5"/>
  <c r="D1004" i="5"/>
  <c r="C1004" i="5"/>
  <c r="B1004" i="5"/>
  <c r="L1003" i="5"/>
  <c r="J1003" i="5"/>
  <c r="I1003" i="5"/>
  <c r="H1003" i="5"/>
  <c r="G1003" i="5"/>
  <c r="F1003" i="5"/>
  <c r="E1003" i="5"/>
  <c r="D1003" i="5"/>
  <c r="C1003" i="5"/>
  <c r="B1003" i="5"/>
  <c r="J1002" i="5"/>
  <c r="I1002" i="5"/>
  <c r="H1002" i="5"/>
  <c r="G1002" i="5"/>
  <c r="F1002" i="5"/>
  <c r="L1002" i="5" s="1"/>
  <c r="E1002" i="5"/>
  <c r="D1002" i="5"/>
  <c r="C1002" i="5"/>
  <c r="B1002" i="5"/>
  <c r="L1001" i="5"/>
  <c r="J1001" i="5"/>
  <c r="I1001" i="5"/>
  <c r="H1001" i="5"/>
  <c r="G1001" i="5"/>
  <c r="F1001" i="5"/>
  <c r="E1001" i="5"/>
  <c r="D1001" i="5"/>
  <c r="C1001" i="5"/>
  <c r="B1001" i="5"/>
  <c r="L1000" i="5"/>
  <c r="J1000" i="5"/>
  <c r="I1000" i="5"/>
  <c r="H1000" i="5"/>
  <c r="G1000" i="5"/>
  <c r="F1000" i="5"/>
  <c r="E1000" i="5"/>
  <c r="D1000" i="5"/>
  <c r="C1000" i="5"/>
  <c r="B1000" i="5"/>
  <c r="L999" i="5"/>
  <c r="J999" i="5"/>
  <c r="I999" i="5"/>
  <c r="H999" i="5"/>
  <c r="G999" i="5"/>
  <c r="F999" i="5"/>
  <c r="E999" i="5"/>
  <c r="D999" i="5"/>
  <c r="C999" i="5"/>
  <c r="B999" i="5"/>
  <c r="J998" i="5"/>
  <c r="I998" i="5"/>
  <c r="H998" i="5"/>
  <c r="G998" i="5"/>
  <c r="F998" i="5"/>
  <c r="L998" i="5" s="1"/>
  <c r="E998" i="5"/>
  <c r="D998" i="5"/>
  <c r="C998" i="5"/>
  <c r="B998" i="5"/>
  <c r="L997" i="5"/>
  <c r="J997" i="5"/>
  <c r="I997" i="5"/>
  <c r="H997" i="5"/>
  <c r="G997" i="5"/>
  <c r="F997" i="5"/>
  <c r="E997" i="5"/>
  <c r="D997" i="5"/>
  <c r="C997" i="5"/>
  <c r="B997" i="5"/>
  <c r="L996" i="5"/>
  <c r="J996" i="5"/>
  <c r="I996" i="5"/>
  <c r="H996" i="5"/>
  <c r="G996" i="5"/>
  <c r="F996" i="5"/>
  <c r="E996" i="5"/>
  <c r="D996" i="5"/>
  <c r="C996" i="5"/>
  <c r="B996" i="5"/>
  <c r="L995" i="5"/>
  <c r="J995" i="5"/>
  <c r="I995" i="5"/>
  <c r="H995" i="5"/>
  <c r="G995" i="5"/>
  <c r="F995" i="5"/>
  <c r="E995" i="5"/>
  <c r="D995" i="5"/>
  <c r="C995" i="5"/>
  <c r="B995" i="5"/>
  <c r="J994" i="5"/>
  <c r="I994" i="5"/>
  <c r="H994" i="5"/>
  <c r="G994" i="5"/>
  <c r="F994" i="5"/>
  <c r="L994" i="5" s="1"/>
  <c r="E994" i="5"/>
  <c r="D994" i="5"/>
  <c r="C994" i="5"/>
  <c r="B994" i="5"/>
  <c r="J993" i="5"/>
  <c r="I993" i="5"/>
  <c r="H993" i="5"/>
  <c r="G993" i="5"/>
  <c r="F993" i="5"/>
  <c r="L993" i="5" s="1"/>
  <c r="E993" i="5"/>
  <c r="D993" i="5"/>
  <c r="C993" i="5"/>
  <c r="B993" i="5"/>
  <c r="L992" i="5"/>
  <c r="J992" i="5"/>
  <c r="I992" i="5"/>
  <c r="H992" i="5"/>
  <c r="G992" i="5"/>
  <c r="F992" i="5"/>
  <c r="E992" i="5"/>
  <c r="D992" i="5"/>
  <c r="C992" i="5"/>
  <c r="B992" i="5"/>
  <c r="L991" i="5"/>
  <c r="J991" i="5"/>
  <c r="I991" i="5"/>
  <c r="H991" i="5"/>
  <c r="G991" i="5"/>
  <c r="F991" i="5"/>
  <c r="E991" i="5"/>
  <c r="D991" i="5"/>
  <c r="C991" i="5"/>
  <c r="B991" i="5"/>
  <c r="J990" i="5"/>
  <c r="I990" i="5"/>
  <c r="H990" i="5"/>
  <c r="G990" i="5"/>
  <c r="F990" i="5"/>
  <c r="L990" i="5" s="1"/>
  <c r="E990" i="5"/>
  <c r="D990" i="5"/>
  <c r="C990" i="5"/>
  <c r="B990" i="5"/>
  <c r="J989" i="5"/>
  <c r="I989" i="5"/>
  <c r="H989" i="5"/>
  <c r="G989" i="5"/>
  <c r="F989" i="5"/>
  <c r="L989" i="5" s="1"/>
  <c r="E989" i="5"/>
  <c r="D989" i="5"/>
  <c r="C989" i="5"/>
  <c r="B989" i="5"/>
  <c r="L988" i="5"/>
  <c r="J988" i="5"/>
  <c r="I988" i="5"/>
  <c r="H988" i="5"/>
  <c r="G988" i="5"/>
  <c r="F988" i="5"/>
  <c r="E988" i="5"/>
  <c r="D988" i="5"/>
  <c r="C988" i="5"/>
  <c r="B988" i="5"/>
  <c r="L987" i="5"/>
  <c r="J987" i="5"/>
  <c r="I987" i="5"/>
  <c r="H987" i="5"/>
  <c r="G987" i="5"/>
  <c r="F987" i="5"/>
  <c r="E987" i="5"/>
  <c r="D987" i="5"/>
  <c r="C987" i="5"/>
  <c r="B987" i="5"/>
  <c r="J986" i="5"/>
  <c r="I986" i="5"/>
  <c r="H986" i="5"/>
  <c r="G986" i="5"/>
  <c r="F986" i="5"/>
  <c r="L986" i="5" s="1"/>
  <c r="E986" i="5"/>
  <c r="D986" i="5"/>
  <c r="C986" i="5"/>
  <c r="B986" i="5"/>
  <c r="J985" i="5"/>
  <c r="I985" i="5"/>
  <c r="H985" i="5"/>
  <c r="G985" i="5"/>
  <c r="F985" i="5"/>
  <c r="L985" i="5" s="1"/>
  <c r="E985" i="5"/>
  <c r="D985" i="5"/>
  <c r="C985" i="5"/>
  <c r="B985" i="5"/>
  <c r="L984" i="5"/>
  <c r="J984" i="5"/>
  <c r="I984" i="5"/>
  <c r="H984" i="5"/>
  <c r="G984" i="5"/>
  <c r="F984" i="5"/>
  <c r="E984" i="5"/>
  <c r="D984" i="5"/>
  <c r="C984" i="5"/>
  <c r="B984" i="5"/>
  <c r="L983" i="5"/>
  <c r="J983" i="5"/>
  <c r="I983" i="5"/>
  <c r="H983" i="5"/>
  <c r="G983" i="5"/>
  <c r="F983" i="5"/>
  <c r="E983" i="5"/>
  <c r="D983" i="5"/>
  <c r="C983" i="5"/>
  <c r="B983" i="5"/>
  <c r="J982" i="5"/>
  <c r="I982" i="5"/>
  <c r="H982" i="5"/>
  <c r="G982" i="5"/>
  <c r="F982" i="5"/>
  <c r="L982" i="5" s="1"/>
  <c r="E982" i="5"/>
  <c r="D982" i="5"/>
  <c r="C982" i="5"/>
  <c r="B982" i="5"/>
  <c r="J981" i="5"/>
  <c r="I981" i="5"/>
  <c r="H981" i="5"/>
  <c r="G981" i="5"/>
  <c r="F981" i="5"/>
  <c r="L981" i="5" s="1"/>
  <c r="E981" i="5"/>
  <c r="D981" i="5"/>
  <c r="C981" i="5"/>
  <c r="B981" i="5"/>
  <c r="L980" i="5"/>
  <c r="J980" i="5"/>
  <c r="I980" i="5"/>
  <c r="H980" i="5"/>
  <c r="G980" i="5"/>
  <c r="F980" i="5"/>
  <c r="E980" i="5"/>
  <c r="D980" i="5"/>
  <c r="C980" i="5"/>
  <c r="B980" i="5"/>
  <c r="L979" i="5"/>
  <c r="J979" i="5"/>
  <c r="I979" i="5"/>
  <c r="H979" i="5"/>
  <c r="G979" i="5"/>
  <c r="F979" i="5"/>
  <c r="E979" i="5"/>
  <c r="D979" i="5"/>
  <c r="C979" i="5"/>
  <c r="B979" i="5"/>
  <c r="J978" i="5"/>
  <c r="I978" i="5"/>
  <c r="H978" i="5"/>
  <c r="G978" i="5"/>
  <c r="F978" i="5"/>
  <c r="L978" i="5" s="1"/>
  <c r="E978" i="5"/>
  <c r="D978" i="5"/>
  <c r="C978" i="5"/>
  <c r="B978" i="5"/>
  <c r="L977" i="5"/>
  <c r="J977" i="5"/>
  <c r="I977" i="5"/>
  <c r="H977" i="5"/>
  <c r="G977" i="5"/>
  <c r="F977" i="5"/>
  <c r="E977" i="5"/>
  <c r="D977" i="5"/>
  <c r="C977" i="5"/>
  <c r="B977" i="5"/>
  <c r="L976" i="5"/>
  <c r="J976" i="5"/>
  <c r="I976" i="5"/>
  <c r="H976" i="5"/>
  <c r="G976" i="5"/>
  <c r="F976" i="5"/>
  <c r="E976" i="5"/>
  <c r="D976" i="5"/>
  <c r="C976" i="5"/>
  <c r="B976" i="5"/>
  <c r="L975" i="5"/>
  <c r="J975" i="5"/>
  <c r="I975" i="5"/>
  <c r="H975" i="5"/>
  <c r="G975" i="5"/>
  <c r="F975" i="5"/>
  <c r="E975" i="5"/>
  <c r="D975" i="5"/>
  <c r="C975" i="5"/>
  <c r="B975" i="5"/>
  <c r="J974" i="5"/>
  <c r="I974" i="5"/>
  <c r="H974" i="5"/>
  <c r="G974" i="5"/>
  <c r="F974" i="5"/>
  <c r="L974" i="5" s="1"/>
  <c r="E974" i="5"/>
  <c r="D974" i="5"/>
  <c r="C974" i="5"/>
  <c r="B974" i="5"/>
  <c r="L973" i="5"/>
  <c r="J973" i="5"/>
  <c r="I973" i="5"/>
  <c r="H973" i="5"/>
  <c r="G973" i="5"/>
  <c r="F973" i="5"/>
  <c r="E973" i="5"/>
  <c r="D973" i="5"/>
  <c r="C973" i="5"/>
  <c r="B973" i="5"/>
  <c r="L972" i="5"/>
  <c r="J972" i="5"/>
  <c r="I972" i="5"/>
  <c r="H972" i="5"/>
  <c r="G972" i="5"/>
  <c r="F972" i="5"/>
  <c r="E972" i="5"/>
  <c r="D972" i="5"/>
  <c r="C972" i="5"/>
  <c r="B972" i="5"/>
  <c r="L971" i="5"/>
  <c r="J971" i="5"/>
  <c r="I971" i="5"/>
  <c r="H971" i="5"/>
  <c r="G971" i="5"/>
  <c r="F971" i="5"/>
  <c r="E971" i="5"/>
  <c r="D971" i="5"/>
  <c r="C971" i="5"/>
  <c r="B971" i="5"/>
  <c r="J970" i="5"/>
  <c r="I970" i="5"/>
  <c r="H970" i="5"/>
  <c r="G970" i="5"/>
  <c r="F970" i="5"/>
  <c r="L970" i="5" s="1"/>
  <c r="E970" i="5"/>
  <c r="D970" i="5"/>
  <c r="C970" i="5"/>
  <c r="B970" i="5"/>
  <c r="L969" i="5"/>
  <c r="J969" i="5"/>
  <c r="I969" i="5"/>
  <c r="H969" i="5"/>
  <c r="G969" i="5"/>
  <c r="F969" i="5"/>
  <c r="E969" i="5"/>
  <c r="D969" i="5"/>
  <c r="C969" i="5"/>
  <c r="B969" i="5"/>
  <c r="L968" i="5"/>
  <c r="J968" i="5"/>
  <c r="I968" i="5"/>
  <c r="H968" i="5"/>
  <c r="G968" i="5"/>
  <c r="F968" i="5"/>
  <c r="E968" i="5"/>
  <c r="D968" i="5"/>
  <c r="C968" i="5"/>
  <c r="B968" i="5"/>
  <c r="L967" i="5"/>
  <c r="J967" i="5"/>
  <c r="I967" i="5"/>
  <c r="H967" i="5"/>
  <c r="G967" i="5"/>
  <c r="F967" i="5"/>
  <c r="E967" i="5"/>
  <c r="D967" i="5"/>
  <c r="C967" i="5"/>
  <c r="B967" i="5"/>
  <c r="J966" i="5"/>
  <c r="I966" i="5"/>
  <c r="H966" i="5"/>
  <c r="G966" i="5"/>
  <c r="F966" i="5"/>
  <c r="L966" i="5" s="1"/>
  <c r="E966" i="5"/>
  <c r="D966" i="5"/>
  <c r="C966" i="5"/>
  <c r="B966" i="5"/>
  <c r="L965" i="5"/>
  <c r="J965" i="5"/>
  <c r="I965" i="5"/>
  <c r="H965" i="5"/>
  <c r="G965" i="5"/>
  <c r="F965" i="5"/>
  <c r="E965" i="5"/>
  <c r="D965" i="5"/>
  <c r="C965" i="5"/>
  <c r="B965" i="5"/>
  <c r="L964" i="5"/>
  <c r="J964" i="5"/>
  <c r="I964" i="5"/>
  <c r="H964" i="5"/>
  <c r="G964" i="5"/>
  <c r="F964" i="5"/>
  <c r="E964" i="5"/>
  <c r="D964" i="5"/>
  <c r="C964" i="5"/>
  <c r="B964" i="5"/>
  <c r="L963" i="5"/>
  <c r="J963" i="5"/>
  <c r="I963" i="5"/>
  <c r="H963" i="5"/>
  <c r="G963" i="5"/>
  <c r="F963" i="5"/>
  <c r="E963" i="5"/>
  <c r="D963" i="5"/>
  <c r="C963" i="5"/>
  <c r="B963" i="5"/>
  <c r="J962" i="5"/>
  <c r="I962" i="5"/>
  <c r="H962" i="5"/>
  <c r="G962" i="5"/>
  <c r="F962" i="5"/>
  <c r="L962" i="5" s="1"/>
  <c r="E962" i="5"/>
  <c r="D962" i="5"/>
  <c r="C962" i="5"/>
  <c r="B962" i="5"/>
  <c r="J961" i="5"/>
  <c r="I961" i="5"/>
  <c r="H961" i="5"/>
  <c r="G961" i="5"/>
  <c r="F961" i="5"/>
  <c r="L961" i="5" s="1"/>
  <c r="E961" i="5"/>
  <c r="D961" i="5"/>
  <c r="C961" i="5"/>
  <c r="B961" i="5"/>
  <c r="L960" i="5"/>
  <c r="J960" i="5"/>
  <c r="I960" i="5"/>
  <c r="H960" i="5"/>
  <c r="G960" i="5"/>
  <c r="F960" i="5"/>
  <c r="E960" i="5"/>
  <c r="D960" i="5"/>
  <c r="C960" i="5"/>
  <c r="B960" i="5"/>
  <c r="L959" i="5"/>
  <c r="J959" i="5"/>
  <c r="I959" i="5"/>
  <c r="H959" i="5"/>
  <c r="G959" i="5"/>
  <c r="F959" i="5"/>
  <c r="E959" i="5"/>
  <c r="D959" i="5"/>
  <c r="C959" i="5"/>
  <c r="B959" i="5"/>
  <c r="J958" i="5"/>
  <c r="I958" i="5"/>
  <c r="H958" i="5"/>
  <c r="G958" i="5"/>
  <c r="F958" i="5"/>
  <c r="L958" i="5" s="1"/>
  <c r="E958" i="5"/>
  <c r="D958" i="5"/>
  <c r="C958" i="5"/>
  <c r="B958" i="5"/>
  <c r="J957" i="5"/>
  <c r="I957" i="5"/>
  <c r="H957" i="5"/>
  <c r="G957" i="5"/>
  <c r="F957" i="5"/>
  <c r="L957" i="5" s="1"/>
  <c r="E957" i="5"/>
  <c r="D957" i="5"/>
  <c r="C957" i="5"/>
  <c r="B957" i="5"/>
  <c r="L956" i="5"/>
  <c r="J956" i="5"/>
  <c r="I956" i="5"/>
  <c r="H956" i="5"/>
  <c r="G956" i="5"/>
  <c r="F956" i="5"/>
  <c r="E956" i="5"/>
  <c r="D956" i="5"/>
  <c r="C956" i="5"/>
  <c r="B956" i="5"/>
  <c r="L955" i="5"/>
  <c r="J955" i="5"/>
  <c r="I955" i="5"/>
  <c r="H955" i="5"/>
  <c r="G955" i="5"/>
  <c r="F955" i="5"/>
  <c r="E955" i="5"/>
  <c r="D955" i="5"/>
  <c r="C955" i="5"/>
  <c r="B955" i="5"/>
  <c r="J954" i="5"/>
  <c r="I954" i="5"/>
  <c r="H954" i="5"/>
  <c r="G954" i="5"/>
  <c r="F954" i="5"/>
  <c r="L954" i="5" s="1"/>
  <c r="E954" i="5"/>
  <c r="D954" i="5"/>
  <c r="C954" i="5"/>
  <c r="B954" i="5"/>
  <c r="J953" i="5"/>
  <c r="I953" i="5"/>
  <c r="H953" i="5"/>
  <c r="G953" i="5"/>
  <c r="F953" i="5"/>
  <c r="L953" i="5" s="1"/>
  <c r="E953" i="5"/>
  <c r="D953" i="5"/>
  <c r="C953" i="5"/>
  <c r="B953" i="5"/>
  <c r="L952" i="5"/>
  <c r="J952" i="5"/>
  <c r="I952" i="5"/>
  <c r="H952" i="5"/>
  <c r="G952" i="5"/>
  <c r="F952" i="5"/>
  <c r="E952" i="5"/>
  <c r="D952" i="5"/>
  <c r="C952" i="5"/>
  <c r="B952" i="5"/>
  <c r="L951" i="5"/>
  <c r="J951" i="5"/>
  <c r="I951" i="5"/>
  <c r="H951" i="5"/>
  <c r="G951" i="5"/>
  <c r="F951" i="5"/>
  <c r="E951" i="5"/>
  <c r="D951" i="5"/>
  <c r="C951" i="5"/>
  <c r="B951" i="5"/>
  <c r="J950" i="5"/>
  <c r="I950" i="5"/>
  <c r="H950" i="5"/>
  <c r="G950" i="5"/>
  <c r="F950" i="5"/>
  <c r="L950" i="5" s="1"/>
  <c r="E950" i="5"/>
  <c r="D950" i="5"/>
  <c r="C950" i="5"/>
  <c r="B950" i="5"/>
  <c r="J949" i="5"/>
  <c r="I949" i="5"/>
  <c r="H949" i="5"/>
  <c r="G949" i="5"/>
  <c r="F949" i="5"/>
  <c r="L949" i="5" s="1"/>
  <c r="E949" i="5"/>
  <c r="D949" i="5"/>
  <c r="C949" i="5"/>
  <c r="B949" i="5"/>
  <c r="L948" i="5"/>
  <c r="J948" i="5"/>
  <c r="I948" i="5"/>
  <c r="H948" i="5"/>
  <c r="G948" i="5"/>
  <c r="F948" i="5"/>
  <c r="E948" i="5"/>
  <c r="D948" i="5"/>
  <c r="C948" i="5"/>
  <c r="B948" i="5"/>
  <c r="L947" i="5"/>
  <c r="J947" i="5"/>
  <c r="I947" i="5"/>
  <c r="H947" i="5"/>
  <c r="G947" i="5"/>
  <c r="F947" i="5"/>
  <c r="E947" i="5"/>
  <c r="D947" i="5"/>
  <c r="C947" i="5"/>
  <c r="B947" i="5"/>
  <c r="J946" i="5"/>
  <c r="I946" i="5"/>
  <c r="H946" i="5"/>
  <c r="G946" i="5"/>
  <c r="F946" i="5"/>
  <c r="L946" i="5" s="1"/>
  <c r="E946" i="5"/>
  <c r="D946" i="5"/>
  <c r="C946" i="5"/>
  <c r="B946" i="5"/>
  <c r="L945" i="5"/>
  <c r="J945" i="5"/>
  <c r="I945" i="5"/>
  <c r="H945" i="5"/>
  <c r="G945" i="5"/>
  <c r="F945" i="5"/>
  <c r="E945" i="5"/>
  <c r="D945" i="5"/>
  <c r="C945" i="5"/>
  <c r="B945" i="5"/>
  <c r="L944" i="5"/>
  <c r="J944" i="5"/>
  <c r="I944" i="5"/>
  <c r="H944" i="5"/>
  <c r="G944" i="5"/>
  <c r="F944" i="5"/>
  <c r="E944" i="5"/>
  <c r="D944" i="5"/>
  <c r="C944" i="5"/>
  <c r="B944" i="5"/>
  <c r="L943" i="5"/>
  <c r="J943" i="5"/>
  <c r="I943" i="5"/>
  <c r="H943" i="5"/>
  <c r="G943" i="5"/>
  <c r="F943" i="5"/>
  <c r="E943" i="5"/>
  <c r="D943" i="5"/>
  <c r="C943" i="5"/>
  <c r="B943" i="5"/>
  <c r="J942" i="5"/>
  <c r="I942" i="5"/>
  <c r="H942" i="5"/>
  <c r="G942" i="5"/>
  <c r="F942" i="5"/>
  <c r="L942" i="5" s="1"/>
  <c r="E942" i="5"/>
  <c r="D942" i="5"/>
  <c r="C942" i="5"/>
  <c r="B942" i="5"/>
  <c r="L941" i="5"/>
  <c r="J941" i="5"/>
  <c r="I941" i="5"/>
  <c r="H941" i="5"/>
  <c r="G941" i="5"/>
  <c r="F941" i="5"/>
  <c r="E941" i="5"/>
  <c r="D941" i="5"/>
  <c r="C941" i="5"/>
  <c r="B941" i="5"/>
  <c r="L940" i="5"/>
  <c r="J940" i="5"/>
  <c r="I940" i="5"/>
  <c r="H940" i="5"/>
  <c r="G940" i="5"/>
  <c r="F940" i="5"/>
  <c r="E940" i="5"/>
  <c r="D940" i="5"/>
  <c r="C940" i="5"/>
  <c r="B940" i="5"/>
  <c r="L939" i="5"/>
  <c r="J939" i="5"/>
  <c r="I939" i="5"/>
  <c r="H939" i="5"/>
  <c r="G939" i="5"/>
  <c r="F939" i="5"/>
  <c r="E939" i="5"/>
  <c r="D939" i="5"/>
  <c r="C939" i="5"/>
  <c r="B939" i="5"/>
  <c r="J938" i="5"/>
  <c r="I938" i="5"/>
  <c r="H938" i="5"/>
  <c r="G938" i="5"/>
  <c r="F938" i="5"/>
  <c r="L938" i="5" s="1"/>
  <c r="E938" i="5"/>
  <c r="D938" i="5"/>
  <c r="C938" i="5"/>
  <c r="B938" i="5"/>
  <c r="L937" i="5"/>
  <c r="J937" i="5"/>
  <c r="I937" i="5"/>
  <c r="H937" i="5"/>
  <c r="G937" i="5"/>
  <c r="F937" i="5"/>
  <c r="E937" i="5"/>
  <c r="D937" i="5"/>
  <c r="C937" i="5"/>
  <c r="B937" i="5"/>
  <c r="L936" i="5"/>
  <c r="J936" i="5"/>
  <c r="I936" i="5"/>
  <c r="H936" i="5"/>
  <c r="G936" i="5"/>
  <c r="F936" i="5"/>
  <c r="E936" i="5"/>
  <c r="D936" i="5"/>
  <c r="C936" i="5"/>
  <c r="B936" i="5"/>
  <c r="L935" i="5"/>
  <c r="J935" i="5"/>
  <c r="I935" i="5"/>
  <c r="H935" i="5"/>
  <c r="G935" i="5"/>
  <c r="F935" i="5"/>
  <c r="E935" i="5"/>
  <c r="D935" i="5"/>
  <c r="C935" i="5"/>
  <c r="B935" i="5"/>
  <c r="J934" i="5"/>
  <c r="I934" i="5"/>
  <c r="H934" i="5"/>
  <c r="G934" i="5"/>
  <c r="F934" i="5"/>
  <c r="L934" i="5" s="1"/>
  <c r="E934" i="5"/>
  <c r="D934" i="5"/>
  <c r="C934" i="5"/>
  <c r="B934" i="5"/>
  <c r="L933" i="5"/>
  <c r="J933" i="5"/>
  <c r="I933" i="5"/>
  <c r="H933" i="5"/>
  <c r="G933" i="5"/>
  <c r="F933" i="5"/>
  <c r="E933" i="5"/>
  <c r="D933" i="5"/>
  <c r="C933" i="5"/>
  <c r="B933" i="5"/>
  <c r="L932" i="5"/>
  <c r="J932" i="5"/>
  <c r="I932" i="5"/>
  <c r="H932" i="5"/>
  <c r="G932" i="5"/>
  <c r="F932" i="5"/>
  <c r="E932" i="5"/>
  <c r="D932" i="5"/>
  <c r="C932" i="5"/>
  <c r="B932" i="5"/>
  <c r="L931" i="5"/>
  <c r="J931" i="5"/>
  <c r="I931" i="5"/>
  <c r="H931" i="5"/>
  <c r="G931" i="5"/>
  <c r="F931" i="5"/>
  <c r="E931" i="5"/>
  <c r="D931" i="5"/>
  <c r="C931" i="5"/>
  <c r="B931" i="5"/>
  <c r="J930" i="5"/>
  <c r="I930" i="5"/>
  <c r="H930" i="5"/>
  <c r="G930" i="5"/>
  <c r="F930" i="5"/>
  <c r="L930" i="5" s="1"/>
  <c r="E930" i="5"/>
  <c r="D930" i="5"/>
  <c r="C930" i="5"/>
  <c r="B930" i="5"/>
  <c r="J929" i="5"/>
  <c r="I929" i="5"/>
  <c r="H929" i="5"/>
  <c r="G929" i="5"/>
  <c r="F929" i="5"/>
  <c r="L929" i="5" s="1"/>
  <c r="E929" i="5"/>
  <c r="D929" i="5"/>
  <c r="C929" i="5"/>
  <c r="B929" i="5"/>
  <c r="L928" i="5"/>
  <c r="J928" i="5"/>
  <c r="I928" i="5"/>
  <c r="H928" i="5"/>
  <c r="G928" i="5"/>
  <c r="F928" i="5"/>
  <c r="E928" i="5"/>
  <c r="D928" i="5"/>
  <c r="C928" i="5"/>
  <c r="B928" i="5"/>
  <c r="L927" i="5"/>
  <c r="J927" i="5"/>
  <c r="I927" i="5"/>
  <c r="H927" i="5"/>
  <c r="G927" i="5"/>
  <c r="F927" i="5"/>
  <c r="E927" i="5"/>
  <c r="D927" i="5"/>
  <c r="C927" i="5"/>
  <c r="B927" i="5"/>
  <c r="J926" i="5"/>
  <c r="I926" i="5"/>
  <c r="H926" i="5"/>
  <c r="G926" i="5"/>
  <c r="F926" i="5"/>
  <c r="L926" i="5" s="1"/>
  <c r="E926" i="5"/>
  <c r="D926" i="5"/>
  <c r="C926" i="5"/>
  <c r="B926" i="5"/>
  <c r="J925" i="5"/>
  <c r="I925" i="5"/>
  <c r="H925" i="5"/>
  <c r="G925" i="5"/>
  <c r="F925" i="5"/>
  <c r="L925" i="5" s="1"/>
  <c r="E925" i="5"/>
  <c r="D925" i="5"/>
  <c r="C925" i="5"/>
  <c r="B925" i="5"/>
  <c r="L924" i="5"/>
  <c r="J924" i="5"/>
  <c r="I924" i="5"/>
  <c r="H924" i="5"/>
  <c r="G924" i="5"/>
  <c r="F924" i="5"/>
  <c r="E924" i="5"/>
  <c r="D924" i="5"/>
  <c r="C924" i="5"/>
  <c r="B924" i="5"/>
  <c r="L923" i="5"/>
  <c r="J923" i="5"/>
  <c r="I923" i="5"/>
  <c r="H923" i="5"/>
  <c r="G923" i="5"/>
  <c r="F923" i="5"/>
  <c r="E923" i="5"/>
  <c r="D923" i="5"/>
  <c r="C923" i="5"/>
  <c r="B923" i="5"/>
  <c r="J922" i="5"/>
  <c r="I922" i="5"/>
  <c r="H922" i="5"/>
  <c r="G922" i="5"/>
  <c r="F922" i="5"/>
  <c r="L922" i="5" s="1"/>
  <c r="E922" i="5"/>
  <c r="D922" i="5"/>
  <c r="C922" i="5"/>
  <c r="B922" i="5"/>
  <c r="J921" i="5"/>
  <c r="I921" i="5"/>
  <c r="H921" i="5"/>
  <c r="G921" i="5"/>
  <c r="F921" i="5"/>
  <c r="L921" i="5" s="1"/>
  <c r="E921" i="5"/>
  <c r="D921" i="5"/>
  <c r="C921" i="5"/>
  <c r="B921" i="5"/>
  <c r="L920" i="5"/>
  <c r="J920" i="5"/>
  <c r="I920" i="5"/>
  <c r="H920" i="5"/>
  <c r="G920" i="5"/>
  <c r="F920" i="5"/>
  <c r="E920" i="5"/>
  <c r="D920" i="5"/>
  <c r="C920" i="5"/>
  <c r="B920" i="5"/>
  <c r="L919" i="5"/>
  <c r="J919" i="5"/>
  <c r="I919" i="5"/>
  <c r="H919" i="5"/>
  <c r="G919" i="5"/>
  <c r="F919" i="5"/>
  <c r="E919" i="5"/>
  <c r="D919" i="5"/>
  <c r="C919" i="5"/>
  <c r="B919" i="5"/>
  <c r="J918" i="5"/>
  <c r="I918" i="5"/>
  <c r="H918" i="5"/>
  <c r="G918" i="5"/>
  <c r="F918" i="5"/>
  <c r="L918" i="5" s="1"/>
  <c r="E918" i="5"/>
  <c r="D918" i="5"/>
  <c r="C918" i="5"/>
  <c r="B918" i="5"/>
  <c r="J917" i="5"/>
  <c r="I917" i="5"/>
  <c r="H917" i="5"/>
  <c r="G917" i="5"/>
  <c r="F917" i="5"/>
  <c r="L917" i="5" s="1"/>
  <c r="E917" i="5"/>
  <c r="D917" i="5"/>
  <c r="C917" i="5"/>
  <c r="B917" i="5"/>
  <c r="L916" i="5"/>
  <c r="J916" i="5"/>
  <c r="I916" i="5"/>
  <c r="H916" i="5"/>
  <c r="G916" i="5"/>
  <c r="F916" i="5"/>
  <c r="E916" i="5"/>
  <c r="D916" i="5"/>
  <c r="C916" i="5"/>
  <c r="B916" i="5"/>
  <c r="L915" i="5"/>
  <c r="J915" i="5"/>
  <c r="I915" i="5"/>
  <c r="H915" i="5"/>
  <c r="G915" i="5"/>
  <c r="F915" i="5"/>
  <c r="E915" i="5"/>
  <c r="D915" i="5"/>
  <c r="C915" i="5"/>
  <c r="B915" i="5"/>
  <c r="J914" i="5"/>
  <c r="I914" i="5"/>
  <c r="H914" i="5"/>
  <c r="G914" i="5"/>
  <c r="F914" i="5"/>
  <c r="L914" i="5" s="1"/>
  <c r="E914" i="5"/>
  <c r="D914" i="5"/>
  <c r="C914" i="5"/>
  <c r="B914" i="5"/>
  <c r="J913" i="5"/>
  <c r="I913" i="5"/>
  <c r="H913" i="5"/>
  <c r="G913" i="5"/>
  <c r="F913" i="5"/>
  <c r="L913" i="5" s="1"/>
  <c r="E913" i="5"/>
  <c r="D913" i="5"/>
  <c r="C913" i="5"/>
  <c r="B913" i="5"/>
  <c r="L912" i="5"/>
  <c r="J912" i="5"/>
  <c r="I912" i="5"/>
  <c r="H912" i="5"/>
  <c r="G912" i="5"/>
  <c r="F912" i="5"/>
  <c r="E912" i="5"/>
  <c r="D912" i="5"/>
  <c r="C912" i="5"/>
  <c r="B912" i="5"/>
  <c r="L911" i="5"/>
  <c r="J911" i="5"/>
  <c r="I911" i="5"/>
  <c r="H911" i="5"/>
  <c r="G911" i="5"/>
  <c r="F911" i="5"/>
  <c r="E911" i="5"/>
  <c r="D911" i="5"/>
  <c r="C911" i="5"/>
  <c r="B911" i="5"/>
  <c r="J910" i="5"/>
  <c r="I910" i="5"/>
  <c r="H910" i="5"/>
  <c r="G910" i="5"/>
  <c r="F910" i="5"/>
  <c r="L910" i="5" s="1"/>
  <c r="E910" i="5"/>
  <c r="D910" i="5"/>
  <c r="C910" i="5"/>
  <c r="B910" i="5"/>
  <c r="L909" i="5"/>
  <c r="J909" i="5"/>
  <c r="I909" i="5"/>
  <c r="H909" i="5"/>
  <c r="G909" i="5"/>
  <c r="F909" i="5"/>
  <c r="E909" i="5"/>
  <c r="D909" i="5"/>
  <c r="C909" i="5"/>
  <c r="B909" i="5"/>
  <c r="L908" i="5"/>
  <c r="J908" i="5"/>
  <c r="I908" i="5"/>
  <c r="H908" i="5"/>
  <c r="G908" i="5"/>
  <c r="F908" i="5"/>
  <c r="E908" i="5"/>
  <c r="D908" i="5"/>
  <c r="C908" i="5"/>
  <c r="B908" i="5"/>
  <c r="J907" i="5"/>
  <c r="I907" i="5"/>
  <c r="H907" i="5"/>
  <c r="G907" i="5"/>
  <c r="F907" i="5"/>
  <c r="L907" i="5" s="1"/>
  <c r="E907" i="5"/>
  <c r="D907" i="5"/>
  <c r="C907" i="5"/>
  <c r="B907" i="5"/>
  <c r="J906" i="5"/>
  <c r="I906" i="5"/>
  <c r="H906" i="5"/>
  <c r="G906" i="5"/>
  <c r="F906" i="5"/>
  <c r="L906" i="5" s="1"/>
  <c r="E906" i="5"/>
  <c r="D906" i="5"/>
  <c r="C906" i="5"/>
  <c r="B906" i="5"/>
  <c r="L905" i="5"/>
  <c r="J905" i="5"/>
  <c r="I905" i="5"/>
  <c r="H905" i="5"/>
  <c r="G905" i="5"/>
  <c r="F905" i="5"/>
  <c r="E905" i="5"/>
  <c r="D905" i="5"/>
  <c r="C905" i="5"/>
  <c r="B905" i="5"/>
  <c r="L904" i="5"/>
  <c r="J904" i="5"/>
  <c r="I904" i="5"/>
  <c r="H904" i="5"/>
  <c r="G904" i="5"/>
  <c r="F904" i="5"/>
  <c r="E904" i="5"/>
  <c r="D904" i="5"/>
  <c r="C904" i="5"/>
  <c r="B904" i="5"/>
  <c r="J903" i="5"/>
  <c r="I903" i="5"/>
  <c r="H903" i="5"/>
  <c r="G903" i="5"/>
  <c r="F903" i="5"/>
  <c r="L903" i="5" s="1"/>
  <c r="E903" i="5"/>
  <c r="D903" i="5"/>
  <c r="C903" i="5"/>
  <c r="B903" i="5"/>
  <c r="J902" i="5"/>
  <c r="I902" i="5"/>
  <c r="H902" i="5"/>
  <c r="G902" i="5"/>
  <c r="F902" i="5"/>
  <c r="L902" i="5" s="1"/>
  <c r="E902" i="5"/>
  <c r="D902" i="5"/>
  <c r="C902" i="5"/>
  <c r="B902" i="5"/>
  <c r="L901" i="5"/>
  <c r="J901" i="5"/>
  <c r="I901" i="5"/>
  <c r="H901" i="5"/>
  <c r="G901" i="5"/>
  <c r="F901" i="5"/>
  <c r="E901" i="5"/>
  <c r="D901" i="5"/>
  <c r="C901" i="5"/>
  <c r="B901" i="5"/>
  <c r="L900" i="5"/>
  <c r="J900" i="5"/>
  <c r="I900" i="5"/>
  <c r="H900" i="5"/>
  <c r="G900" i="5"/>
  <c r="F900" i="5"/>
  <c r="E900" i="5"/>
  <c r="D900" i="5"/>
  <c r="C900" i="5"/>
  <c r="B900" i="5"/>
  <c r="J899" i="5"/>
  <c r="I899" i="5"/>
  <c r="H899" i="5"/>
  <c r="G899" i="5"/>
  <c r="F899" i="5"/>
  <c r="L899" i="5" s="1"/>
  <c r="E899" i="5"/>
  <c r="D899" i="5"/>
  <c r="C899" i="5"/>
  <c r="B899" i="5"/>
  <c r="J898" i="5"/>
  <c r="I898" i="5"/>
  <c r="H898" i="5"/>
  <c r="G898" i="5"/>
  <c r="F898" i="5"/>
  <c r="L898" i="5" s="1"/>
  <c r="E898" i="5"/>
  <c r="D898" i="5"/>
  <c r="C898" i="5"/>
  <c r="B898" i="5"/>
  <c r="J897" i="5"/>
  <c r="I897" i="5"/>
  <c r="H897" i="5"/>
  <c r="G897" i="5"/>
  <c r="F897" i="5"/>
  <c r="L897" i="5" s="1"/>
  <c r="E897" i="5"/>
  <c r="D897" i="5"/>
  <c r="C897" i="5"/>
  <c r="B897" i="5"/>
  <c r="L896" i="5"/>
  <c r="J896" i="5"/>
  <c r="I896" i="5"/>
  <c r="H896" i="5"/>
  <c r="G896" i="5"/>
  <c r="F896" i="5"/>
  <c r="E896" i="5"/>
  <c r="D896" i="5"/>
  <c r="C896" i="5"/>
  <c r="B896" i="5"/>
  <c r="L895" i="5"/>
  <c r="J895" i="5"/>
  <c r="I895" i="5"/>
  <c r="H895" i="5"/>
  <c r="G895" i="5"/>
  <c r="F895" i="5"/>
  <c r="E895" i="5"/>
  <c r="D895" i="5"/>
  <c r="C895" i="5"/>
  <c r="B895" i="5"/>
  <c r="J894" i="5"/>
  <c r="I894" i="5"/>
  <c r="H894" i="5"/>
  <c r="G894" i="5"/>
  <c r="F894" i="5"/>
  <c r="L894" i="5" s="1"/>
  <c r="E894" i="5"/>
  <c r="D894" i="5"/>
  <c r="C894" i="5"/>
  <c r="B894" i="5"/>
  <c r="J893" i="5"/>
  <c r="I893" i="5"/>
  <c r="H893" i="5"/>
  <c r="G893" i="5"/>
  <c r="F893" i="5"/>
  <c r="L893" i="5" s="1"/>
  <c r="E893" i="5"/>
  <c r="D893" i="5"/>
  <c r="C893" i="5"/>
  <c r="B893" i="5"/>
  <c r="L892" i="5"/>
  <c r="J892" i="5"/>
  <c r="I892" i="5"/>
  <c r="H892" i="5"/>
  <c r="G892" i="5"/>
  <c r="F892" i="5"/>
  <c r="E892" i="5"/>
  <c r="D892" i="5"/>
  <c r="C892" i="5"/>
  <c r="B892" i="5"/>
  <c r="L891" i="5"/>
  <c r="J891" i="5"/>
  <c r="I891" i="5"/>
  <c r="H891" i="5"/>
  <c r="G891" i="5"/>
  <c r="F891" i="5"/>
  <c r="E891" i="5"/>
  <c r="D891" i="5"/>
  <c r="C891" i="5"/>
  <c r="B891" i="5"/>
  <c r="J890" i="5"/>
  <c r="I890" i="5"/>
  <c r="H890" i="5"/>
  <c r="G890" i="5"/>
  <c r="F890" i="5"/>
  <c r="L890" i="5" s="1"/>
  <c r="E890" i="5"/>
  <c r="D890" i="5"/>
  <c r="C890" i="5"/>
  <c r="B890" i="5"/>
  <c r="J889" i="5"/>
  <c r="I889" i="5"/>
  <c r="H889" i="5"/>
  <c r="G889" i="5"/>
  <c r="F889" i="5"/>
  <c r="L889" i="5" s="1"/>
  <c r="E889" i="5"/>
  <c r="D889" i="5"/>
  <c r="C889" i="5"/>
  <c r="B889" i="5"/>
  <c r="L888" i="5"/>
  <c r="J888" i="5"/>
  <c r="I888" i="5"/>
  <c r="H888" i="5"/>
  <c r="G888" i="5"/>
  <c r="F888" i="5"/>
  <c r="E888" i="5"/>
  <c r="D888" i="5"/>
  <c r="C888" i="5"/>
  <c r="B888" i="5"/>
  <c r="L887" i="5"/>
  <c r="J887" i="5"/>
  <c r="I887" i="5"/>
  <c r="H887" i="5"/>
  <c r="G887" i="5"/>
  <c r="F887" i="5"/>
  <c r="E887" i="5"/>
  <c r="D887" i="5"/>
  <c r="C887" i="5"/>
  <c r="B887" i="5"/>
  <c r="J886" i="5"/>
  <c r="I886" i="5"/>
  <c r="H886" i="5"/>
  <c r="G886" i="5"/>
  <c r="F886" i="5"/>
  <c r="L886" i="5" s="1"/>
  <c r="E886" i="5"/>
  <c r="D886" i="5"/>
  <c r="C886" i="5"/>
  <c r="B886" i="5"/>
  <c r="J885" i="5"/>
  <c r="I885" i="5"/>
  <c r="H885" i="5"/>
  <c r="G885" i="5"/>
  <c r="F885" i="5"/>
  <c r="L885" i="5" s="1"/>
  <c r="E885" i="5"/>
  <c r="D885" i="5"/>
  <c r="C885" i="5"/>
  <c r="B885" i="5"/>
  <c r="L884" i="5"/>
  <c r="J884" i="5"/>
  <c r="I884" i="5"/>
  <c r="H884" i="5"/>
  <c r="G884" i="5"/>
  <c r="F884" i="5"/>
  <c r="E884" i="5"/>
  <c r="D884" i="5"/>
  <c r="C884" i="5"/>
  <c r="B884" i="5"/>
  <c r="L883" i="5"/>
  <c r="J883" i="5"/>
  <c r="I883" i="5"/>
  <c r="H883" i="5"/>
  <c r="G883" i="5"/>
  <c r="F883" i="5"/>
  <c r="E883" i="5"/>
  <c r="D883" i="5"/>
  <c r="C883" i="5"/>
  <c r="B883" i="5"/>
  <c r="J882" i="5"/>
  <c r="I882" i="5"/>
  <c r="H882" i="5"/>
  <c r="G882" i="5"/>
  <c r="F882" i="5"/>
  <c r="L882" i="5" s="1"/>
  <c r="E882" i="5"/>
  <c r="D882" i="5"/>
  <c r="C882" i="5"/>
  <c r="B882" i="5"/>
  <c r="J881" i="5"/>
  <c r="I881" i="5"/>
  <c r="H881" i="5"/>
  <c r="G881" i="5"/>
  <c r="F881" i="5"/>
  <c r="L881" i="5" s="1"/>
  <c r="E881" i="5"/>
  <c r="D881" i="5"/>
  <c r="C881" i="5"/>
  <c r="B881" i="5"/>
  <c r="L880" i="5"/>
  <c r="J880" i="5"/>
  <c r="I880" i="5"/>
  <c r="H880" i="5"/>
  <c r="G880" i="5"/>
  <c r="F880" i="5"/>
  <c r="E880" i="5"/>
  <c r="D880" i="5"/>
  <c r="C880" i="5"/>
  <c r="B880" i="5"/>
  <c r="J879" i="5"/>
  <c r="I879" i="5"/>
  <c r="H879" i="5"/>
  <c r="G879" i="5"/>
  <c r="F879" i="5"/>
  <c r="L879" i="5" s="1"/>
  <c r="E879" i="5"/>
  <c r="D879" i="5"/>
  <c r="C879" i="5"/>
  <c r="B879" i="5"/>
  <c r="J878" i="5"/>
  <c r="I878" i="5"/>
  <c r="H878" i="5"/>
  <c r="G878" i="5"/>
  <c r="F878" i="5"/>
  <c r="L878" i="5" s="1"/>
  <c r="E878" i="5"/>
  <c r="D878" i="5"/>
  <c r="C878" i="5"/>
  <c r="B878" i="5"/>
  <c r="L877" i="5"/>
  <c r="J877" i="5"/>
  <c r="I877" i="5"/>
  <c r="H877" i="5"/>
  <c r="G877" i="5"/>
  <c r="F877" i="5"/>
  <c r="E877" i="5"/>
  <c r="D877" i="5"/>
  <c r="C877" i="5"/>
  <c r="B877" i="5"/>
  <c r="L876" i="5"/>
  <c r="J876" i="5"/>
  <c r="I876" i="5"/>
  <c r="H876" i="5"/>
  <c r="G876" i="5"/>
  <c r="F876" i="5"/>
  <c r="E876" i="5"/>
  <c r="D876" i="5"/>
  <c r="C876" i="5"/>
  <c r="B876" i="5"/>
  <c r="J875" i="5"/>
  <c r="I875" i="5"/>
  <c r="H875" i="5"/>
  <c r="G875" i="5"/>
  <c r="F875" i="5"/>
  <c r="L875" i="5" s="1"/>
  <c r="E875" i="5"/>
  <c r="D875" i="5"/>
  <c r="C875" i="5"/>
  <c r="B875" i="5"/>
  <c r="J874" i="5"/>
  <c r="I874" i="5"/>
  <c r="H874" i="5"/>
  <c r="G874" i="5"/>
  <c r="F874" i="5"/>
  <c r="L874" i="5" s="1"/>
  <c r="E874" i="5"/>
  <c r="D874" i="5"/>
  <c r="C874" i="5"/>
  <c r="B874" i="5"/>
  <c r="L873" i="5"/>
  <c r="J873" i="5"/>
  <c r="I873" i="5"/>
  <c r="H873" i="5"/>
  <c r="G873" i="5"/>
  <c r="F873" i="5"/>
  <c r="E873" i="5"/>
  <c r="D873" i="5"/>
  <c r="C873" i="5"/>
  <c r="B873" i="5"/>
  <c r="L872" i="5"/>
  <c r="J872" i="5"/>
  <c r="I872" i="5"/>
  <c r="H872" i="5"/>
  <c r="G872" i="5"/>
  <c r="F872" i="5"/>
  <c r="E872" i="5"/>
  <c r="D872" i="5"/>
  <c r="C872" i="5"/>
  <c r="B872" i="5"/>
  <c r="J871" i="5"/>
  <c r="I871" i="5"/>
  <c r="H871" i="5"/>
  <c r="G871" i="5"/>
  <c r="F871" i="5"/>
  <c r="L871" i="5" s="1"/>
  <c r="E871" i="5"/>
  <c r="D871" i="5"/>
  <c r="C871" i="5"/>
  <c r="B871" i="5"/>
  <c r="J870" i="5"/>
  <c r="I870" i="5"/>
  <c r="H870" i="5"/>
  <c r="G870" i="5"/>
  <c r="F870" i="5"/>
  <c r="L870" i="5" s="1"/>
  <c r="E870" i="5"/>
  <c r="D870" i="5"/>
  <c r="C870" i="5"/>
  <c r="B870" i="5"/>
  <c r="L869" i="5"/>
  <c r="J869" i="5"/>
  <c r="I869" i="5"/>
  <c r="H869" i="5"/>
  <c r="G869" i="5"/>
  <c r="F869" i="5"/>
  <c r="E869" i="5"/>
  <c r="D869" i="5"/>
  <c r="C869" i="5"/>
  <c r="B869" i="5"/>
  <c r="L868" i="5"/>
  <c r="J868" i="5"/>
  <c r="I868" i="5"/>
  <c r="H868" i="5"/>
  <c r="G868" i="5"/>
  <c r="F868" i="5"/>
  <c r="E868" i="5"/>
  <c r="D868" i="5"/>
  <c r="C868" i="5"/>
  <c r="B868" i="5"/>
  <c r="J867" i="5"/>
  <c r="I867" i="5"/>
  <c r="H867" i="5"/>
  <c r="G867" i="5"/>
  <c r="F867" i="5"/>
  <c r="L867" i="5" s="1"/>
  <c r="E867" i="5"/>
  <c r="D867" i="5"/>
  <c r="C867" i="5"/>
  <c r="B867" i="5"/>
  <c r="J866" i="5"/>
  <c r="I866" i="5"/>
  <c r="H866" i="5"/>
  <c r="G866" i="5"/>
  <c r="F866" i="5"/>
  <c r="L866" i="5" s="1"/>
  <c r="E866" i="5"/>
  <c r="D866" i="5"/>
  <c r="C866" i="5"/>
  <c r="B866" i="5"/>
  <c r="J865" i="5"/>
  <c r="I865" i="5"/>
  <c r="H865" i="5"/>
  <c r="G865" i="5"/>
  <c r="F865" i="5"/>
  <c r="L865" i="5" s="1"/>
  <c r="E865" i="5"/>
  <c r="D865" i="5"/>
  <c r="C865" i="5"/>
  <c r="B865" i="5"/>
  <c r="L864" i="5"/>
  <c r="J864" i="5"/>
  <c r="I864" i="5"/>
  <c r="H864" i="5"/>
  <c r="G864" i="5"/>
  <c r="F864" i="5"/>
  <c r="E864" i="5"/>
  <c r="D864" i="5"/>
  <c r="C864" i="5"/>
  <c r="B864" i="5"/>
  <c r="L863" i="5"/>
  <c r="J863" i="5"/>
  <c r="I863" i="5"/>
  <c r="H863" i="5"/>
  <c r="G863" i="5"/>
  <c r="F863" i="5"/>
  <c r="E863" i="5"/>
  <c r="D863" i="5"/>
  <c r="C863" i="5"/>
  <c r="B863" i="5"/>
  <c r="J862" i="5"/>
  <c r="I862" i="5"/>
  <c r="H862" i="5"/>
  <c r="G862" i="5"/>
  <c r="F862" i="5"/>
  <c r="L862" i="5" s="1"/>
  <c r="E862" i="5"/>
  <c r="D862" i="5"/>
  <c r="C862" i="5"/>
  <c r="B862" i="5"/>
  <c r="J861" i="5"/>
  <c r="I861" i="5"/>
  <c r="H861" i="5"/>
  <c r="G861" i="5"/>
  <c r="F861" i="5"/>
  <c r="L861" i="5" s="1"/>
  <c r="E861" i="5"/>
  <c r="D861" i="5"/>
  <c r="C861" i="5"/>
  <c r="B861" i="5"/>
  <c r="L860" i="5"/>
  <c r="J860" i="5"/>
  <c r="I860" i="5"/>
  <c r="H860" i="5"/>
  <c r="G860" i="5"/>
  <c r="F860" i="5"/>
  <c r="E860" i="5"/>
  <c r="D860" i="5"/>
  <c r="C860" i="5"/>
  <c r="B860" i="5"/>
  <c r="L859" i="5"/>
  <c r="J859" i="5"/>
  <c r="I859" i="5"/>
  <c r="H859" i="5"/>
  <c r="G859" i="5"/>
  <c r="F859" i="5"/>
  <c r="E859" i="5"/>
  <c r="D859" i="5"/>
  <c r="C859" i="5"/>
  <c r="B859" i="5"/>
  <c r="J858" i="5"/>
  <c r="I858" i="5"/>
  <c r="H858" i="5"/>
  <c r="G858" i="5"/>
  <c r="F858" i="5"/>
  <c r="L858" i="5" s="1"/>
  <c r="E858" i="5"/>
  <c r="D858" i="5"/>
  <c r="C858" i="5"/>
  <c r="B858" i="5"/>
  <c r="J857" i="5"/>
  <c r="I857" i="5"/>
  <c r="H857" i="5"/>
  <c r="G857" i="5"/>
  <c r="F857" i="5"/>
  <c r="L857" i="5" s="1"/>
  <c r="E857" i="5"/>
  <c r="D857" i="5"/>
  <c r="C857" i="5"/>
  <c r="B857" i="5"/>
  <c r="L856" i="5"/>
  <c r="J856" i="5"/>
  <c r="I856" i="5"/>
  <c r="H856" i="5"/>
  <c r="G856" i="5"/>
  <c r="F856" i="5"/>
  <c r="E856" i="5"/>
  <c r="D856" i="5"/>
  <c r="C856" i="5"/>
  <c r="B856" i="5"/>
  <c r="L855" i="5"/>
  <c r="J855" i="5"/>
  <c r="I855" i="5"/>
  <c r="H855" i="5"/>
  <c r="G855" i="5"/>
  <c r="F855" i="5"/>
  <c r="E855" i="5"/>
  <c r="D855" i="5"/>
  <c r="C855" i="5"/>
  <c r="B855" i="5"/>
  <c r="J854" i="5"/>
  <c r="I854" i="5"/>
  <c r="H854" i="5"/>
  <c r="G854" i="5"/>
  <c r="F854" i="5"/>
  <c r="L854" i="5" s="1"/>
  <c r="E854" i="5"/>
  <c r="D854" i="5"/>
  <c r="C854" i="5"/>
  <c r="B854" i="5"/>
  <c r="J853" i="5"/>
  <c r="I853" i="5"/>
  <c r="H853" i="5"/>
  <c r="G853" i="5"/>
  <c r="F853" i="5"/>
  <c r="L853" i="5" s="1"/>
  <c r="E853" i="5"/>
  <c r="D853" i="5"/>
  <c r="C853" i="5"/>
  <c r="B853" i="5"/>
  <c r="L852" i="5"/>
  <c r="J852" i="5"/>
  <c r="I852" i="5"/>
  <c r="H852" i="5"/>
  <c r="G852" i="5"/>
  <c r="F852" i="5"/>
  <c r="E852" i="5"/>
  <c r="D852" i="5"/>
  <c r="C852" i="5"/>
  <c r="B852" i="5"/>
  <c r="L851" i="5"/>
  <c r="J851" i="5"/>
  <c r="I851" i="5"/>
  <c r="H851" i="5"/>
  <c r="G851" i="5"/>
  <c r="F851" i="5"/>
  <c r="E851" i="5"/>
  <c r="D851" i="5"/>
  <c r="C851" i="5"/>
  <c r="B851" i="5"/>
  <c r="J850" i="5"/>
  <c r="I850" i="5"/>
  <c r="H850" i="5"/>
  <c r="G850" i="5"/>
  <c r="F850" i="5"/>
  <c r="L850" i="5" s="1"/>
  <c r="E850" i="5"/>
  <c r="D850" i="5"/>
  <c r="C850" i="5"/>
  <c r="B850" i="5"/>
  <c r="J849" i="5"/>
  <c r="I849" i="5"/>
  <c r="H849" i="5"/>
  <c r="G849" i="5"/>
  <c r="F849" i="5"/>
  <c r="L849" i="5" s="1"/>
  <c r="E849" i="5"/>
  <c r="D849" i="5"/>
  <c r="C849" i="5"/>
  <c r="B849" i="5"/>
  <c r="L848" i="5"/>
  <c r="J848" i="5"/>
  <c r="I848" i="5"/>
  <c r="H848" i="5"/>
  <c r="G848" i="5"/>
  <c r="F848" i="5"/>
  <c r="E848" i="5"/>
  <c r="D848" i="5"/>
  <c r="C848" i="5"/>
  <c r="B848" i="5"/>
  <c r="J847" i="5"/>
  <c r="I847" i="5"/>
  <c r="H847" i="5"/>
  <c r="G847" i="5"/>
  <c r="F847" i="5"/>
  <c r="L847" i="5" s="1"/>
  <c r="E847" i="5"/>
  <c r="D847" i="5"/>
  <c r="C847" i="5"/>
  <c r="B847" i="5"/>
  <c r="J846" i="5"/>
  <c r="I846" i="5"/>
  <c r="H846" i="5"/>
  <c r="G846" i="5"/>
  <c r="F846" i="5"/>
  <c r="L846" i="5" s="1"/>
  <c r="E846" i="5"/>
  <c r="D846" i="5"/>
  <c r="C846" i="5"/>
  <c r="B846" i="5"/>
  <c r="L845" i="5"/>
  <c r="J845" i="5"/>
  <c r="I845" i="5"/>
  <c r="H845" i="5"/>
  <c r="G845" i="5"/>
  <c r="F845" i="5"/>
  <c r="E845" i="5"/>
  <c r="D845" i="5"/>
  <c r="C845" i="5"/>
  <c r="B845" i="5"/>
  <c r="L844" i="5"/>
  <c r="J844" i="5"/>
  <c r="I844" i="5"/>
  <c r="H844" i="5"/>
  <c r="G844" i="5"/>
  <c r="F844" i="5"/>
  <c r="E844" i="5"/>
  <c r="D844" i="5"/>
  <c r="C844" i="5"/>
  <c r="B844" i="5"/>
  <c r="J843" i="5"/>
  <c r="I843" i="5"/>
  <c r="H843" i="5"/>
  <c r="G843" i="5"/>
  <c r="F843" i="5"/>
  <c r="L843" i="5" s="1"/>
  <c r="E843" i="5"/>
  <c r="D843" i="5"/>
  <c r="C843" i="5"/>
  <c r="B843" i="5"/>
  <c r="J842" i="5"/>
  <c r="I842" i="5"/>
  <c r="H842" i="5"/>
  <c r="G842" i="5"/>
  <c r="F842" i="5"/>
  <c r="L842" i="5" s="1"/>
  <c r="E842" i="5"/>
  <c r="D842" i="5"/>
  <c r="C842" i="5"/>
  <c r="B842" i="5"/>
  <c r="L841" i="5"/>
  <c r="J841" i="5"/>
  <c r="I841" i="5"/>
  <c r="H841" i="5"/>
  <c r="G841" i="5"/>
  <c r="F841" i="5"/>
  <c r="E841" i="5"/>
  <c r="D841" i="5"/>
  <c r="C841" i="5"/>
  <c r="B841" i="5"/>
  <c r="L840" i="5"/>
  <c r="J840" i="5"/>
  <c r="I840" i="5"/>
  <c r="H840" i="5"/>
  <c r="G840" i="5"/>
  <c r="F840" i="5"/>
  <c r="E840" i="5"/>
  <c r="D840" i="5"/>
  <c r="C840" i="5"/>
  <c r="B840" i="5"/>
  <c r="J839" i="5"/>
  <c r="I839" i="5"/>
  <c r="H839" i="5"/>
  <c r="G839" i="5"/>
  <c r="F839" i="5"/>
  <c r="L839" i="5" s="1"/>
  <c r="E839" i="5"/>
  <c r="D839" i="5"/>
  <c r="C839" i="5"/>
  <c r="B839" i="5"/>
  <c r="J838" i="5"/>
  <c r="I838" i="5"/>
  <c r="H838" i="5"/>
  <c r="G838" i="5"/>
  <c r="F838" i="5"/>
  <c r="L838" i="5" s="1"/>
  <c r="E838" i="5"/>
  <c r="D838" i="5"/>
  <c r="C838" i="5"/>
  <c r="B838" i="5"/>
  <c r="L837" i="5"/>
  <c r="J837" i="5"/>
  <c r="I837" i="5"/>
  <c r="H837" i="5"/>
  <c r="G837" i="5"/>
  <c r="F837" i="5"/>
  <c r="E837" i="5"/>
  <c r="D837" i="5"/>
  <c r="C837" i="5"/>
  <c r="B837" i="5"/>
  <c r="L836" i="5"/>
  <c r="J836" i="5"/>
  <c r="I836" i="5"/>
  <c r="H836" i="5"/>
  <c r="G836" i="5"/>
  <c r="F836" i="5"/>
  <c r="E836" i="5"/>
  <c r="D836" i="5"/>
  <c r="C836" i="5"/>
  <c r="B836" i="5"/>
  <c r="J835" i="5"/>
  <c r="I835" i="5"/>
  <c r="H835" i="5"/>
  <c r="G835" i="5"/>
  <c r="F835" i="5"/>
  <c r="L835" i="5" s="1"/>
  <c r="E835" i="5"/>
  <c r="D835" i="5"/>
  <c r="C835" i="5"/>
  <c r="B835" i="5"/>
  <c r="J834" i="5"/>
  <c r="I834" i="5"/>
  <c r="H834" i="5"/>
  <c r="G834" i="5"/>
  <c r="F834" i="5"/>
  <c r="L834" i="5" s="1"/>
  <c r="E834" i="5"/>
  <c r="D834" i="5"/>
  <c r="C834" i="5"/>
  <c r="B834" i="5"/>
  <c r="J833" i="5"/>
  <c r="I833" i="5"/>
  <c r="H833" i="5"/>
  <c r="G833" i="5"/>
  <c r="F833" i="5"/>
  <c r="L833" i="5" s="1"/>
  <c r="E833" i="5"/>
  <c r="D833" i="5"/>
  <c r="C833" i="5"/>
  <c r="B833" i="5"/>
  <c r="L832" i="5"/>
  <c r="J832" i="5"/>
  <c r="I832" i="5"/>
  <c r="H832" i="5"/>
  <c r="G832" i="5"/>
  <c r="F832" i="5"/>
  <c r="E832" i="5"/>
  <c r="D832" i="5"/>
  <c r="C832" i="5"/>
  <c r="B832" i="5"/>
  <c r="L831" i="5"/>
  <c r="J831" i="5"/>
  <c r="I831" i="5"/>
  <c r="H831" i="5"/>
  <c r="G831" i="5"/>
  <c r="F831" i="5"/>
  <c r="E831" i="5"/>
  <c r="D831" i="5"/>
  <c r="C831" i="5"/>
  <c r="B831" i="5"/>
  <c r="J830" i="5"/>
  <c r="I830" i="5"/>
  <c r="H830" i="5"/>
  <c r="G830" i="5"/>
  <c r="F830" i="5"/>
  <c r="L830" i="5" s="1"/>
  <c r="E830" i="5"/>
  <c r="D830" i="5"/>
  <c r="C830" i="5"/>
  <c r="B830" i="5"/>
  <c r="J829" i="5"/>
  <c r="I829" i="5"/>
  <c r="H829" i="5"/>
  <c r="G829" i="5"/>
  <c r="F829" i="5"/>
  <c r="L829" i="5" s="1"/>
  <c r="E829" i="5"/>
  <c r="D829" i="5"/>
  <c r="C829" i="5"/>
  <c r="B829" i="5"/>
  <c r="L828" i="5"/>
  <c r="J828" i="5"/>
  <c r="I828" i="5"/>
  <c r="H828" i="5"/>
  <c r="G828" i="5"/>
  <c r="F828" i="5"/>
  <c r="E828" i="5"/>
  <c r="D828" i="5"/>
  <c r="C828" i="5"/>
  <c r="B828" i="5"/>
  <c r="L827" i="5"/>
  <c r="J827" i="5"/>
  <c r="I827" i="5"/>
  <c r="H827" i="5"/>
  <c r="G827" i="5"/>
  <c r="F827" i="5"/>
  <c r="E827" i="5"/>
  <c r="D827" i="5"/>
  <c r="C827" i="5"/>
  <c r="B827" i="5"/>
  <c r="J826" i="5"/>
  <c r="I826" i="5"/>
  <c r="H826" i="5"/>
  <c r="G826" i="5"/>
  <c r="F826" i="5"/>
  <c r="L826" i="5" s="1"/>
  <c r="E826" i="5"/>
  <c r="D826" i="5"/>
  <c r="C826" i="5"/>
  <c r="B826" i="5"/>
  <c r="J825" i="5"/>
  <c r="I825" i="5"/>
  <c r="H825" i="5"/>
  <c r="G825" i="5"/>
  <c r="F825" i="5"/>
  <c r="L825" i="5" s="1"/>
  <c r="E825" i="5"/>
  <c r="D825" i="5"/>
  <c r="C825" i="5"/>
  <c r="B825" i="5"/>
  <c r="L824" i="5"/>
  <c r="J824" i="5"/>
  <c r="I824" i="5"/>
  <c r="H824" i="5"/>
  <c r="G824" i="5"/>
  <c r="F824" i="5"/>
  <c r="E824" i="5"/>
  <c r="D824" i="5"/>
  <c r="C824" i="5"/>
  <c r="B824" i="5"/>
  <c r="L823" i="5"/>
  <c r="J823" i="5"/>
  <c r="I823" i="5"/>
  <c r="H823" i="5"/>
  <c r="G823" i="5"/>
  <c r="F823" i="5"/>
  <c r="E823" i="5"/>
  <c r="D823" i="5"/>
  <c r="C823" i="5"/>
  <c r="B823" i="5"/>
  <c r="J822" i="5"/>
  <c r="I822" i="5"/>
  <c r="H822" i="5"/>
  <c r="G822" i="5"/>
  <c r="F822" i="5"/>
  <c r="L822" i="5" s="1"/>
  <c r="E822" i="5"/>
  <c r="D822" i="5"/>
  <c r="C822" i="5"/>
  <c r="B822" i="5"/>
  <c r="J821" i="5"/>
  <c r="I821" i="5"/>
  <c r="H821" i="5"/>
  <c r="G821" i="5"/>
  <c r="F821" i="5"/>
  <c r="L821" i="5" s="1"/>
  <c r="E821" i="5"/>
  <c r="D821" i="5"/>
  <c r="C821" i="5"/>
  <c r="B821" i="5"/>
  <c r="L820" i="5"/>
  <c r="J820" i="5"/>
  <c r="I820" i="5"/>
  <c r="H820" i="5"/>
  <c r="G820" i="5"/>
  <c r="F820" i="5"/>
  <c r="E820" i="5"/>
  <c r="D820" i="5"/>
  <c r="C820" i="5"/>
  <c r="B820" i="5"/>
  <c r="L819" i="5"/>
  <c r="J819" i="5"/>
  <c r="I819" i="5"/>
  <c r="H819" i="5"/>
  <c r="G819" i="5"/>
  <c r="F819" i="5"/>
  <c r="E819" i="5"/>
  <c r="D819" i="5"/>
  <c r="C819" i="5"/>
  <c r="B819" i="5"/>
  <c r="J818" i="5"/>
  <c r="I818" i="5"/>
  <c r="H818" i="5"/>
  <c r="G818" i="5"/>
  <c r="F818" i="5"/>
  <c r="L818" i="5" s="1"/>
  <c r="E818" i="5"/>
  <c r="D818" i="5"/>
  <c r="C818" i="5"/>
  <c r="B818" i="5"/>
  <c r="J817" i="5"/>
  <c r="I817" i="5"/>
  <c r="H817" i="5"/>
  <c r="G817" i="5"/>
  <c r="F817" i="5"/>
  <c r="L817" i="5" s="1"/>
  <c r="E817" i="5"/>
  <c r="D817" i="5"/>
  <c r="C817" i="5"/>
  <c r="B817" i="5"/>
  <c r="L816" i="5"/>
  <c r="J816" i="5"/>
  <c r="I816" i="5"/>
  <c r="H816" i="5"/>
  <c r="G816" i="5"/>
  <c r="F816" i="5"/>
  <c r="E816" i="5"/>
  <c r="D816" i="5"/>
  <c r="C816" i="5"/>
  <c r="B816" i="5"/>
  <c r="J815" i="5"/>
  <c r="I815" i="5"/>
  <c r="H815" i="5"/>
  <c r="G815" i="5"/>
  <c r="F815" i="5"/>
  <c r="L815" i="5" s="1"/>
  <c r="E815" i="5"/>
  <c r="D815" i="5"/>
  <c r="C815" i="5"/>
  <c r="B815" i="5"/>
  <c r="J814" i="5"/>
  <c r="I814" i="5"/>
  <c r="H814" i="5"/>
  <c r="G814" i="5"/>
  <c r="F814" i="5"/>
  <c r="L814" i="5" s="1"/>
  <c r="E814" i="5"/>
  <c r="D814" i="5"/>
  <c r="C814" i="5"/>
  <c r="B814" i="5"/>
  <c r="L813" i="5"/>
  <c r="J813" i="5"/>
  <c r="I813" i="5"/>
  <c r="H813" i="5"/>
  <c r="G813" i="5"/>
  <c r="F813" i="5"/>
  <c r="E813" i="5"/>
  <c r="D813" i="5"/>
  <c r="C813" i="5"/>
  <c r="B813" i="5"/>
  <c r="L812" i="5"/>
  <c r="J812" i="5"/>
  <c r="I812" i="5"/>
  <c r="H812" i="5"/>
  <c r="G812" i="5"/>
  <c r="F812" i="5"/>
  <c r="E812" i="5"/>
  <c r="D812" i="5"/>
  <c r="C812" i="5"/>
  <c r="B812" i="5"/>
  <c r="J811" i="5"/>
  <c r="I811" i="5"/>
  <c r="H811" i="5"/>
  <c r="G811" i="5"/>
  <c r="F811" i="5"/>
  <c r="L811" i="5" s="1"/>
  <c r="E811" i="5"/>
  <c r="D811" i="5"/>
  <c r="C811" i="5"/>
  <c r="B811" i="5"/>
  <c r="J810" i="5"/>
  <c r="I810" i="5"/>
  <c r="H810" i="5"/>
  <c r="G810" i="5"/>
  <c r="F810" i="5"/>
  <c r="L810" i="5" s="1"/>
  <c r="E810" i="5"/>
  <c r="D810" i="5"/>
  <c r="C810" i="5"/>
  <c r="B810" i="5"/>
  <c r="L809" i="5"/>
  <c r="J809" i="5"/>
  <c r="I809" i="5"/>
  <c r="H809" i="5"/>
  <c r="G809" i="5"/>
  <c r="F809" i="5"/>
  <c r="E809" i="5"/>
  <c r="D809" i="5"/>
  <c r="C809" i="5"/>
  <c r="B809" i="5"/>
  <c r="L808" i="5"/>
  <c r="J808" i="5"/>
  <c r="I808" i="5"/>
  <c r="H808" i="5"/>
  <c r="G808" i="5"/>
  <c r="F808" i="5"/>
  <c r="E808" i="5"/>
  <c r="D808" i="5"/>
  <c r="C808" i="5"/>
  <c r="B808" i="5"/>
  <c r="J807" i="5"/>
  <c r="I807" i="5"/>
  <c r="H807" i="5"/>
  <c r="G807" i="5"/>
  <c r="F807" i="5"/>
  <c r="L807" i="5" s="1"/>
  <c r="E807" i="5"/>
  <c r="D807" i="5"/>
  <c r="C807" i="5"/>
  <c r="B807" i="5"/>
  <c r="J806" i="5"/>
  <c r="I806" i="5"/>
  <c r="H806" i="5"/>
  <c r="G806" i="5"/>
  <c r="F806" i="5"/>
  <c r="L806" i="5" s="1"/>
  <c r="E806" i="5"/>
  <c r="D806" i="5"/>
  <c r="C806" i="5"/>
  <c r="B806" i="5"/>
  <c r="L805" i="5"/>
  <c r="J805" i="5"/>
  <c r="I805" i="5"/>
  <c r="H805" i="5"/>
  <c r="G805" i="5"/>
  <c r="F805" i="5"/>
  <c r="E805" i="5"/>
  <c r="D805" i="5"/>
  <c r="C805" i="5"/>
  <c r="B805" i="5"/>
  <c r="L804" i="5"/>
  <c r="J804" i="5"/>
  <c r="I804" i="5"/>
  <c r="H804" i="5"/>
  <c r="G804" i="5"/>
  <c r="F804" i="5"/>
  <c r="E804" i="5"/>
  <c r="D804" i="5"/>
  <c r="C804" i="5"/>
  <c r="B804" i="5"/>
  <c r="J803" i="5"/>
  <c r="I803" i="5"/>
  <c r="H803" i="5"/>
  <c r="G803" i="5"/>
  <c r="F803" i="5"/>
  <c r="L803" i="5" s="1"/>
  <c r="E803" i="5"/>
  <c r="D803" i="5"/>
  <c r="C803" i="5"/>
  <c r="B803" i="5"/>
  <c r="J802" i="5"/>
  <c r="I802" i="5"/>
  <c r="H802" i="5"/>
  <c r="G802" i="5"/>
  <c r="F802" i="5"/>
  <c r="L802" i="5" s="1"/>
  <c r="E802" i="5"/>
  <c r="D802" i="5"/>
  <c r="C802" i="5"/>
  <c r="B802" i="5"/>
  <c r="J801" i="5"/>
  <c r="I801" i="5"/>
  <c r="H801" i="5"/>
  <c r="G801" i="5"/>
  <c r="F801" i="5"/>
  <c r="L801" i="5" s="1"/>
  <c r="E801" i="5"/>
  <c r="D801" i="5"/>
  <c r="C801" i="5"/>
  <c r="B801" i="5"/>
  <c r="L800" i="5"/>
  <c r="J800" i="5"/>
  <c r="I800" i="5"/>
  <c r="H800" i="5"/>
  <c r="G800" i="5"/>
  <c r="F800" i="5"/>
  <c r="E800" i="5"/>
  <c r="D800" i="5"/>
  <c r="C800" i="5"/>
  <c r="B800" i="5"/>
  <c r="L799" i="5"/>
  <c r="J799" i="5"/>
  <c r="I799" i="5"/>
  <c r="H799" i="5"/>
  <c r="G799" i="5"/>
  <c r="F799" i="5"/>
  <c r="E799" i="5"/>
  <c r="D799" i="5"/>
  <c r="C799" i="5"/>
  <c r="B799" i="5"/>
  <c r="J798" i="5"/>
  <c r="I798" i="5"/>
  <c r="H798" i="5"/>
  <c r="G798" i="5"/>
  <c r="F798" i="5"/>
  <c r="L798" i="5" s="1"/>
  <c r="E798" i="5"/>
  <c r="D798" i="5"/>
  <c r="C798" i="5"/>
  <c r="B798" i="5"/>
  <c r="J797" i="5"/>
  <c r="I797" i="5"/>
  <c r="H797" i="5"/>
  <c r="G797" i="5"/>
  <c r="F797" i="5"/>
  <c r="L797" i="5" s="1"/>
  <c r="E797" i="5"/>
  <c r="D797" i="5"/>
  <c r="C797" i="5"/>
  <c r="B797" i="5"/>
  <c r="L796" i="5"/>
  <c r="J796" i="5"/>
  <c r="I796" i="5"/>
  <c r="H796" i="5"/>
  <c r="G796" i="5"/>
  <c r="F796" i="5"/>
  <c r="E796" i="5"/>
  <c r="D796" i="5"/>
  <c r="C796" i="5"/>
  <c r="B796" i="5"/>
  <c r="L795" i="5"/>
  <c r="J795" i="5"/>
  <c r="I795" i="5"/>
  <c r="H795" i="5"/>
  <c r="G795" i="5"/>
  <c r="F795" i="5"/>
  <c r="E795" i="5"/>
  <c r="D795" i="5"/>
  <c r="C795" i="5"/>
  <c r="B795" i="5"/>
  <c r="J794" i="5"/>
  <c r="I794" i="5"/>
  <c r="H794" i="5"/>
  <c r="G794" i="5"/>
  <c r="F794" i="5"/>
  <c r="L794" i="5" s="1"/>
  <c r="E794" i="5"/>
  <c r="D794" i="5"/>
  <c r="C794" i="5"/>
  <c r="B794" i="5"/>
  <c r="J793" i="5"/>
  <c r="I793" i="5"/>
  <c r="H793" i="5"/>
  <c r="G793" i="5"/>
  <c r="F793" i="5"/>
  <c r="L793" i="5" s="1"/>
  <c r="E793" i="5"/>
  <c r="D793" i="5"/>
  <c r="C793" i="5"/>
  <c r="B793" i="5"/>
  <c r="J792" i="5"/>
  <c r="I792" i="5"/>
  <c r="H792" i="5"/>
  <c r="G792" i="5"/>
  <c r="F792" i="5"/>
  <c r="L792" i="5" s="1"/>
  <c r="E792" i="5"/>
  <c r="D792" i="5"/>
  <c r="C792" i="5"/>
  <c r="B792" i="5"/>
  <c r="L791" i="5"/>
  <c r="J791" i="5"/>
  <c r="I791" i="5"/>
  <c r="H791" i="5"/>
  <c r="G791" i="5"/>
  <c r="F791" i="5"/>
  <c r="E791" i="5"/>
  <c r="D791" i="5"/>
  <c r="C791" i="5"/>
  <c r="B791" i="5"/>
  <c r="J790" i="5"/>
  <c r="I790" i="5"/>
  <c r="H790" i="5"/>
  <c r="G790" i="5"/>
  <c r="F790" i="5"/>
  <c r="L790" i="5" s="1"/>
  <c r="E790" i="5"/>
  <c r="D790" i="5"/>
  <c r="C790" i="5"/>
  <c r="B790" i="5"/>
  <c r="J789" i="5"/>
  <c r="I789" i="5"/>
  <c r="H789" i="5"/>
  <c r="G789" i="5"/>
  <c r="F789" i="5"/>
  <c r="L789" i="5" s="1"/>
  <c r="E789" i="5"/>
  <c r="D789" i="5"/>
  <c r="C789" i="5"/>
  <c r="B789" i="5"/>
  <c r="J788" i="5"/>
  <c r="I788" i="5"/>
  <c r="H788" i="5"/>
  <c r="G788" i="5"/>
  <c r="F788" i="5"/>
  <c r="L788" i="5" s="1"/>
  <c r="E788" i="5"/>
  <c r="D788" i="5"/>
  <c r="C788" i="5"/>
  <c r="B788" i="5"/>
  <c r="L787" i="5"/>
  <c r="J787" i="5"/>
  <c r="I787" i="5"/>
  <c r="H787" i="5"/>
  <c r="G787" i="5"/>
  <c r="F787" i="5"/>
  <c r="E787" i="5"/>
  <c r="D787" i="5"/>
  <c r="C787" i="5"/>
  <c r="B787" i="5"/>
  <c r="L786" i="5"/>
  <c r="J786" i="5"/>
  <c r="I786" i="5"/>
  <c r="H786" i="5"/>
  <c r="G786" i="5"/>
  <c r="F786" i="5"/>
  <c r="E786" i="5"/>
  <c r="D786" i="5"/>
  <c r="C786" i="5"/>
  <c r="B786" i="5"/>
  <c r="J785" i="5"/>
  <c r="I785" i="5"/>
  <c r="H785" i="5"/>
  <c r="G785" i="5"/>
  <c r="F785" i="5"/>
  <c r="L785" i="5" s="1"/>
  <c r="E785" i="5"/>
  <c r="D785" i="5"/>
  <c r="C785" i="5"/>
  <c r="B785" i="5"/>
  <c r="J784" i="5"/>
  <c r="I784" i="5"/>
  <c r="H784" i="5"/>
  <c r="G784" i="5"/>
  <c r="F784" i="5"/>
  <c r="L784" i="5" s="1"/>
  <c r="E784" i="5"/>
  <c r="D784" i="5"/>
  <c r="C784" i="5"/>
  <c r="B784" i="5"/>
  <c r="L783" i="5"/>
  <c r="J783" i="5"/>
  <c r="I783" i="5"/>
  <c r="H783" i="5"/>
  <c r="G783" i="5"/>
  <c r="F783" i="5"/>
  <c r="E783" i="5"/>
  <c r="D783" i="5"/>
  <c r="C783" i="5"/>
  <c r="B783" i="5"/>
  <c r="L782" i="5"/>
  <c r="J782" i="5"/>
  <c r="I782" i="5"/>
  <c r="H782" i="5"/>
  <c r="G782" i="5"/>
  <c r="F782" i="5"/>
  <c r="E782" i="5"/>
  <c r="D782" i="5"/>
  <c r="C782" i="5"/>
  <c r="B782" i="5"/>
  <c r="J781" i="5"/>
  <c r="I781" i="5"/>
  <c r="H781" i="5"/>
  <c r="G781" i="5"/>
  <c r="F781" i="5"/>
  <c r="L781" i="5" s="1"/>
  <c r="E781" i="5"/>
  <c r="D781" i="5"/>
  <c r="C781" i="5"/>
  <c r="B781" i="5"/>
  <c r="J780" i="5"/>
  <c r="I780" i="5"/>
  <c r="H780" i="5"/>
  <c r="G780" i="5"/>
  <c r="F780" i="5"/>
  <c r="L780" i="5" s="1"/>
  <c r="E780" i="5"/>
  <c r="D780" i="5"/>
  <c r="C780" i="5"/>
  <c r="B780" i="5"/>
  <c r="L779" i="5"/>
  <c r="J779" i="5"/>
  <c r="I779" i="5"/>
  <c r="H779" i="5"/>
  <c r="G779" i="5"/>
  <c r="F779" i="5"/>
  <c r="E779" i="5"/>
  <c r="D779" i="5"/>
  <c r="C779" i="5"/>
  <c r="B779" i="5"/>
  <c r="L778" i="5"/>
  <c r="J778" i="5"/>
  <c r="I778" i="5"/>
  <c r="H778" i="5"/>
  <c r="G778" i="5"/>
  <c r="F778" i="5"/>
  <c r="E778" i="5"/>
  <c r="D778" i="5"/>
  <c r="C778" i="5"/>
  <c r="B778" i="5"/>
  <c r="J777" i="5"/>
  <c r="I777" i="5"/>
  <c r="H777" i="5"/>
  <c r="G777" i="5"/>
  <c r="F777" i="5"/>
  <c r="L777" i="5" s="1"/>
  <c r="E777" i="5"/>
  <c r="D777" i="5"/>
  <c r="C777" i="5"/>
  <c r="B777" i="5"/>
  <c r="J776" i="5"/>
  <c r="I776" i="5"/>
  <c r="H776" i="5"/>
  <c r="G776" i="5"/>
  <c r="F776" i="5"/>
  <c r="L776" i="5" s="1"/>
  <c r="E776" i="5"/>
  <c r="D776" i="5"/>
  <c r="C776" i="5"/>
  <c r="B776" i="5"/>
  <c r="L775" i="5"/>
  <c r="J775" i="5"/>
  <c r="I775" i="5"/>
  <c r="H775" i="5"/>
  <c r="G775" i="5"/>
  <c r="F775" i="5"/>
  <c r="E775" i="5"/>
  <c r="D775" i="5"/>
  <c r="C775" i="5"/>
  <c r="B775" i="5"/>
  <c r="J774" i="5"/>
  <c r="I774" i="5"/>
  <c r="H774" i="5"/>
  <c r="G774" i="5"/>
  <c r="F774" i="5"/>
  <c r="L774" i="5" s="1"/>
  <c r="E774" i="5"/>
  <c r="D774" i="5"/>
  <c r="C774" i="5"/>
  <c r="B774" i="5"/>
  <c r="J773" i="5"/>
  <c r="I773" i="5"/>
  <c r="H773" i="5"/>
  <c r="G773" i="5"/>
  <c r="F773" i="5"/>
  <c r="L773" i="5" s="1"/>
  <c r="E773" i="5"/>
  <c r="D773" i="5"/>
  <c r="C773" i="5"/>
  <c r="B773" i="5"/>
  <c r="J772" i="5"/>
  <c r="I772" i="5"/>
  <c r="H772" i="5"/>
  <c r="G772" i="5"/>
  <c r="F772" i="5"/>
  <c r="L772" i="5" s="1"/>
  <c r="E772" i="5"/>
  <c r="D772" i="5"/>
  <c r="C772" i="5"/>
  <c r="B772" i="5"/>
  <c r="L771" i="5"/>
  <c r="J771" i="5"/>
  <c r="I771" i="5"/>
  <c r="H771" i="5"/>
  <c r="G771" i="5"/>
  <c r="F771" i="5"/>
  <c r="E771" i="5"/>
  <c r="D771" i="5"/>
  <c r="C771" i="5"/>
  <c r="B771" i="5"/>
  <c r="L770" i="5"/>
  <c r="J770" i="5"/>
  <c r="I770" i="5"/>
  <c r="H770" i="5"/>
  <c r="G770" i="5"/>
  <c r="F770" i="5"/>
  <c r="E770" i="5"/>
  <c r="D770" i="5"/>
  <c r="C770" i="5"/>
  <c r="B770" i="5"/>
  <c r="J769" i="5"/>
  <c r="I769" i="5"/>
  <c r="H769" i="5"/>
  <c r="G769" i="5"/>
  <c r="F769" i="5"/>
  <c r="L769" i="5" s="1"/>
  <c r="E769" i="5"/>
  <c r="D769" i="5"/>
  <c r="C769" i="5"/>
  <c r="B769" i="5"/>
  <c r="J768" i="5"/>
  <c r="I768" i="5"/>
  <c r="H768" i="5"/>
  <c r="G768" i="5"/>
  <c r="F768" i="5"/>
  <c r="L768" i="5" s="1"/>
  <c r="E768" i="5"/>
  <c r="D768" i="5"/>
  <c r="C768" i="5"/>
  <c r="B768" i="5"/>
  <c r="L767" i="5"/>
  <c r="J767" i="5"/>
  <c r="I767" i="5"/>
  <c r="H767" i="5"/>
  <c r="G767" i="5"/>
  <c r="F767" i="5"/>
  <c r="E767" i="5"/>
  <c r="D767" i="5"/>
  <c r="C767" i="5"/>
  <c r="B767" i="5"/>
  <c r="L766" i="5"/>
  <c r="J766" i="5"/>
  <c r="I766" i="5"/>
  <c r="H766" i="5"/>
  <c r="G766" i="5"/>
  <c r="F766" i="5"/>
  <c r="E766" i="5"/>
  <c r="D766" i="5"/>
  <c r="C766" i="5"/>
  <c r="B766" i="5"/>
  <c r="J765" i="5"/>
  <c r="I765" i="5"/>
  <c r="H765" i="5"/>
  <c r="G765" i="5"/>
  <c r="F765" i="5"/>
  <c r="L765" i="5" s="1"/>
  <c r="E765" i="5"/>
  <c r="D765" i="5"/>
  <c r="C765" i="5"/>
  <c r="B765" i="5"/>
  <c r="J764" i="5"/>
  <c r="I764" i="5"/>
  <c r="H764" i="5"/>
  <c r="G764" i="5"/>
  <c r="F764" i="5"/>
  <c r="L764" i="5" s="1"/>
  <c r="E764" i="5"/>
  <c r="D764" i="5"/>
  <c r="C764" i="5"/>
  <c r="B764" i="5"/>
  <c r="L763" i="5"/>
  <c r="J763" i="5"/>
  <c r="I763" i="5"/>
  <c r="H763" i="5"/>
  <c r="G763" i="5"/>
  <c r="F763" i="5"/>
  <c r="E763" i="5"/>
  <c r="D763" i="5"/>
  <c r="C763" i="5"/>
  <c r="B763" i="5"/>
  <c r="L762" i="5"/>
  <c r="J762" i="5"/>
  <c r="I762" i="5"/>
  <c r="H762" i="5"/>
  <c r="G762" i="5"/>
  <c r="F762" i="5"/>
  <c r="E762" i="5"/>
  <c r="D762" i="5"/>
  <c r="C762" i="5"/>
  <c r="B762" i="5"/>
  <c r="J761" i="5"/>
  <c r="I761" i="5"/>
  <c r="H761" i="5"/>
  <c r="G761" i="5"/>
  <c r="F761" i="5"/>
  <c r="L761" i="5" s="1"/>
  <c r="E761" i="5"/>
  <c r="D761" i="5"/>
  <c r="C761" i="5"/>
  <c r="B761" i="5"/>
  <c r="J760" i="5"/>
  <c r="I760" i="5"/>
  <c r="H760" i="5"/>
  <c r="G760" i="5"/>
  <c r="F760" i="5"/>
  <c r="L760" i="5" s="1"/>
  <c r="E760" i="5"/>
  <c r="D760" i="5"/>
  <c r="C760" i="5"/>
  <c r="B760" i="5"/>
  <c r="L759" i="5"/>
  <c r="J759" i="5"/>
  <c r="I759" i="5"/>
  <c r="H759" i="5"/>
  <c r="G759" i="5"/>
  <c r="F759" i="5"/>
  <c r="E759" i="5"/>
  <c r="D759" i="5"/>
  <c r="C759" i="5"/>
  <c r="B759" i="5"/>
  <c r="J758" i="5"/>
  <c r="I758" i="5"/>
  <c r="H758" i="5"/>
  <c r="G758" i="5"/>
  <c r="F758" i="5"/>
  <c r="L758" i="5" s="1"/>
  <c r="E758" i="5"/>
  <c r="D758" i="5"/>
  <c r="C758" i="5"/>
  <c r="B758" i="5"/>
  <c r="J757" i="5"/>
  <c r="I757" i="5"/>
  <c r="H757" i="5"/>
  <c r="G757" i="5"/>
  <c r="F757" i="5"/>
  <c r="L757" i="5" s="1"/>
  <c r="E757" i="5"/>
  <c r="D757" i="5"/>
  <c r="C757" i="5"/>
  <c r="B757" i="5"/>
  <c r="J756" i="5"/>
  <c r="I756" i="5"/>
  <c r="H756" i="5"/>
  <c r="G756" i="5"/>
  <c r="F756" i="5"/>
  <c r="L756" i="5" s="1"/>
  <c r="E756" i="5"/>
  <c r="D756" i="5"/>
  <c r="C756" i="5"/>
  <c r="B756" i="5"/>
  <c r="L755" i="5"/>
  <c r="J755" i="5"/>
  <c r="I755" i="5"/>
  <c r="H755" i="5"/>
  <c r="G755" i="5"/>
  <c r="F755" i="5"/>
  <c r="E755" i="5"/>
  <c r="D755" i="5"/>
  <c r="C755" i="5"/>
  <c r="B755" i="5"/>
  <c r="L754" i="5"/>
  <c r="J754" i="5"/>
  <c r="I754" i="5"/>
  <c r="H754" i="5"/>
  <c r="G754" i="5"/>
  <c r="F754" i="5"/>
  <c r="E754" i="5"/>
  <c r="D754" i="5"/>
  <c r="C754" i="5"/>
  <c r="B754" i="5"/>
  <c r="J753" i="5"/>
  <c r="I753" i="5"/>
  <c r="H753" i="5"/>
  <c r="G753" i="5"/>
  <c r="F753" i="5"/>
  <c r="L753" i="5" s="1"/>
  <c r="E753" i="5"/>
  <c r="D753" i="5"/>
  <c r="C753" i="5"/>
  <c r="B753" i="5"/>
  <c r="J752" i="5"/>
  <c r="I752" i="5"/>
  <c r="H752" i="5"/>
  <c r="G752" i="5"/>
  <c r="F752" i="5"/>
  <c r="L752" i="5" s="1"/>
  <c r="E752" i="5"/>
  <c r="D752" i="5"/>
  <c r="C752" i="5"/>
  <c r="B752" i="5"/>
  <c r="L751" i="5"/>
  <c r="J751" i="5"/>
  <c r="I751" i="5"/>
  <c r="H751" i="5"/>
  <c r="G751" i="5"/>
  <c r="F751" i="5"/>
  <c r="E751" i="5"/>
  <c r="D751" i="5"/>
  <c r="C751" i="5"/>
  <c r="B751" i="5"/>
  <c r="L750" i="5"/>
  <c r="J750" i="5"/>
  <c r="I750" i="5"/>
  <c r="H750" i="5"/>
  <c r="G750" i="5"/>
  <c r="F750" i="5"/>
  <c r="E750" i="5"/>
  <c r="D750" i="5"/>
  <c r="C750" i="5"/>
  <c r="B750" i="5"/>
  <c r="J749" i="5"/>
  <c r="I749" i="5"/>
  <c r="H749" i="5"/>
  <c r="G749" i="5"/>
  <c r="F749" i="5"/>
  <c r="L749" i="5" s="1"/>
  <c r="E749" i="5"/>
  <c r="D749" i="5"/>
  <c r="C749" i="5"/>
  <c r="B749" i="5"/>
  <c r="J748" i="5"/>
  <c r="I748" i="5"/>
  <c r="H748" i="5"/>
  <c r="G748" i="5"/>
  <c r="F748" i="5"/>
  <c r="L748" i="5" s="1"/>
  <c r="E748" i="5"/>
  <c r="D748" i="5"/>
  <c r="C748" i="5"/>
  <c r="B748" i="5"/>
  <c r="L747" i="5"/>
  <c r="J747" i="5"/>
  <c r="I747" i="5"/>
  <c r="H747" i="5"/>
  <c r="G747" i="5"/>
  <c r="F747" i="5"/>
  <c r="E747" i="5"/>
  <c r="D747" i="5"/>
  <c r="C747" i="5"/>
  <c r="B747" i="5"/>
  <c r="L746" i="5"/>
  <c r="J746" i="5"/>
  <c r="I746" i="5"/>
  <c r="H746" i="5"/>
  <c r="G746" i="5"/>
  <c r="F746" i="5"/>
  <c r="E746" i="5"/>
  <c r="D746" i="5"/>
  <c r="C746" i="5"/>
  <c r="B746" i="5"/>
  <c r="J745" i="5"/>
  <c r="I745" i="5"/>
  <c r="H745" i="5"/>
  <c r="G745" i="5"/>
  <c r="F745" i="5"/>
  <c r="L745" i="5" s="1"/>
  <c r="E745" i="5"/>
  <c r="D745" i="5"/>
  <c r="C745" i="5"/>
  <c r="B745" i="5"/>
  <c r="J744" i="5"/>
  <c r="I744" i="5"/>
  <c r="H744" i="5"/>
  <c r="G744" i="5"/>
  <c r="F744" i="5"/>
  <c r="L744" i="5" s="1"/>
  <c r="E744" i="5"/>
  <c r="D744" i="5"/>
  <c r="C744" i="5"/>
  <c r="B744" i="5"/>
  <c r="L743" i="5"/>
  <c r="J743" i="5"/>
  <c r="I743" i="5"/>
  <c r="H743" i="5"/>
  <c r="G743" i="5"/>
  <c r="F743" i="5"/>
  <c r="E743" i="5"/>
  <c r="D743" i="5"/>
  <c r="C743" i="5"/>
  <c r="B743" i="5"/>
  <c r="J742" i="5"/>
  <c r="I742" i="5"/>
  <c r="H742" i="5"/>
  <c r="G742" i="5"/>
  <c r="F742" i="5"/>
  <c r="L742" i="5" s="1"/>
  <c r="E742" i="5"/>
  <c r="D742" i="5"/>
  <c r="C742" i="5"/>
  <c r="B742" i="5"/>
  <c r="J741" i="5"/>
  <c r="I741" i="5"/>
  <c r="H741" i="5"/>
  <c r="G741" i="5"/>
  <c r="F741" i="5"/>
  <c r="L741" i="5" s="1"/>
  <c r="E741" i="5"/>
  <c r="D741" i="5"/>
  <c r="C741" i="5"/>
  <c r="B741" i="5"/>
  <c r="J740" i="5"/>
  <c r="I740" i="5"/>
  <c r="H740" i="5"/>
  <c r="G740" i="5"/>
  <c r="F740" i="5"/>
  <c r="L740" i="5" s="1"/>
  <c r="E740" i="5"/>
  <c r="D740" i="5"/>
  <c r="C740" i="5"/>
  <c r="B740" i="5"/>
  <c r="L739" i="5"/>
  <c r="J739" i="5"/>
  <c r="I739" i="5"/>
  <c r="H739" i="5"/>
  <c r="G739" i="5"/>
  <c r="F739" i="5"/>
  <c r="E739" i="5"/>
  <c r="D739" i="5"/>
  <c r="C739" i="5"/>
  <c r="B739" i="5"/>
  <c r="L738" i="5"/>
  <c r="J738" i="5"/>
  <c r="I738" i="5"/>
  <c r="H738" i="5"/>
  <c r="G738" i="5"/>
  <c r="F738" i="5"/>
  <c r="E738" i="5"/>
  <c r="D738" i="5"/>
  <c r="C738" i="5"/>
  <c r="B738" i="5"/>
  <c r="J737" i="5"/>
  <c r="I737" i="5"/>
  <c r="H737" i="5"/>
  <c r="G737" i="5"/>
  <c r="F737" i="5"/>
  <c r="L737" i="5" s="1"/>
  <c r="E737" i="5"/>
  <c r="D737" i="5"/>
  <c r="C737" i="5"/>
  <c r="B737" i="5"/>
  <c r="J736" i="5"/>
  <c r="I736" i="5"/>
  <c r="H736" i="5"/>
  <c r="G736" i="5"/>
  <c r="F736" i="5"/>
  <c r="L736" i="5" s="1"/>
  <c r="E736" i="5"/>
  <c r="D736" i="5"/>
  <c r="C736" i="5"/>
  <c r="B736" i="5"/>
  <c r="L735" i="5"/>
  <c r="J735" i="5"/>
  <c r="I735" i="5"/>
  <c r="H735" i="5"/>
  <c r="G735" i="5"/>
  <c r="F735" i="5"/>
  <c r="E735" i="5"/>
  <c r="D735" i="5"/>
  <c r="C735" i="5"/>
  <c r="B735" i="5"/>
  <c r="L734" i="5"/>
  <c r="J734" i="5"/>
  <c r="I734" i="5"/>
  <c r="H734" i="5"/>
  <c r="G734" i="5"/>
  <c r="F734" i="5"/>
  <c r="E734" i="5"/>
  <c r="D734" i="5"/>
  <c r="C734" i="5"/>
  <c r="B734" i="5"/>
  <c r="J733" i="5"/>
  <c r="I733" i="5"/>
  <c r="H733" i="5"/>
  <c r="G733" i="5"/>
  <c r="F733" i="5"/>
  <c r="L733" i="5" s="1"/>
  <c r="E733" i="5"/>
  <c r="D733" i="5"/>
  <c r="C733" i="5"/>
  <c r="B733" i="5"/>
  <c r="J732" i="5"/>
  <c r="I732" i="5"/>
  <c r="H732" i="5"/>
  <c r="G732" i="5"/>
  <c r="F732" i="5"/>
  <c r="L732" i="5" s="1"/>
  <c r="E732" i="5"/>
  <c r="D732" i="5"/>
  <c r="C732" i="5"/>
  <c r="B732" i="5"/>
  <c r="L731" i="5"/>
  <c r="J731" i="5"/>
  <c r="I731" i="5"/>
  <c r="H731" i="5"/>
  <c r="G731" i="5"/>
  <c r="F731" i="5"/>
  <c r="E731" i="5"/>
  <c r="D731" i="5"/>
  <c r="C731" i="5"/>
  <c r="B731" i="5"/>
  <c r="L730" i="5"/>
  <c r="J730" i="5"/>
  <c r="I730" i="5"/>
  <c r="H730" i="5"/>
  <c r="G730" i="5"/>
  <c r="F730" i="5"/>
  <c r="E730" i="5"/>
  <c r="D730" i="5"/>
  <c r="C730" i="5"/>
  <c r="B730" i="5"/>
  <c r="J729" i="5"/>
  <c r="I729" i="5"/>
  <c r="H729" i="5"/>
  <c r="G729" i="5"/>
  <c r="F729" i="5"/>
  <c r="L729" i="5" s="1"/>
  <c r="E729" i="5"/>
  <c r="D729" i="5"/>
  <c r="C729" i="5"/>
  <c r="B729" i="5"/>
  <c r="J728" i="5"/>
  <c r="I728" i="5"/>
  <c r="H728" i="5"/>
  <c r="G728" i="5"/>
  <c r="F728" i="5"/>
  <c r="L728" i="5" s="1"/>
  <c r="E728" i="5"/>
  <c r="D728" i="5"/>
  <c r="C728" i="5"/>
  <c r="B728" i="5"/>
  <c r="L727" i="5"/>
  <c r="J727" i="5"/>
  <c r="I727" i="5"/>
  <c r="H727" i="5"/>
  <c r="G727" i="5"/>
  <c r="F727" i="5"/>
  <c r="E727" i="5"/>
  <c r="D727" i="5"/>
  <c r="C727" i="5"/>
  <c r="B727" i="5"/>
  <c r="J726" i="5"/>
  <c r="I726" i="5"/>
  <c r="H726" i="5"/>
  <c r="G726" i="5"/>
  <c r="F726" i="5"/>
  <c r="L726" i="5" s="1"/>
  <c r="E726" i="5"/>
  <c r="D726" i="5"/>
  <c r="C726" i="5"/>
  <c r="B726" i="5"/>
  <c r="J725" i="5"/>
  <c r="I725" i="5"/>
  <c r="H725" i="5"/>
  <c r="G725" i="5"/>
  <c r="F725" i="5"/>
  <c r="L725" i="5" s="1"/>
  <c r="E725" i="5"/>
  <c r="D725" i="5"/>
  <c r="C725" i="5"/>
  <c r="B725" i="5"/>
  <c r="J724" i="5"/>
  <c r="I724" i="5"/>
  <c r="H724" i="5"/>
  <c r="G724" i="5"/>
  <c r="F724" i="5"/>
  <c r="L724" i="5" s="1"/>
  <c r="E724" i="5"/>
  <c r="D724" i="5"/>
  <c r="C724" i="5"/>
  <c r="B724" i="5"/>
  <c r="L723" i="5"/>
  <c r="J723" i="5"/>
  <c r="I723" i="5"/>
  <c r="H723" i="5"/>
  <c r="G723" i="5"/>
  <c r="F723" i="5"/>
  <c r="E723" i="5"/>
  <c r="D723" i="5"/>
  <c r="C723" i="5"/>
  <c r="B723" i="5"/>
  <c r="L722" i="5"/>
  <c r="J722" i="5"/>
  <c r="I722" i="5"/>
  <c r="H722" i="5"/>
  <c r="G722" i="5"/>
  <c r="F722" i="5"/>
  <c r="E722" i="5"/>
  <c r="D722" i="5"/>
  <c r="C722" i="5"/>
  <c r="B722" i="5"/>
  <c r="J721" i="5"/>
  <c r="I721" i="5"/>
  <c r="H721" i="5"/>
  <c r="G721" i="5"/>
  <c r="F721" i="5"/>
  <c r="L721" i="5" s="1"/>
  <c r="E721" i="5"/>
  <c r="D721" i="5"/>
  <c r="C721" i="5"/>
  <c r="B721" i="5"/>
  <c r="J720" i="5"/>
  <c r="I720" i="5"/>
  <c r="H720" i="5"/>
  <c r="G720" i="5"/>
  <c r="F720" i="5"/>
  <c r="L720" i="5" s="1"/>
  <c r="E720" i="5"/>
  <c r="D720" i="5"/>
  <c r="C720" i="5"/>
  <c r="B720" i="5"/>
  <c r="L719" i="5"/>
  <c r="J719" i="5"/>
  <c r="I719" i="5"/>
  <c r="H719" i="5"/>
  <c r="G719" i="5"/>
  <c r="F719" i="5"/>
  <c r="E719" i="5"/>
  <c r="D719" i="5"/>
  <c r="C719" i="5"/>
  <c r="B719" i="5"/>
  <c r="L718" i="5"/>
  <c r="J718" i="5"/>
  <c r="I718" i="5"/>
  <c r="H718" i="5"/>
  <c r="G718" i="5"/>
  <c r="F718" i="5"/>
  <c r="E718" i="5"/>
  <c r="D718" i="5"/>
  <c r="C718" i="5"/>
  <c r="B718" i="5"/>
  <c r="J717" i="5"/>
  <c r="I717" i="5"/>
  <c r="H717" i="5"/>
  <c r="G717" i="5"/>
  <c r="F717" i="5"/>
  <c r="L717" i="5" s="1"/>
  <c r="E717" i="5"/>
  <c r="D717" i="5"/>
  <c r="C717" i="5"/>
  <c r="B717" i="5"/>
  <c r="J716" i="5"/>
  <c r="I716" i="5"/>
  <c r="H716" i="5"/>
  <c r="G716" i="5"/>
  <c r="F716" i="5"/>
  <c r="L716" i="5" s="1"/>
  <c r="E716" i="5"/>
  <c r="D716" i="5"/>
  <c r="C716" i="5"/>
  <c r="B716" i="5"/>
  <c r="L715" i="5"/>
  <c r="J715" i="5"/>
  <c r="I715" i="5"/>
  <c r="H715" i="5"/>
  <c r="G715" i="5"/>
  <c r="F715" i="5"/>
  <c r="E715" i="5"/>
  <c r="D715" i="5"/>
  <c r="C715" i="5"/>
  <c r="B715" i="5"/>
  <c r="L714" i="5"/>
  <c r="J714" i="5"/>
  <c r="I714" i="5"/>
  <c r="H714" i="5"/>
  <c r="G714" i="5"/>
  <c r="F714" i="5"/>
  <c r="E714" i="5"/>
  <c r="D714" i="5"/>
  <c r="C714" i="5"/>
  <c r="B714" i="5"/>
  <c r="J713" i="5"/>
  <c r="I713" i="5"/>
  <c r="H713" i="5"/>
  <c r="G713" i="5"/>
  <c r="F713" i="5"/>
  <c r="L713" i="5" s="1"/>
  <c r="E713" i="5"/>
  <c r="D713" i="5"/>
  <c r="C713" i="5"/>
  <c r="B713" i="5"/>
  <c r="J712" i="5"/>
  <c r="I712" i="5"/>
  <c r="H712" i="5"/>
  <c r="G712" i="5"/>
  <c r="F712" i="5"/>
  <c r="L712" i="5" s="1"/>
  <c r="E712" i="5"/>
  <c r="D712" i="5"/>
  <c r="C712" i="5"/>
  <c r="B712" i="5"/>
  <c r="L711" i="5"/>
  <c r="J711" i="5"/>
  <c r="I711" i="5"/>
  <c r="H711" i="5"/>
  <c r="G711" i="5"/>
  <c r="F711" i="5"/>
  <c r="E711" i="5"/>
  <c r="D711" i="5"/>
  <c r="C711" i="5"/>
  <c r="B711" i="5"/>
  <c r="J710" i="5"/>
  <c r="I710" i="5"/>
  <c r="H710" i="5"/>
  <c r="G710" i="5"/>
  <c r="F710" i="5"/>
  <c r="L710" i="5" s="1"/>
  <c r="E710" i="5"/>
  <c r="D710" i="5"/>
  <c r="C710" i="5"/>
  <c r="B710" i="5"/>
  <c r="J709" i="5"/>
  <c r="I709" i="5"/>
  <c r="H709" i="5"/>
  <c r="G709" i="5"/>
  <c r="F709" i="5"/>
  <c r="L709" i="5" s="1"/>
  <c r="E709" i="5"/>
  <c r="D709" i="5"/>
  <c r="C709" i="5"/>
  <c r="B709" i="5"/>
  <c r="J708" i="5"/>
  <c r="I708" i="5"/>
  <c r="H708" i="5"/>
  <c r="G708" i="5"/>
  <c r="F708" i="5"/>
  <c r="L708" i="5" s="1"/>
  <c r="E708" i="5"/>
  <c r="D708" i="5"/>
  <c r="C708" i="5"/>
  <c r="B708" i="5"/>
  <c r="L707" i="5"/>
  <c r="J707" i="5"/>
  <c r="I707" i="5"/>
  <c r="H707" i="5"/>
  <c r="G707" i="5"/>
  <c r="F707" i="5"/>
  <c r="E707" i="5"/>
  <c r="D707" i="5"/>
  <c r="C707" i="5"/>
  <c r="B707" i="5"/>
  <c r="L706" i="5"/>
  <c r="J706" i="5"/>
  <c r="I706" i="5"/>
  <c r="H706" i="5"/>
  <c r="G706" i="5"/>
  <c r="F706" i="5"/>
  <c r="E706" i="5"/>
  <c r="D706" i="5"/>
  <c r="C706" i="5"/>
  <c r="B706" i="5"/>
  <c r="J705" i="5"/>
  <c r="I705" i="5"/>
  <c r="H705" i="5"/>
  <c r="G705" i="5"/>
  <c r="F705" i="5"/>
  <c r="L705" i="5" s="1"/>
  <c r="E705" i="5"/>
  <c r="D705" i="5"/>
  <c r="C705" i="5"/>
  <c r="B705" i="5"/>
  <c r="J704" i="5"/>
  <c r="I704" i="5"/>
  <c r="H704" i="5"/>
  <c r="G704" i="5"/>
  <c r="F704" i="5"/>
  <c r="L704" i="5" s="1"/>
  <c r="E704" i="5"/>
  <c r="D704" i="5"/>
  <c r="C704" i="5"/>
  <c r="B704" i="5"/>
  <c r="L703" i="5"/>
  <c r="J703" i="5"/>
  <c r="I703" i="5"/>
  <c r="H703" i="5"/>
  <c r="G703" i="5"/>
  <c r="F703" i="5"/>
  <c r="E703" i="5"/>
  <c r="D703" i="5"/>
  <c r="C703" i="5"/>
  <c r="B703" i="5"/>
  <c r="L702" i="5"/>
  <c r="J702" i="5"/>
  <c r="I702" i="5"/>
  <c r="H702" i="5"/>
  <c r="G702" i="5"/>
  <c r="F702" i="5"/>
  <c r="E702" i="5"/>
  <c r="D702" i="5"/>
  <c r="C702" i="5"/>
  <c r="B702" i="5"/>
  <c r="J701" i="5"/>
  <c r="I701" i="5"/>
  <c r="H701" i="5"/>
  <c r="G701" i="5"/>
  <c r="F701" i="5"/>
  <c r="L701" i="5" s="1"/>
  <c r="E701" i="5"/>
  <c r="D701" i="5"/>
  <c r="C701" i="5"/>
  <c r="B701" i="5"/>
  <c r="J700" i="5"/>
  <c r="I700" i="5"/>
  <c r="H700" i="5"/>
  <c r="G700" i="5"/>
  <c r="F700" i="5"/>
  <c r="L700" i="5" s="1"/>
  <c r="E700" i="5"/>
  <c r="D700" i="5"/>
  <c r="C700" i="5"/>
  <c r="B700" i="5"/>
  <c r="L699" i="5"/>
  <c r="J699" i="5"/>
  <c r="I699" i="5"/>
  <c r="H699" i="5"/>
  <c r="G699" i="5"/>
  <c r="F699" i="5"/>
  <c r="E699" i="5"/>
  <c r="D699" i="5"/>
  <c r="C699" i="5"/>
  <c r="B699" i="5"/>
  <c r="L698" i="5"/>
  <c r="J698" i="5"/>
  <c r="I698" i="5"/>
  <c r="H698" i="5"/>
  <c r="G698" i="5"/>
  <c r="F698" i="5"/>
  <c r="E698" i="5"/>
  <c r="D698" i="5"/>
  <c r="C698" i="5"/>
  <c r="B698" i="5"/>
  <c r="J697" i="5"/>
  <c r="I697" i="5"/>
  <c r="H697" i="5"/>
  <c r="G697" i="5"/>
  <c r="F697" i="5"/>
  <c r="L697" i="5" s="1"/>
  <c r="E697" i="5"/>
  <c r="D697" i="5"/>
  <c r="C697" i="5"/>
  <c r="B697" i="5"/>
  <c r="J696" i="5"/>
  <c r="I696" i="5"/>
  <c r="H696" i="5"/>
  <c r="G696" i="5"/>
  <c r="F696" i="5"/>
  <c r="L696" i="5" s="1"/>
  <c r="E696" i="5"/>
  <c r="D696" i="5"/>
  <c r="C696" i="5"/>
  <c r="B696" i="5"/>
  <c r="L695" i="5"/>
  <c r="J695" i="5"/>
  <c r="I695" i="5"/>
  <c r="H695" i="5"/>
  <c r="G695" i="5"/>
  <c r="F695" i="5"/>
  <c r="E695" i="5"/>
  <c r="D695" i="5"/>
  <c r="C695" i="5"/>
  <c r="B695" i="5"/>
  <c r="J694" i="5"/>
  <c r="I694" i="5"/>
  <c r="H694" i="5"/>
  <c r="G694" i="5"/>
  <c r="F694" i="5"/>
  <c r="L694" i="5" s="1"/>
  <c r="E694" i="5"/>
  <c r="D694" i="5"/>
  <c r="C694" i="5"/>
  <c r="B694" i="5"/>
  <c r="J693" i="5"/>
  <c r="I693" i="5"/>
  <c r="H693" i="5"/>
  <c r="G693" i="5"/>
  <c r="F693" i="5"/>
  <c r="L693" i="5" s="1"/>
  <c r="E693" i="5"/>
  <c r="D693" i="5"/>
  <c r="C693" i="5"/>
  <c r="B693" i="5"/>
  <c r="J692" i="5"/>
  <c r="I692" i="5"/>
  <c r="H692" i="5"/>
  <c r="G692" i="5"/>
  <c r="F692" i="5"/>
  <c r="L692" i="5" s="1"/>
  <c r="E692" i="5"/>
  <c r="D692" i="5"/>
  <c r="C692" i="5"/>
  <c r="B692" i="5"/>
  <c r="L691" i="5"/>
  <c r="J691" i="5"/>
  <c r="I691" i="5"/>
  <c r="H691" i="5"/>
  <c r="G691" i="5"/>
  <c r="F691" i="5"/>
  <c r="E691" i="5"/>
  <c r="D691" i="5"/>
  <c r="C691" i="5"/>
  <c r="B691" i="5"/>
  <c r="L690" i="5"/>
  <c r="J690" i="5"/>
  <c r="I690" i="5"/>
  <c r="H690" i="5"/>
  <c r="G690" i="5"/>
  <c r="F690" i="5"/>
  <c r="E690" i="5"/>
  <c r="D690" i="5"/>
  <c r="C690" i="5"/>
  <c r="B690" i="5"/>
  <c r="J689" i="5"/>
  <c r="I689" i="5"/>
  <c r="H689" i="5"/>
  <c r="G689" i="5"/>
  <c r="F689" i="5"/>
  <c r="L689" i="5" s="1"/>
  <c r="E689" i="5"/>
  <c r="D689" i="5"/>
  <c r="C689" i="5"/>
  <c r="B689" i="5"/>
  <c r="J688" i="5"/>
  <c r="I688" i="5"/>
  <c r="H688" i="5"/>
  <c r="G688" i="5"/>
  <c r="F688" i="5"/>
  <c r="L688" i="5" s="1"/>
  <c r="E688" i="5"/>
  <c r="D688" i="5"/>
  <c r="C688" i="5"/>
  <c r="B688" i="5"/>
  <c r="L687" i="5"/>
  <c r="J687" i="5"/>
  <c r="I687" i="5"/>
  <c r="H687" i="5"/>
  <c r="G687" i="5"/>
  <c r="F687" i="5"/>
  <c r="E687" i="5"/>
  <c r="D687" i="5"/>
  <c r="C687" i="5"/>
  <c r="B687" i="5"/>
  <c r="L686" i="5"/>
  <c r="J686" i="5"/>
  <c r="I686" i="5"/>
  <c r="H686" i="5"/>
  <c r="G686" i="5"/>
  <c r="F686" i="5"/>
  <c r="E686" i="5"/>
  <c r="D686" i="5"/>
  <c r="C686" i="5"/>
  <c r="B686" i="5"/>
  <c r="J685" i="5"/>
  <c r="I685" i="5"/>
  <c r="H685" i="5"/>
  <c r="G685" i="5"/>
  <c r="F685" i="5"/>
  <c r="L685" i="5" s="1"/>
  <c r="E685" i="5"/>
  <c r="D685" i="5"/>
  <c r="C685" i="5"/>
  <c r="B685" i="5"/>
  <c r="J684" i="5"/>
  <c r="I684" i="5"/>
  <c r="H684" i="5"/>
  <c r="G684" i="5"/>
  <c r="F684" i="5"/>
  <c r="L684" i="5" s="1"/>
  <c r="E684" i="5"/>
  <c r="D684" i="5"/>
  <c r="C684" i="5"/>
  <c r="B684" i="5"/>
  <c r="L683" i="5"/>
  <c r="J683" i="5"/>
  <c r="I683" i="5"/>
  <c r="H683" i="5"/>
  <c r="G683" i="5"/>
  <c r="F683" i="5"/>
  <c r="E683" i="5"/>
  <c r="D683" i="5"/>
  <c r="C683" i="5"/>
  <c r="B683" i="5"/>
  <c r="L682" i="5"/>
  <c r="J682" i="5"/>
  <c r="I682" i="5"/>
  <c r="H682" i="5"/>
  <c r="G682" i="5"/>
  <c r="F682" i="5"/>
  <c r="E682" i="5"/>
  <c r="D682" i="5"/>
  <c r="C682" i="5"/>
  <c r="B682" i="5"/>
  <c r="J681" i="5"/>
  <c r="I681" i="5"/>
  <c r="H681" i="5"/>
  <c r="G681" i="5"/>
  <c r="F681" i="5"/>
  <c r="L681" i="5" s="1"/>
  <c r="E681" i="5"/>
  <c r="D681" i="5"/>
  <c r="C681" i="5"/>
  <c r="B681" i="5"/>
  <c r="J680" i="5"/>
  <c r="I680" i="5"/>
  <c r="H680" i="5"/>
  <c r="G680" i="5"/>
  <c r="F680" i="5"/>
  <c r="L680" i="5" s="1"/>
  <c r="E680" i="5"/>
  <c r="D680" i="5"/>
  <c r="C680" i="5"/>
  <c r="B680" i="5"/>
  <c r="L679" i="5"/>
  <c r="J679" i="5"/>
  <c r="I679" i="5"/>
  <c r="H679" i="5"/>
  <c r="G679" i="5"/>
  <c r="F679" i="5"/>
  <c r="E679" i="5"/>
  <c r="D679" i="5"/>
  <c r="C679" i="5"/>
  <c r="B679" i="5"/>
  <c r="J678" i="5"/>
  <c r="I678" i="5"/>
  <c r="H678" i="5"/>
  <c r="G678" i="5"/>
  <c r="F678" i="5"/>
  <c r="L678" i="5" s="1"/>
  <c r="E678" i="5"/>
  <c r="D678" i="5"/>
  <c r="C678" i="5"/>
  <c r="B678" i="5"/>
  <c r="J677" i="5"/>
  <c r="I677" i="5"/>
  <c r="H677" i="5"/>
  <c r="G677" i="5"/>
  <c r="F677" i="5"/>
  <c r="L677" i="5" s="1"/>
  <c r="E677" i="5"/>
  <c r="D677" i="5"/>
  <c r="C677" i="5"/>
  <c r="B677" i="5"/>
  <c r="J676" i="5"/>
  <c r="I676" i="5"/>
  <c r="H676" i="5"/>
  <c r="G676" i="5"/>
  <c r="F676" i="5"/>
  <c r="L676" i="5" s="1"/>
  <c r="E676" i="5"/>
  <c r="D676" i="5"/>
  <c r="C676" i="5"/>
  <c r="B676" i="5"/>
  <c r="L675" i="5"/>
  <c r="J675" i="5"/>
  <c r="I675" i="5"/>
  <c r="H675" i="5"/>
  <c r="G675" i="5"/>
  <c r="F675" i="5"/>
  <c r="E675" i="5"/>
  <c r="D675" i="5"/>
  <c r="C675" i="5"/>
  <c r="B675" i="5"/>
  <c r="L674" i="5"/>
  <c r="J674" i="5"/>
  <c r="I674" i="5"/>
  <c r="H674" i="5"/>
  <c r="G674" i="5"/>
  <c r="F674" i="5"/>
  <c r="E674" i="5"/>
  <c r="D674" i="5"/>
  <c r="C674" i="5"/>
  <c r="B674" i="5"/>
  <c r="J673" i="5"/>
  <c r="I673" i="5"/>
  <c r="H673" i="5"/>
  <c r="G673" i="5"/>
  <c r="F673" i="5"/>
  <c r="L673" i="5" s="1"/>
  <c r="E673" i="5"/>
  <c r="D673" i="5"/>
  <c r="C673" i="5"/>
  <c r="B673" i="5"/>
  <c r="J672" i="5"/>
  <c r="I672" i="5"/>
  <c r="H672" i="5"/>
  <c r="G672" i="5"/>
  <c r="F672" i="5"/>
  <c r="L672" i="5" s="1"/>
  <c r="E672" i="5"/>
  <c r="D672" i="5"/>
  <c r="C672" i="5"/>
  <c r="B672" i="5"/>
  <c r="L671" i="5"/>
  <c r="J671" i="5"/>
  <c r="I671" i="5"/>
  <c r="H671" i="5"/>
  <c r="G671" i="5"/>
  <c r="F671" i="5"/>
  <c r="E671" i="5"/>
  <c r="D671" i="5"/>
  <c r="C671" i="5"/>
  <c r="B671" i="5"/>
  <c r="L670" i="5"/>
  <c r="J670" i="5"/>
  <c r="I670" i="5"/>
  <c r="H670" i="5"/>
  <c r="G670" i="5"/>
  <c r="F670" i="5"/>
  <c r="E670" i="5"/>
  <c r="D670" i="5"/>
  <c r="C670" i="5"/>
  <c r="B670" i="5"/>
  <c r="J669" i="5"/>
  <c r="I669" i="5"/>
  <c r="H669" i="5"/>
  <c r="G669" i="5"/>
  <c r="F669" i="5"/>
  <c r="L669" i="5" s="1"/>
  <c r="E669" i="5"/>
  <c r="D669" i="5"/>
  <c r="C669" i="5"/>
  <c r="B669" i="5"/>
  <c r="J668" i="5"/>
  <c r="I668" i="5"/>
  <c r="H668" i="5"/>
  <c r="G668" i="5"/>
  <c r="F668" i="5"/>
  <c r="L668" i="5" s="1"/>
  <c r="E668" i="5"/>
  <c r="D668" i="5"/>
  <c r="C668" i="5"/>
  <c r="B668" i="5"/>
  <c r="L667" i="5"/>
  <c r="J667" i="5"/>
  <c r="I667" i="5"/>
  <c r="H667" i="5"/>
  <c r="G667" i="5"/>
  <c r="F667" i="5"/>
  <c r="E667" i="5"/>
  <c r="D667" i="5"/>
  <c r="C667" i="5"/>
  <c r="B667" i="5"/>
  <c r="L666" i="5"/>
  <c r="J666" i="5"/>
  <c r="I666" i="5"/>
  <c r="H666" i="5"/>
  <c r="G666" i="5"/>
  <c r="F666" i="5"/>
  <c r="E666" i="5"/>
  <c r="D666" i="5"/>
  <c r="C666" i="5"/>
  <c r="B666" i="5"/>
  <c r="J665" i="5"/>
  <c r="I665" i="5"/>
  <c r="H665" i="5"/>
  <c r="G665" i="5"/>
  <c r="F665" i="5"/>
  <c r="L665" i="5" s="1"/>
  <c r="E665" i="5"/>
  <c r="D665" i="5"/>
  <c r="C665" i="5"/>
  <c r="B665" i="5"/>
  <c r="J664" i="5"/>
  <c r="I664" i="5"/>
  <c r="H664" i="5"/>
  <c r="G664" i="5"/>
  <c r="F664" i="5"/>
  <c r="L664" i="5" s="1"/>
  <c r="E664" i="5"/>
  <c r="D664" i="5"/>
  <c r="C664" i="5"/>
  <c r="B664" i="5"/>
  <c r="L663" i="5"/>
  <c r="J663" i="5"/>
  <c r="I663" i="5"/>
  <c r="H663" i="5"/>
  <c r="G663" i="5"/>
  <c r="F663" i="5"/>
  <c r="E663" i="5"/>
  <c r="D663" i="5"/>
  <c r="C663" i="5"/>
  <c r="B663" i="5"/>
  <c r="L662" i="5"/>
  <c r="J662" i="5"/>
  <c r="I662" i="5"/>
  <c r="H662" i="5"/>
  <c r="G662" i="5"/>
  <c r="F662" i="5"/>
  <c r="E662" i="5"/>
  <c r="D662" i="5"/>
  <c r="C662" i="5"/>
  <c r="B662" i="5"/>
  <c r="J661" i="5"/>
  <c r="I661" i="5"/>
  <c r="H661" i="5"/>
  <c r="G661" i="5"/>
  <c r="F661" i="5"/>
  <c r="L661" i="5" s="1"/>
  <c r="E661" i="5"/>
  <c r="D661" i="5"/>
  <c r="C661" i="5"/>
  <c r="B661" i="5"/>
  <c r="J660" i="5"/>
  <c r="I660" i="5"/>
  <c r="H660" i="5"/>
  <c r="G660" i="5"/>
  <c r="F660" i="5"/>
  <c r="L660" i="5" s="1"/>
  <c r="E660" i="5"/>
  <c r="D660" i="5"/>
  <c r="C660" i="5"/>
  <c r="B660" i="5"/>
  <c r="L659" i="5"/>
  <c r="J659" i="5"/>
  <c r="I659" i="5"/>
  <c r="H659" i="5"/>
  <c r="G659" i="5"/>
  <c r="F659" i="5"/>
  <c r="E659" i="5"/>
  <c r="D659" i="5"/>
  <c r="C659" i="5"/>
  <c r="B659" i="5"/>
  <c r="L658" i="5"/>
  <c r="J658" i="5"/>
  <c r="I658" i="5"/>
  <c r="H658" i="5"/>
  <c r="G658" i="5"/>
  <c r="F658" i="5"/>
  <c r="E658" i="5"/>
  <c r="D658" i="5"/>
  <c r="C658" i="5"/>
  <c r="B658" i="5"/>
  <c r="J657" i="5"/>
  <c r="I657" i="5"/>
  <c r="H657" i="5"/>
  <c r="G657" i="5"/>
  <c r="F657" i="5"/>
  <c r="L657" i="5" s="1"/>
  <c r="E657" i="5"/>
  <c r="D657" i="5"/>
  <c r="C657" i="5"/>
  <c r="B657" i="5"/>
  <c r="J656" i="5"/>
  <c r="I656" i="5"/>
  <c r="H656" i="5"/>
  <c r="G656" i="5"/>
  <c r="F656" i="5"/>
  <c r="L656" i="5" s="1"/>
  <c r="E656" i="5"/>
  <c r="D656" i="5"/>
  <c r="C656" i="5"/>
  <c r="B656" i="5"/>
  <c r="L655" i="5"/>
  <c r="J655" i="5"/>
  <c r="I655" i="5"/>
  <c r="H655" i="5"/>
  <c r="G655" i="5"/>
  <c r="F655" i="5"/>
  <c r="E655" i="5"/>
  <c r="D655" i="5"/>
  <c r="C655" i="5"/>
  <c r="B655" i="5"/>
  <c r="L654" i="5"/>
  <c r="J654" i="5"/>
  <c r="I654" i="5"/>
  <c r="H654" i="5"/>
  <c r="G654" i="5"/>
  <c r="F654" i="5"/>
  <c r="E654" i="5"/>
  <c r="D654" i="5"/>
  <c r="C654" i="5"/>
  <c r="B654" i="5"/>
  <c r="J653" i="5"/>
  <c r="I653" i="5"/>
  <c r="H653" i="5"/>
  <c r="G653" i="5"/>
  <c r="F653" i="5"/>
  <c r="L653" i="5" s="1"/>
  <c r="E653" i="5"/>
  <c r="D653" i="5"/>
  <c r="C653" i="5"/>
  <c r="B653" i="5"/>
  <c r="J652" i="5"/>
  <c r="I652" i="5"/>
  <c r="H652" i="5"/>
  <c r="G652" i="5"/>
  <c r="F652" i="5"/>
  <c r="L652" i="5" s="1"/>
  <c r="E652" i="5"/>
  <c r="D652" i="5"/>
  <c r="C652" i="5"/>
  <c r="B652" i="5"/>
  <c r="L651" i="5"/>
  <c r="J651" i="5"/>
  <c r="I651" i="5"/>
  <c r="H651" i="5"/>
  <c r="G651" i="5"/>
  <c r="F651" i="5"/>
  <c r="E651" i="5"/>
  <c r="D651" i="5"/>
  <c r="C651" i="5"/>
  <c r="B651" i="5"/>
  <c r="L650" i="5"/>
  <c r="J650" i="5"/>
  <c r="I650" i="5"/>
  <c r="H650" i="5"/>
  <c r="G650" i="5"/>
  <c r="F650" i="5"/>
  <c r="E650" i="5"/>
  <c r="D650" i="5"/>
  <c r="C650" i="5"/>
  <c r="B650" i="5"/>
  <c r="J649" i="5"/>
  <c r="I649" i="5"/>
  <c r="H649" i="5"/>
  <c r="G649" i="5"/>
  <c r="F649" i="5"/>
  <c r="L649" i="5" s="1"/>
  <c r="E649" i="5"/>
  <c r="D649" i="5"/>
  <c r="C649" i="5"/>
  <c r="B649" i="5"/>
  <c r="J648" i="5"/>
  <c r="I648" i="5"/>
  <c r="H648" i="5"/>
  <c r="G648" i="5"/>
  <c r="F648" i="5"/>
  <c r="L648" i="5" s="1"/>
  <c r="E648" i="5"/>
  <c r="D648" i="5"/>
  <c r="C648" i="5"/>
  <c r="B648" i="5"/>
  <c r="L647" i="5"/>
  <c r="J647" i="5"/>
  <c r="I647" i="5"/>
  <c r="H647" i="5"/>
  <c r="G647" i="5"/>
  <c r="F647" i="5"/>
  <c r="E647" i="5"/>
  <c r="D647" i="5"/>
  <c r="C647" i="5"/>
  <c r="B647" i="5"/>
  <c r="J646" i="5"/>
  <c r="I646" i="5"/>
  <c r="H646" i="5"/>
  <c r="G646" i="5"/>
  <c r="F646" i="5"/>
  <c r="L646" i="5" s="1"/>
  <c r="E646" i="5"/>
  <c r="D646" i="5"/>
  <c r="C646" i="5"/>
  <c r="B646" i="5"/>
  <c r="J645" i="5"/>
  <c r="I645" i="5"/>
  <c r="H645" i="5"/>
  <c r="G645" i="5"/>
  <c r="F645" i="5"/>
  <c r="L645" i="5" s="1"/>
  <c r="E645" i="5"/>
  <c r="D645" i="5"/>
  <c r="C645" i="5"/>
  <c r="B645" i="5"/>
  <c r="J644" i="5"/>
  <c r="I644" i="5"/>
  <c r="H644" i="5"/>
  <c r="G644" i="5"/>
  <c r="F644" i="5"/>
  <c r="L644" i="5" s="1"/>
  <c r="E644" i="5"/>
  <c r="D644" i="5"/>
  <c r="C644" i="5"/>
  <c r="B644" i="5"/>
  <c r="L643" i="5"/>
  <c r="J643" i="5"/>
  <c r="I643" i="5"/>
  <c r="H643" i="5"/>
  <c r="G643" i="5"/>
  <c r="F643" i="5"/>
  <c r="E643" i="5"/>
  <c r="D643" i="5"/>
  <c r="C643" i="5"/>
  <c r="B643" i="5"/>
  <c r="L642" i="5"/>
  <c r="J642" i="5"/>
  <c r="I642" i="5"/>
  <c r="H642" i="5"/>
  <c r="G642" i="5"/>
  <c r="F642" i="5"/>
  <c r="E642" i="5"/>
  <c r="D642" i="5"/>
  <c r="C642" i="5"/>
  <c r="B642" i="5"/>
  <c r="J641" i="5"/>
  <c r="I641" i="5"/>
  <c r="H641" i="5"/>
  <c r="G641" i="5"/>
  <c r="F641" i="5"/>
  <c r="L641" i="5" s="1"/>
  <c r="E641" i="5"/>
  <c r="D641" i="5"/>
  <c r="C641" i="5"/>
  <c r="B641" i="5"/>
  <c r="J640" i="5"/>
  <c r="I640" i="5"/>
  <c r="H640" i="5"/>
  <c r="G640" i="5"/>
  <c r="F640" i="5"/>
  <c r="L640" i="5" s="1"/>
  <c r="E640" i="5"/>
  <c r="D640" i="5"/>
  <c r="C640" i="5"/>
  <c r="B640" i="5"/>
  <c r="L639" i="5"/>
  <c r="J639" i="5"/>
  <c r="I639" i="5"/>
  <c r="H639" i="5"/>
  <c r="G639" i="5"/>
  <c r="F639" i="5"/>
  <c r="E639" i="5"/>
  <c r="D639" i="5"/>
  <c r="C639" i="5"/>
  <c r="B639" i="5"/>
  <c r="L638" i="5"/>
  <c r="J638" i="5"/>
  <c r="I638" i="5"/>
  <c r="H638" i="5"/>
  <c r="G638" i="5"/>
  <c r="F638" i="5"/>
  <c r="E638" i="5"/>
  <c r="D638" i="5"/>
  <c r="C638" i="5"/>
  <c r="B638" i="5"/>
  <c r="J637" i="5"/>
  <c r="I637" i="5"/>
  <c r="H637" i="5"/>
  <c r="G637" i="5"/>
  <c r="F637" i="5"/>
  <c r="L637" i="5" s="1"/>
  <c r="E637" i="5"/>
  <c r="D637" i="5"/>
  <c r="C637" i="5"/>
  <c r="B637" i="5"/>
  <c r="J636" i="5"/>
  <c r="I636" i="5"/>
  <c r="H636" i="5"/>
  <c r="G636" i="5"/>
  <c r="F636" i="5"/>
  <c r="L636" i="5" s="1"/>
  <c r="E636" i="5"/>
  <c r="D636" i="5"/>
  <c r="C636" i="5"/>
  <c r="B636" i="5"/>
  <c r="L635" i="5"/>
  <c r="J635" i="5"/>
  <c r="I635" i="5"/>
  <c r="H635" i="5"/>
  <c r="G635" i="5"/>
  <c r="F635" i="5"/>
  <c r="E635" i="5"/>
  <c r="D635" i="5"/>
  <c r="C635" i="5"/>
  <c r="B635" i="5"/>
  <c r="L634" i="5"/>
  <c r="J634" i="5"/>
  <c r="I634" i="5"/>
  <c r="H634" i="5"/>
  <c r="G634" i="5"/>
  <c r="F634" i="5"/>
  <c r="E634" i="5"/>
  <c r="D634" i="5"/>
  <c r="C634" i="5"/>
  <c r="B634" i="5"/>
  <c r="J633" i="5"/>
  <c r="I633" i="5"/>
  <c r="H633" i="5"/>
  <c r="G633" i="5"/>
  <c r="F633" i="5"/>
  <c r="L633" i="5" s="1"/>
  <c r="E633" i="5"/>
  <c r="D633" i="5"/>
  <c r="C633" i="5"/>
  <c r="B633" i="5"/>
  <c r="J632" i="5"/>
  <c r="I632" i="5"/>
  <c r="H632" i="5"/>
  <c r="G632" i="5"/>
  <c r="F632" i="5"/>
  <c r="L632" i="5" s="1"/>
  <c r="E632" i="5"/>
  <c r="D632" i="5"/>
  <c r="C632" i="5"/>
  <c r="B632" i="5"/>
  <c r="L631" i="5"/>
  <c r="J631" i="5"/>
  <c r="I631" i="5"/>
  <c r="H631" i="5"/>
  <c r="G631" i="5"/>
  <c r="F631" i="5"/>
  <c r="E631" i="5"/>
  <c r="D631" i="5"/>
  <c r="C631" i="5"/>
  <c r="B631" i="5"/>
  <c r="J630" i="5"/>
  <c r="I630" i="5"/>
  <c r="H630" i="5"/>
  <c r="G630" i="5"/>
  <c r="F630" i="5"/>
  <c r="L630" i="5" s="1"/>
  <c r="E630" i="5"/>
  <c r="D630" i="5"/>
  <c r="C630" i="5"/>
  <c r="B630" i="5"/>
  <c r="J629" i="5"/>
  <c r="I629" i="5"/>
  <c r="H629" i="5"/>
  <c r="G629" i="5"/>
  <c r="F629" i="5"/>
  <c r="L629" i="5" s="1"/>
  <c r="E629" i="5"/>
  <c r="D629" i="5"/>
  <c r="C629" i="5"/>
  <c r="B629" i="5"/>
  <c r="J628" i="5"/>
  <c r="I628" i="5"/>
  <c r="H628" i="5"/>
  <c r="G628" i="5"/>
  <c r="F628" i="5"/>
  <c r="L628" i="5" s="1"/>
  <c r="E628" i="5"/>
  <c r="D628" i="5"/>
  <c r="C628" i="5"/>
  <c r="B628" i="5"/>
  <c r="L627" i="5"/>
  <c r="J627" i="5"/>
  <c r="I627" i="5"/>
  <c r="H627" i="5"/>
  <c r="G627" i="5"/>
  <c r="F627" i="5"/>
  <c r="E627" i="5"/>
  <c r="D627" i="5"/>
  <c r="C627" i="5"/>
  <c r="B627" i="5"/>
  <c r="L626" i="5"/>
  <c r="J626" i="5"/>
  <c r="I626" i="5"/>
  <c r="H626" i="5"/>
  <c r="G626" i="5"/>
  <c r="F626" i="5"/>
  <c r="E626" i="5"/>
  <c r="D626" i="5"/>
  <c r="C626" i="5"/>
  <c r="B626" i="5"/>
  <c r="J625" i="5"/>
  <c r="I625" i="5"/>
  <c r="H625" i="5"/>
  <c r="G625" i="5"/>
  <c r="F625" i="5"/>
  <c r="L625" i="5" s="1"/>
  <c r="E625" i="5"/>
  <c r="D625" i="5"/>
  <c r="C625" i="5"/>
  <c r="B625" i="5"/>
  <c r="J624" i="5"/>
  <c r="I624" i="5"/>
  <c r="H624" i="5"/>
  <c r="G624" i="5"/>
  <c r="F624" i="5"/>
  <c r="L624" i="5" s="1"/>
  <c r="E624" i="5"/>
  <c r="D624" i="5"/>
  <c r="C624" i="5"/>
  <c r="B624" i="5"/>
  <c r="L623" i="5"/>
  <c r="J623" i="5"/>
  <c r="I623" i="5"/>
  <c r="H623" i="5"/>
  <c r="G623" i="5"/>
  <c r="F623" i="5"/>
  <c r="E623" i="5"/>
  <c r="D623" i="5"/>
  <c r="C623" i="5"/>
  <c r="B623" i="5"/>
  <c r="L622" i="5"/>
  <c r="J622" i="5"/>
  <c r="I622" i="5"/>
  <c r="H622" i="5"/>
  <c r="G622" i="5"/>
  <c r="F622" i="5"/>
  <c r="E622" i="5"/>
  <c r="D622" i="5"/>
  <c r="C622" i="5"/>
  <c r="B622" i="5"/>
  <c r="J621" i="5"/>
  <c r="I621" i="5"/>
  <c r="H621" i="5"/>
  <c r="G621" i="5"/>
  <c r="F621" i="5"/>
  <c r="L621" i="5" s="1"/>
  <c r="E621" i="5"/>
  <c r="D621" i="5"/>
  <c r="C621" i="5"/>
  <c r="B621" i="5"/>
  <c r="J620" i="5"/>
  <c r="I620" i="5"/>
  <c r="H620" i="5"/>
  <c r="G620" i="5"/>
  <c r="F620" i="5"/>
  <c r="L620" i="5" s="1"/>
  <c r="E620" i="5"/>
  <c r="D620" i="5"/>
  <c r="C620" i="5"/>
  <c r="B620" i="5"/>
  <c r="L619" i="5"/>
  <c r="J619" i="5"/>
  <c r="I619" i="5"/>
  <c r="H619" i="5"/>
  <c r="G619" i="5"/>
  <c r="F619" i="5"/>
  <c r="E619" i="5"/>
  <c r="D619" i="5"/>
  <c r="C619" i="5"/>
  <c r="B619" i="5"/>
  <c r="L618" i="5"/>
  <c r="J618" i="5"/>
  <c r="I618" i="5"/>
  <c r="H618" i="5"/>
  <c r="G618" i="5"/>
  <c r="F618" i="5"/>
  <c r="E618" i="5"/>
  <c r="D618" i="5"/>
  <c r="C618" i="5"/>
  <c r="B618" i="5"/>
  <c r="J617" i="5"/>
  <c r="I617" i="5"/>
  <c r="H617" i="5"/>
  <c r="G617" i="5"/>
  <c r="F617" i="5"/>
  <c r="L617" i="5" s="1"/>
  <c r="E617" i="5"/>
  <c r="D617" i="5"/>
  <c r="C617" i="5"/>
  <c r="B617" i="5"/>
  <c r="J616" i="5"/>
  <c r="I616" i="5"/>
  <c r="H616" i="5"/>
  <c r="G616" i="5"/>
  <c r="F616" i="5"/>
  <c r="L616" i="5" s="1"/>
  <c r="E616" i="5"/>
  <c r="D616" i="5"/>
  <c r="C616" i="5"/>
  <c r="B616" i="5"/>
  <c r="L615" i="5"/>
  <c r="J615" i="5"/>
  <c r="I615" i="5"/>
  <c r="H615" i="5"/>
  <c r="G615" i="5"/>
  <c r="F615" i="5"/>
  <c r="E615" i="5"/>
  <c r="D615" i="5"/>
  <c r="C615" i="5"/>
  <c r="B615" i="5"/>
  <c r="J614" i="5"/>
  <c r="I614" i="5"/>
  <c r="H614" i="5"/>
  <c r="G614" i="5"/>
  <c r="F614" i="5"/>
  <c r="L614" i="5" s="1"/>
  <c r="E614" i="5"/>
  <c r="D614" i="5"/>
  <c r="C614" i="5"/>
  <c r="B614" i="5"/>
  <c r="J613" i="5"/>
  <c r="I613" i="5"/>
  <c r="H613" i="5"/>
  <c r="G613" i="5"/>
  <c r="F613" i="5"/>
  <c r="L613" i="5" s="1"/>
  <c r="E613" i="5"/>
  <c r="D613" i="5"/>
  <c r="C613" i="5"/>
  <c r="B613" i="5"/>
  <c r="J612" i="5"/>
  <c r="I612" i="5"/>
  <c r="H612" i="5"/>
  <c r="G612" i="5"/>
  <c r="F612" i="5"/>
  <c r="L612" i="5" s="1"/>
  <c r="E612" i="5"/>
  <c r="D612" i="5"/>
  <c r="C612" i="5"/>
  <c r="B612" i="5"/>
  <c r="L611" i="5"/>
  <c r="J611" i="5"/>
  <c r="I611" i="5"/>
  <c r="H611" i="5"/>
  <c r="G611" i="5"/>
  <c r="F611" i="5"/>
  <c r="E611" i="5"/>
  <c r="D611" i="5"/>
  <c r="C611" i="5"/>
  <c r="B611" i="5"/>
  <c r="L610" i="5"/>
  <c r="J610" i="5"/>
  <c r="I610" i="5"/>
  <c r="H610" i="5"/>
  <c r="G610" i="5"/>
  <c r="F610" i="5"/>
  <c r="E610" i="5"/>
  <c r="D610" i="5"/>
  <c r="C610" i="5"/>
  <c r="B610" i="5"/>
  <c r="J609" i="5"/>
  <c r="I609" i="5"/>
  <c r="H609" i="5"/>
  <c r="G609" i="5"/>
  <c r="F609" i="5"/>
  <c r="L609" i="5" s="1"/>
  <c r="E609" i="5"/>
  <c r="D609" i="5"/>
  <c r="C609" i="5"/>
  <c r="B609" i="5"/>
  <c r="J608" i="5"/>
  <c r="I608" i="5"/>
  <c r="H608" i="5"/>
  <c r="G608" i="5"/>
  <c r="F608" i="5"/>
  <c r="L608" i="5" s="1"/>
  <c r="E608" i="5"/>
  <c r="D608" i="5"/>
  <c r="C608" i="5"/>
  <c r="B608" i="5"/>
  <c r="L607" i="5"/>
  <c r="J607" i="5"/>
  <c r="I607" i="5"/>
  <c r="H607" i="5"/>
  <c r="G607" i="5"/>
  <c r="F607" i="5"/>
  <c r="E607" i="5"/>
  <c r="D607" i="5"/>
  <c r="C607" i="5"/>
  <c r="B607" i="5"/>
  <c r="L606" i="5"/>
  <c r="J606" i="5"/>
  <c r="I606" i="5"/>
  <c r="H606" i="5"/>
  <c r="G606" i="5"/>
  <c r="F606" i="5"/>
  <c r="E606" i="5"/>
  <c r="D606" i="5"/>
  <c r="C606" i="5"/>
  <c r="B606" i="5"/>
  <c r="J605" i="5"/>
  <c r="I605" i="5"/>
  <c r="H605" i="5"/>
  <c r="G605" i="5"/>
  <c r="F605" i="5"/>
  <c r="L605" i="5" s="1"/>
  <c r="E605" i="5"/>
  <c r="D605" i="5"/>
  <c r="C605" i="5"/>
  <c r="B605" i="5"/>
  <c r="J604" i="5"/>
  <c r="I604" i="5"/>
  <c r="H604" i="5"/>
  <c r="G604" i="5"/>
  <c r="F604" i="5"/>
  <c r="L604" i="5" s="1"/>
  <c r="E604" i="5"/>
  <c r="D604" i="5"/>
  <c r="C604" i="5"/>
  <c r="B604" i="5"/>
  <c r="L603" i="5"/>
  <c r="J603" i="5"/>
  <c r="I603" i="5"/>
  <c r="H603" i="5"/>
  <c r="G603" i="5"/>
  <c r="F603" i="5"/>
  <c r="E603" i="5"/>
  <c r="D603" i="5"/>
  <c r="C603" i="5"/>
  <c r="B603" i="5"/>
  <c r="L602" i="5"/>
  <c r="J602" i="5"/>
  <c r="I602" i="5"/>
  <c r="H602" i="5"/>
  <c r="G602" i="5"/>
  <c r="F602" i="5"/>
  <c r="E602" i="5"/>
  <c r="D602" i="5"/>
  <c r="C602" i="5"/>
  <c r="B602" i="5"/>
  <c r="J601" i="5"/>
  <c r="I601" i="5"/>
  <c r="H601" i="5"/>
  <c r="G601" i="5"/>
  <c r="F601" i="5"/>
  <c r="L601" i="5" s="1"/>
  <c r="E601" i="5"/>
  <c r="D601" i="5"/>
  <c r="C601" i="5"/>
  <c r="B601" i="5"/>
  <c r="J600" i="5"/>
  <c r="I600" i="5"/>
  <c r="H600" i="5"/>
  <c r="G600" i="5"/>
  <c r="F600" i="5"/>
  <c r="L600" i="5" s="1"/>
  <c r="E600" i="5"/>
  <c r="D600" i="5"/>
  <c r="C600" i="5"/>
  <c r="B600" i="5"/>
  <c r="L599" i="5"/>
  <c r="J599" i="5"/>
  <c r="I599" i="5"/>
  <c r="H599" i="5"/>
  <c r="G599" i="5"/>
  <c r="F599" i="5"/>
  <c r="E599" i="5"/>
  <c r="D599" i="5"/>
  <c r="C599" i="5"/>
  <c r="B599" i="5"/>
  <c r="J598" i="5"/>
  <c r="I598" i="5"/>
  <c r="H598" i="5"/>
  <c r="G598" i="5"/>
  <c r="F598" i="5"/>
  <c r="L598" i="5" s="1"/>
  <c r="E598" i="5"/>
  <c r="D598" i="5"/>
  <c r="C598" i="5"/>
  <c r="B598" i="5"/>
  <c r="J597" i="5"/>
  <c r="I597" i="5"/>
  <c r="H597" i="5"/>
  <c r="G597" i="5"/>
  <c r="F597" i="5"/>
  <c r="L597" i="5" s="1"/>
  <c r="E597" i="5"/>
  <c r="D597" i="5"/>
  <c r="C597" i="5"/>
  <c r="B597" i="5"/>
  <c r="J596" i="5"/>
  <c r="I596" i="5"/>
  <c r="H596" i="5"/>
  <c r="G596" i="5"/>
  <c r="F596" i="5"/>
  <c r="L596" i="5" s="1"/>
  <c r="E596" i="5"/>
  <c r="D596" i="5"/>
  <c r="C596" i="5"/>
  <c r="B596" i="5"/>
  <c r="L595" i="5"/>
  <c r="J595" i="5"/>
  <c r="I595" i="5"/>
  <c r="H595" i="5"/>
  <c r="G595" i="5"/>
  <c r="F595" i="5"/>
  <c r="E595" i="5"/>
  <c r="D595" i="5"/>
  <c r="C595" i="5"/>
  <c r="B595" i="5"/>
  <c r="L594" i="5"/>
  <c r="J594" i="5"/>
  <c r="I594" i="5"/>
  <c r="H594" i="5"/>
  <c r="G594" i="5"/>
  <c r="F594" i="5"/>
  <c r="E594" i="5"/>
  <c r="D594" i="5"/>
  <c r="C594" i="5"/>
  <c r="B594" i="5"/>
  <c r="J593" i="5"/>
  <c r="I593" i="5"/>
  <c r="H593" i="5"/>
  <c r="G593" i="5"/>
  <c r="F593" i="5"/>
  <c r="L593" i="5" s="1"/>
  <c r="E593" i="5"/>
  <c r="D593" i="5"/>
  <c r="C593" i="5"/>
  <c r="B593" i="5"/>
  <c r="J592" i="5"/>
  <c r="I592" i="5"/>
  <c r="H592" i="5"/>
  <c r="G592" i="5"/>
  <c r="F592" i="5"/>
  <c r="L592" i="5" s="1"/>
  <c r="E592" i="5"/>
  <c r="D592" i="5"/>
  <c r="C592" i="5"/>
  <c r="B592" i="5"/>
  <c r="L591" i="5"/>
  <c r="J591" i="5"/>
  <c r="I591" i="5"/>
  <c r="H591" i="5"/>
  <c r="G591" i="5"/>
  <c r="F591" i="5"/>
  <c r="E591" i="5"/>
  <c r="D591" i="5"/>
  <c r="C591" i="5"/>
  <c r="B591" i="5"/>
  <c r="L590" i="5"/>
  <c r="J590" i="5"/>
  <c r="I590" i="5"/>
  <c r="H590" i="5"/>
  <c r="G590" i="5"/>
  <c r="F590" i="5"/>
  <c r="E590" i="5"/>
  <c r="D590" i="5"/>
  <c r="C590" i="5"/>
  <c r="B590" i="5"/>
  <c r="J589" i="5"/>
  <c r="I589" i="5"/>
  <c r="H589" i="5"/>
  <c r="G589" i="5"/>
  <c r="F589" i="5"/>
  <c r="L589" i="5" s="1"/>
  <c r="E589" i="5"/>
  <c r="D589" i="5"/>
  <c r="C589" i="5"/>
  <c r="B589" i="5"/>
  <c r="J588" i="5"/>
  <c r="I588" i="5"/>
  <c r="H588" i="5"/>
  <c r="G588" i="5"/>
  <c r="F588" i="5"/>
  <c r="L588" i="5" s="1"/>
  <c r="E588" i="5"/>
  <c r="D588" i="5"/>
  <c r="C588" i="5"/>
  <c r="B588" i="5"/>
  <c r="L587" i="5"/>
  <c r="J587" i="5"/>
  <c r="I587" i="5"/>
  <c r="H587" i="5"/>
  <c r="G587" i="5"/>
  <c r="F587" i="5"/>
  <c r="E587" i="5"/>
  <c r="D587" i="5"/>
  <c r="C587" i="5"/>
  <c r="B587" i="5"/>
  <c r="L586" i="5"/>
  <c r="J586" i="5"/>
  <c r="I586" i="5"/>
  <c r="H586" i="5"/>
  <c r="G586" i="5"/>
  <c r="F586" i="5"/>
  <c r="E586" i="5"/>
  <c r="D586" i="5"/>
  <c r="C586" i="5"/>
  <c r="B586" i="5"/>
  <c r="J585" i="5"/>
  <c r="I585" i="5"/>
  <c r="H585" i="5"/>
  <c r="G585" i="5"/>
  <c r="F585" i="5"/>
  <c r="L585" i="5" s="1"/>
  <c r="E585" i="5"/>
  <c r="D585" i="5"/>
  <c r="C585" i="5"/>
  <c r="B585" i="5"/>
  <c r="J584" i="5"/>
  <c r="I584" i="5"/>
  <c r="H584" i="5"/>
  <c r="G584" i="5"/>
  <c r="F584" i="5"/>
  <c r="L584" i="5" s="1"/>
  <c r="E584" i="5"/>
  <c r="D584" i="5"/>
  <c r="C584" i="5"/>
  <c r="B584" i="5"/>
  <c r="L583" i="5"/>
  <c r="J583" i="5"/>
  <c r="I583" i="5"/>
  <c r="H583" i="5"/>
  <c r="G583" i="5"/>
  <c r="F583" i="5"/>
  <c r="E583" i="5"/>
  <c r="D583" i="5"/>
  <c r="C583" i="5"/>
  <c r="B583" i="5"/>
  <c r="J582" i="5"/>
  <c r="I582" i="5"/>
  <c r="H582" i="5"/>
  <c r="G582" i="5"/>
  <c r="F582" i="5"/>
  <c r="L582" i="5" s="1"/>
  <c r="E582" i="5"/>
  <c r="D582" i="5"/>
  <c r="C582" i="5"/>
  <c r="B582" i="5"/>
  <c r="J581" i="5"/>
  <c r="I581" i="5"/>
  <c r="H581" i="5"/>
  <c r="G581" i="5"/>
  <c r="F581" i="5"/>
  <c r="L581" i="5" s="1"/>
  <c r="E581" i="5"/>
  <c r="D581" i="5"/>
  <c r="C581" i="5"/>
  <c r="B581" i="5"/>
  <c r="J580" i="5"/>
  <c r="I580" i="5"/>
  <c r="H580" i="5"/>
  <c r="G580" i="5"/>
  <c r="F580" i="5"/>
  <c r="L580" i="5" s="1"/>
  <c r="E580" i="5"/>
  <c r="D580" i="5"/>
  <c r="C580" i="5"/>
  <c r="B580" i="5"/>
  <c r="L579" i="5"/>
  <c r="J579" i="5"/>
  <c r="I579" i="5"/>
  <c r="H579" i="5"/>
  <c r="G579" i="5"/>
  <c r="F579" i="5"/>
  <c r="E579" i="5"/>
  <c r="D579" i="5"/>
  <c r="C579" i="5"/>
  <c r="B579" i="5"/>
  <c r="L578" i="5"/>
  <c r="J578" i="5"/>
  <c r="I578" i="5"/>
  <c r="H578" i="5"/>
  <c r="G578" i="5"/>
  <c r="F578" i="5"/>
  <c r="E578" i="5"/>
  <c r="D578" i="5"/>
  <c r="C578" i="5"/>
  <c r="B578" i="5"/>
  <c r="J577" i="5"/>
  <c r="I577" i="5"/>
  <c r="H577" i="5"/>
  <c r="G577" i="5"/>
  <c r="F577" i="5"/>
  <c r="L577" i="5" s="1"/>
  <c r="E577" i="5"/>
  <c r="D577" i="5"/>
  <c r="C577" i="5"/>
  <c r="B577" i="5"/>
  <c r="J576" i="5"/>
  <c r="I576" i="5"/>
  <c r="H576" i="5"/>
  <c r="G576" i="5"/>
  <c r="F576" i="5"/>
  <c r="L576" i="5" s="1"/>
  <c r="E576" i="5"/>
  <c r="D576" i="5"/>
  <c r="C576" i="5"/>
  <c r="B576" i="5"/>
  <c r="L575" i="5"/>
  <c r="J575" i="5"/>
  <c r="I575" i="5"/>
  <c r="H575" i="5"/>
  <c r="G575" i="5"/>
  <c r="F575" i="5"/>
  <c r="E575" i="5"/>
  <c r="D575" i="5"/>
  <c r="C575" i="5"/>
  <c r="B575" i="5"/>
  <c r="L574" i="5"/>
  <c r="J574" i="5"/>
  <c r="I574" i="5"/>
  <c r="H574" i="5"/>
  <c r="G574" i="5"/>
  <c r="F574" i="5"/>
  <c r="E574" i="5"/>
  <c r="D574" i="5"/>
  <c r="C574" i="5"/>
  <c r="B574" i="5"/>
  <c r="J573" i="5"/>
  <c r="I573" i="5"/>
  <c r="H573" i="5"/>
  <c r="G573" i="5"/>
  <c r="F573" i="5"/>
  <c r="L573" i="5" s="1"/>
  <c r="E573" i="5"/>
  <c r="D573" i="5"/>
  <c r="C573" i="5"/>
  <c r="B573" i="5"/>
  <c r="J572" i="5"/>
  <c r="I572" i="5"/>
  <c r="H572" i="5"/>
  <c r="G572" i="5"/>
  <c r="F572" i="5"/>
  <c r="L572" i="5" s="1"/>
  <c r="E572" i="5"/>
  <c r="D572" i="5"/>
  <c r="C572" i="5"/>
  <c r="B572" i="5"/>
  <c r="L571" i="5"/>
  <c r="J571" i="5"/>
  <c r="I571" i="5"/>
  <c r="H571" i="5"/>
  <c r="G571" i="5"/>
  <c r="F571" i="5"/>
  <c r="E571" i="5"/>
  <c r="D571" i="5"/>
  <c r="C571" i="5"/>
  <c r="B571" i="5"/>
  <c r="L570" i="5"/>
  <c r="J570" i="5"/>
  <c r="I570" i="5"/>
  <c r="H570" i="5"/>
  <c r="G570" i="5"/>
  <c r="F570" i="5"/>
  <c r="E570" i="5"/>
  <c r="D570" i="5"/>
  <c r="C570" i="5"/>
  <c r="B570" i="5"/>
  <c r="J569" i="5"/>
  <c r="I569" i="5"/>
  <c r="H569" i="5"/>
  <c r="G569" i="5"/>
  <c r="F569" i="5"/>
  <c r="L569" i="5" s="1"/>
  <c r="E569" i="5"/>
  <c r="D569" i="5"/>
  <c r="C569" i="5"/>
  <c r="B569" i="5"/>
  <c r="J568" i="5"/>
  <c r="I568" i="5"/>
  <c r="H568" i="5"/>
  <c r="G568" i="5"/>
  <c r="F568" i="5"/>
  <c r="L568" i="5" s="1"/>
  <c r="E568" i="5"/>
  <c r="D568" i="5"/>
  <c r="C568" i="5"/>
  <c r="B568" i="5"/>
  <c r="L567" i="5"/>
  <c r="J567" i="5"/>
  <c r="I567" i="5"/>
  <c r="H567" i="5"/>
  <c r="G567" i="5"/>
  <c r="F567" i="5"/>
  <c r="E567" i="5"/>
  <c r="D567" i="5"/>
  <c r="C567" i="5"/>
  <c r="B567" i="5"/>
  <c r="L566" i="5"/>
  <c r="J566" i="5"/>
  <c r="I566" i="5"/>
  <c r="H566" i="5"/>
  <c r="G566" i="5"/>
  <c r="F566" i="5"/>
  <c r="E566" i="5"/>
  <c r="D566" i="5"/>
  <c r="C566" i="5"/>
  <c r="B566" i="5"/>
  <c r="J565" i="5"/>
  <c r="I565" i="5"/>
  <c r="H565" i="5"/>
  <c r="G565" i="5"/>
  <c r="F565" i="5"/>
  <c r="L565" i="5" s="1"/>
  <c r="E565" i="5"/>
  <c r="D565" i="5"/>
  <c r="C565" i="5"/>
  <c r="B565" i="5"/>
  <c r="J564" i="5"/>
  <c r="I564" i="5"/>
  <c r="H564" i="5"/>
  <c r="G564" i="5"/>
  <c r="F564" i="5"/>
  <c r="L564" i="5" s="1"/>
  <c r="E564" i="5"/>
  <c r="D564" i="5"/>
  <c r="C564" i="5"/>
  <c r="B564" i="5"/>
  <c r="L563" i="5"/>
  <c r="J563" i="5"/>
  <c r="I563" i="5"/>
  <c r="H563" i="5"/>
  <c r="G563" i="5"/>
  <c r="F563" i="5"/>
  <c r="E563" i="5"/>
  <c r="D563" i="5"/>
  <c r="C563" i="5"/>
  <c r="B563" i="5"/>
  <c r="L562" i="5"/>
  <c r="J562" i="5"/>
  <c r="I562" i="5"/>
  <c r="H562" i="5"/>
  <c r="G562" i="5"/>
  <c r="F562" i="5"/>
  <c r="E562" i="5"/>
  <c r="D562" i="5"/>
  <c r="C562" i="5"/>
  <c r="B562" i="5"/>
  <c r="J561" i="5"/>
  <c r="I561" i="5"/>
  <c r="H561" i="5"/>
  <c r="G561" i="5"/>
  <c r="F561" i="5"/>
  <c r="L561" i="5" s="1"/>
  <c r="E561" i="5"/>
  <c r="D561" i="5"/>
  <c r="C561" i="5"/>
  <c r="B561" i="5"/>
  <c r="J560" i="5"/>
  <c r="I560" i="5"/>
  <c r="H560" i="5"/>
  <c r="G560" i="5"/>
  <c r="F560" i="5"/>
  <c r="L560" i="5" s="1"/>
  <c r="E560" i="5"/>
  <c r="D560" i="5"/>
  <c r="C560" i="5"/>
  <c r="B560" i="5"/>
  <c r="L559" i="5"/>
  <c r="J559" i="5"/>
  <c r="I559" i="5"/>
  <c r="H559" i="5"/>
  <c r="G559" i="5"/>
  <c r="F559" i="5"/>
  <c r="E559" i="5"/>
  <c r="D559" i="5"/>
  <c r="C559" i="5"/>
  <c r="B559" i="5"/>
  <c r="L558" i="5"/>
  <c r="J558" i="5"/>
  <c r="I558" i="5"/>
  <c r="H558" i="5"/>
  <c r="G558" i="5"/>
  <c r="F558" i="5"/>
  <c r="E558" i="5"/>
  <c r="D558" i="5"/>
  <c r="C558" i="5"/>
  <c r="B558" i="5"/>
  <c r="J557" i="5"/>
  <c r="I557" i="5"/>
  <c r="H557" i="5"/>
  <c r="G557" i="5"/>
  <c r="F557" i="5"/>
  <c r="L557" i="5" s="1"/>
  <c r="E557" i="5"/>
  <c r="D557" i="5"/>
  <c r="C557" i="5"/>
  <c r="B557" i="5"/>
  <c r="J556" i="5"/>
  <c r="I556" i="5"/>
  <c r="H556" i="5"/>
  <c r="G556" i="5"/>
  <c r="F556" i="5"/>
  <c r="L556" i="5" s="1"/>
  <c r="E556" i="5"/>
  <c r="D556" i="5"/>
  <c r="C556" i="5"/>
  <c r="B556" i="5"/>
  <c r="J555" i="5"/>
  <c r="I555" i="5"/>
  <c r="H555" i="5"/>
  <c r="G555" i="5"/>
  <c r="F555" i="5"/>
  <c r="L555" i="5" s="1"/>
  <c r="E555" i="5"/>
  <c r="D555" i="5"/>
  <c r="C555" i="5"/>
  <c r="B555" i="5"/>
  <c r="L554" i="5"/>
  <c r="J554" i="5"/>
  <c r="I554" i="5"/>
  <c r="H554" i="5"/>
  <c r="G554" i="5"/>
  <c r="F554" i="5"/>
  <c r="E554" i="5"/>
  <c r="D554" i="5"/>
  <c r="C554" i="5"/>
  <c r="B554" i="5"/>
  <c r="J553" i="5"/>
  <c r="I553" i="5"/>
  <c r="H553" i="5"/>
  <c r="G553" i="5"/>
  <c r="F553" i="5"/>
  <c r="L553" i="5" s="1"/>
  <c r="E553" i="5"/>
  <c r="D553" i="5"/>
  <c r="C553" i="5"/>
  <c r="B553" i="5"/>
  <c r="J552" i="5"/>
  <c r="I552" i="5"/>
  <c r="H552" i="5"/>
  <c r="G552" i="5"/>
  <c r="F552" i="5"/>
  <c r="L552" i="5" s="1"/>
  <c r="E552" i="5"/>
  <c r="D552" i="5"/>
  <c r="C552" i="5"/>
  <c r="B552" i="5"/>
  <c r="L551" i="5"/>
  <c r="J551" i="5"/>
  <c r="I551" i="5"/>
  <c r="H551" i="5"/>
  <c r="G551" i="5"/>
  <c r="F551" i="5"/>
  <c r="E551" i="5"/>
  <c r="D551" i="5"/>
  <c r="C551" i="5"/>
  <c r="B551" i="5"/>
  <c r="J550" i="5"/>
  <c r="I550" i="5"/>
  <c r="H550" i="5"/>
  <c r="G550" i="5"/>
  <c r="F550" i="5"/>
  <c r="L550" i="5" s="1"/>
  <c r="E550" i="5"/>
  <c r="D550" i="5"/>
  <c r="C550" i="5"/>
  <c r="B550" i="5"/>
  <c r="J549" i="5"/>
  <c r="I549" i="5"/>
  <c r="H549" i="5"/>
  <c r="G549" i="5"/>
  <c r="F549" i="5"/>
  <c r="L549" i="5" s="1"/>
  <c r="E549" i="5"/>
  <c r="D549" i="5"/>
  <c r="C549" i="5"/>
  <c r="B549" i="5"/>
  <c r="J548" i="5"/>
  <c r="I548" i="5"/>
  <c r="H548" i="5"/>
  <c r="G548" i="5"/>
  <c r="F548" i="5"/>
  <c r="L548" i="5" s="1"/>
  <c r="E548" i="5"/>
  <c r="D548" i="5"/>
  <c r="C548" i="5"/>
  <c r="B548" i="5"/>
  <c r="L547" i="5"/>
  <c r="J547" i="5"/>
  <c r="I547" i="5"/>
  <c r="H547" i="5"/>
  <c r="G547" i="5"/>
  <c r="F547" i="5"/>
  <c r="E547" i="5"/>
  <c r="D547" i="5"/>
  <c r="C547" i="5"/>
  <c r="B547" i="5"/>
  <c r="L546" i="5"/>
  <c r="J546" i="5"/>
  <c r="I546" i="5"/>
  <c r="H546" i="5"/>
  <c r="G546" i="5"/>
  <c r="F546" i="5"/>
  <c r="E546" i="5"/>
  <c r="D546" i="5"/>
  <c r="C546" i="5"/>
  <c r="B546" i="5"/>
  <c r="J545" i="5"/>
  <c r="I545" i="5"/>
  <c r="H545" i="5"/>
  <c r="G545" i="5"/>
  <c r="F545" i="5"/>
  <c r="L545" i="5" s="1"/>
  <c r="E545" i="5"/>
  <c r="D545" i="5"/>
  <c r="C545" i="5"/>
  <c r="B545" i="5"/>
  <c r="J544" i="5"/>
  <c r="I544" i="5"/>
  <c r="H544" i="5"/>
  <c r="G544" i="5"/>
  <c r="F544" i="5"/>
  <c r="L544" i="5" s="1"/>
  <c r="E544" i="5"/>
  <c r="D544" i="5"/>
  <c r="C544" i="5"/>
  <c r="B544" i="5"/>
  <c r="L543" i="5"/>
  <c r="J543" i="5"/>
  <c r="I543" i="5"/>
  <c r="H543" i="5"/>
  <c r="G543" i="5"/>
  <c r="F543" i="5"/>
  <c r="E543" i="5"/>
  <c r="D543" i="5"/>
  <c r="C543" i="5"/>
  <c r="B543" i="5"/>
  <c r="L542" i="5"/>
  <c r="J542" i="5"/>
  <c r="I542" i="5"/>
  <c r="H542" i="5"/>
  <c r="G542" i="5"/>
  <c r="F542" i="5"/>
  <c r="E542" i="5"/>
  <c r="D542" i="5"/>
  <c r="C542" i="5"/>
  <c r="B542" i="5"/>
  <c r="J541" i="5"/>
  <c r="I541" i="5"/>
  <c r="H541" i="5"/>
  <c r="G541" i="5"/>
  <c r="F541" i="5"/>
  <c r="L541" i="5" s="1"/>
  <c r="E541" i="5"/>
  <c r="D541" i="5"/>
  <c r="C541" i="5"/>
  <c r="B541" i="5"/>
  <c r="J540" i="5"/>
  <c r="I540" i="5"/>
  <c r="H540" i="5"/>
  <c r="G540" i="5"/>
  <c r="F540" i="5"/>
  <c r="L540" i="5" s="1"/>
  <c r="E540" i="5"/>
  <c r="D540" i="5"/>
  <c r="C540" i="5"/>
  <c r="B540" i="5"/>
  <c r="J539" i="5"/>
  <c r="I539" i="5"/>
  <c r="H539" i="5"/>
  <c r="G539" i="5"/>
  <c r="F539" i="5"/>
  <c r="L539" i="5" s="1"/>
  <c r="E539" i="5"/>
  <c r="D539" i="5"/>
  <c r="C539" i="5"/>
  <c r="B539" i="5"/>
  <c r="L538" i="5"/>
  <c r="J538" i="5"/>
  <c r="I538" i="5"/>
  <c r="H538" i="5"/>
  <c r="G538" i="5"/>
  <c r="F538" i="5"/>
  <c r="E538" i="5"/>
  <c r="D538" i="5"/>
  <c r="C538" i="5"/>
  <c r="B538" i="5"/>
  <c r="J537" i="5"/>
  <c r="I537" i="5"/>
  <c r="H537" i="5"/>
  <c r="G537" i="5"/>
  <c r="F537" i="5"/>
  <c r="L537" i="5" s="1"/>
  <c r="E537" i="5"/>
  <c r="D537" i="5"/>
  <c r="C537" i="5"/>
  <c r="B537" i="5"/>
  <c r="J536" i="5"/>
  <c r="I536" i="5"/>
  <c r="H536" i="5"/>
  <c r="G536" i="5"/>
  <c r="F536" i="5"/>
  <c r="L536" i="5" s="1"/>
  <c r="E536" i="5"/>
  <c r="D536" i="5"/>
  <c r="C536" i="5"/>
  <c r="B536" i="5"/>
  <c r="L535" i="5"/>
  <c r="J535" i="5"/>
  <c r="I535" i="5"/>
  <c r="H535" i="5"/>
  <c r="G535" i="5"/>
  <c r="F535" i="5"/>
  <c r="E535" i="5"/>
  <c r="D535" i="5"/>
  <c r="C535" i="5"/>
  <c r="B535" i="5"/>
  <c r="J534" i="5"/>
  <c r="I534" i="5"/>
  <c r="H534" i="5"/>
  <c r="G534" i="5"/>
  <c r="F534" i="5"/>
  <c r="L534" i="5" s="1"/>
  <c r="E534" i="5"/>
  <c r="D534" i="5"/>
  <c r="C534" i="5"/>
  <c r="B534" i="5"/>
  <c r="J533" i="5"/>
  <c r="I533" i="5"/>
  <c r="H533" i="5"/>
  <c r="G533" i="5"/>
  <c r="F533" i="5"/>
  <c r="L533" i="5" s="1"/>
  <c r="E533" i="5"/>
  <c r="D533" i="5"/>
  <c r="C533" i="5"/>
  <c r="B533" i="5"/>
  <c r="J532" i="5"/>
  <c r="I532" i="5"/>
  <c r="H532" i="5"/>
  <c r="G532" i="5"/>
  <c r="F532" i="5"/>
  <c r="L532" i="5" s="1"/>
  <c r="E532" i="5"/>
  <c r="D532" i="5"/>
  <c r="C532" i="5"/>
  <c r="B532" i="5"/>
  <c r="L531" i="5"/>
  <c r="J531" i="5"/>
  <c r="I531" i="5"/>
  <c r="H531" i="5"/>
  <c r="G531" i="5"/>
  <c r="F531" i="5"/>
  <c r="E531" i="5"/>
  <c r="D531" i="5"/>
  <c r="C531" i="5"/>
  <c r="B531" i="5"/>
  <c r="L530" i="5"/>
  <c r="J530" i="5"/>
  <c r="I530" i="5"/>
  <c r="H530" i="5"/>
  <c r="G530" i="5"/>
  <c r="F530" i="5"/>
  <c r="E530" i="5"/>
  <c r="D530" i="5"/>
  <c r="C530" i="5"/>
  <c r="B530" i="5"/>
  <c r="J529" i="5"/>
  <c r="I529" i="5"/>
  <c r="H529" i="5"/>
  <c r="G529" i="5"/>
  <c r="F529" i="5"/>
  <c r="L529" i="5" s="1"/>
  <c r="E529" i="5"/>
  <c r="D529" i="5"/>
  <c r="C529" i="5"/>
  <c r="B529" i="5"/>
  <c r="J528" i="5"/>
  <c r="I528" i="5"/>
  <c r="H528" i="5"/>
  <c r="G528" i="5"/>
  <c r="F528" i="5"/>
  <c r="L528" i="5" s="1"/>
  <c r="E528" i="5"/>
  <c r="D528" i="5"/>
  <c r="C528" i="5"/>
  <c r="B528" i="5"/>
  <c r="L527" i="5"/>
  <c r="J527" i="5"/>
  <c r="I527" i="5"/>
  <c r="H527" i="5"/>
  <c r="G527" i="5"/>
  <c r="F527" i="5"/>
  <c r="E527" i="5"/>
  <c r="D527" i="5"/>
  <c r="C527" i="5"/>
  <c r="B527" i="5"/>
  <c r="L526" i="5"/>
  <c r="J526" i="5"/>
  <c r="I526" i="5"/>
  <c r="H526" i="5"/>
  <c r="G526" i="5"/>
  <c r="F526" i="5"/>
  <c r="E526" i="5"/>
  <c r="D526" i="5"/>
  <c r="C526" i="5"/>
  <c r="B526" i="5"/>
  <c r="J525" i="5"/>
  <c r="I525" i="5"/>
  <c r="H525" i="5"/>
  <c r="G525" i="5"/>
  <c r="F525" i="5"/>
  <c r="L525" i="5" s="1"/>
  <c r="E525" i="5"/>
  <c r="D525" i="5"/>
  <c r="C525" i="5"/>
  <c r="B525" i="5"/>
  <c r="J524" i="5"/>
  <c r="I524" i="5"/>
  <c r="H524" i="5"/>
  <c r="G524" i="5"/>
  <c r="F524" i="5"/>
  <c r="L524" i="5" s="1"/>
  <c r="E524" i="5"/>
  <c r="D524" i="5"/>
  <c r="C524" i="5"/>
  <c r="B524" i="5"/>
  <c r="J523" i="5"/>
  <c r="I523" i="5"/>
  <c r="H523" i="5"/>
  <c r="G523" i="5"/>
  <c r="F523" i="5"/>
  <c r="L523" i="5" s="1"/>
  <c r="E523" i="5"/>
  <c r="D523" i="5"/>
  <c r="C523" i="5"/>
  <c r="B523" i="5"/>
  <c r="L522" i="5"/>
  <c r="J522" i="5"/>
  <c r="I522" i="5"/>
  <c r="H522" i="5"/>
  <c r="G522" i="5"/>
  <c r="F522" i="5"/>
  <c r="E522" i="5"/>
  <c r="D522" i="5"/>
  <c r="C522" i="5"/>
  <c r="B522" i="5"/>
  <c r="J521" i="5"/>
  <c r="I521" i="5"/>
  <c r="H521" i="5"/>
  <c r="G521" i="5"/>
  <c r="F521" i="5"/>
  <c r="L521" i="5" s="1"/>
  <c r="E521" i="5"/>
  <c r="D521" i="5"/>
  <c r="C521" i="5"/>
  <c r="B521" i="5"/>
  <c r="J520" i="5"/>
  <c r="I520" i="5"/>
  <c r="H520" i="5"/>
  <c r="G520" i="5"/>
  <c r="F520" i="5"/>
  <c r="L520" i="5" s="1"/>
  <c r="E520" i="5"/>
  <c r="D520" i="5"/>
  <c r="C520" i="5"/>
  <c r="B520" i="5"/>
  <c r="L519" i="5"/>
  <c r="J519" i="5"/>
  <c r="I519" i="5"/>
  <c r="H519" i="5"/>
  <c r="G519" i="5"/>
  <c r="F519" i="5"/>
  <c r="E519" i="5"/>
  <c r="D519" i="5"/>
  <c r="C519" i="5"/>
  <c r="B519" i="5"/>
  <c r="J518" i="5"/>
  <c r="I518" i="5"/>
  <c r="H518" i="5"/>
  <c r="G518" i="5"/>
  <c r="F518" i="5"/>
  <c r="L518" i="5" s="1"/>
  <c r="E518" i="5"/>
  <c r="D518" i="5"/>
  <c r="C518" i="5"/>
  <c r="B518" i="5"/>
  <c r="J517" i="5"/>
  <c r="I517" i="5"/>
  <c r="H517" i="5"/>
  <c r="G517" i="5"/>
  <c r="F517" i="5"/>
  <c r="L517" i="5" s="1"/>
  <c r="E517" i="5"/>
  <c r="D517" i="5"/>
  <c r="C517" i="5"/>
  <c r="B517" i="5"/>
  <c r="J516" i="5"/>
  <c r="I516" i="5"/>
  <c r="H516" i="5"/>
  <c r="G516" i="5"/>
  <c r="F516" i="5"/>
  <c r="L516" i="5" s="1"/>
  <c r="E516" i="5"/>
  <c r="D516" i="5"/>
  <c r="C516" i="5"/>
  <c r="B516" i="5"/>
  <c r="L515" i="5"/>
  <c r="J515" i="5"/>
  <c r="I515" i="5"/>
  <c r="H515" i="5"/>
  <c r="G515" i="5"/>
  <c r="F515" i="5"/>
  <c r="E515" i="5"/>
  <c r="D515" i="5"/>
  <c r="C515" i="5"/>
  <c r="B515" i="5"/>
  <c r="L514" i="5"/>
  <c r="J514" i="5"/>
  <c r="I514" i="5"/>
  <c r="H514" i="5"/>
  <c r="G514" i="5"/>
  <c r="F514" i="5"/>
  <c r="E514" i="5"/>
  <c r="D514" i="5"/>
  <c r="C514" i="5"/>
  <c r="B514" i="5"/>
  <c r="J513" i="5"/>
  <c r="I513" i="5"/>
  <c r="H513" i="5"/>
  <c r="G513" i="5"/>
  <c r="F513" i="5"/>
  <c r="L513" i="5" s="1"/>
  <c r="E513" i="5"/>
  <c r="D513" i="5"/>
  <c r="C513" i="5"/>
  <c r="B513" i="5"/>
  <c r="J512" i="5"/>
  <c r="I512" i="5"/>
  <c r="H512" i="5"/>
  <c r="G512" i="5"/>
  <c r="F512" i="5"/>
  <c r="L512" i="5" s="1"/>
  <c r="E512" i="5"/>
  <c r="D512" i="5"/>
  <c r="C512" i="5"/>
  <c r="B512" i="5"/>
  <c r="L511" i="5"/>
  <c r="J511" i="5"/>
  <c r="I511" i="5"/>
  <c r="H511" i="5"/>
  <c r="G511" i="5"/>
  <c r="F511" i="5"/>
  <c r="E511" i="5"/>
  <c r="D511" i="5"/>
  <c r="C511" i="5"/>
  <c r="B511" i="5"/>
  <c r="L510" i="5"/>
  <c r="J510" i="5"/>
  <c r="I510" i="5"/>
  <c r="H510" i="5"/>
  <c r="G510" i="5"/>
  <c r="F510" i="5"/>
  <c r="E510" i="5"/>
  <c r="D510" i="5"/>
  <c r="C510" i="5"/>
  <c r="B510" i="5"/>
  <c r="J509" i="5"/>
  <c r="I509" i="5"/>
  <c r="H509" i="5"/>
  <c r="G509" i="5"/>
  <c r="F509" i="5"/>
  <c r="L509" i="5" s="1"/>
  <c r="E509" i="5"/>
  <c r="D509" i="5"/>
  <c r="C509" i="5"/>
  <c r="B509" i="5"/>
  <c r="J508" i="5"/>
  <c r="I508" i="5"/>
  <c r="H508" i="5"/>
  <c r="G508" i="5"/>
  <c r="F508" i="5"/>
  <c r="L508" i="5" s="1"/>
  <c r="E508" i="5"/>
  <c r="D508" i="5"/>
  <c r="C508" i="5"/>
  <c r="B508" i="5"/>
  <c r="J507" i="5"/>
  <c r="I507" i="5"/>
  <c r="H507" i="5"/>
  <c r="G507" i="5"/>
  <c r="F507" i="5"/>
  <c r="L507" i="5" s="1"/>
  <c r="E507" i="5"/>
  <c r="D507" i="5"/>
  <c r="C507" i="5"/>
  <c r="B507" i="5"/>
  <c r="L506" i="5"/>
  <c r="J506" i="5"/>
  <c r="I506" i="5"/>
  <c r="H506" i="5"/>
  <c r="G506" i="5"/>
  <c r="F506" i="5"/>
  <c r="E506" i="5"/>
  <c r="D506" i="5"/>
  <c r="C506" i="5"/>
  <c r="B506" i="5"/>
  <c r="J505" i="5"/>
  <c r="I505" i="5"/>
  <c r="H505" i="5"/>
  <c r="G505" i="5"/>
  <c r="F505" i="5"/>
  <c r="L505" i="5" s="1"/>
  <c r="E505" i="5"/>
  <c r="D505" i="5"/>
  <c r="C505" i="5"/>
  <c r="B505" i="5"/>
  <c r="J504" i="5"/>
  <c r="I504" i="5"/>
  <c r="H504" i="5"/>
  <c r="G504" i="5"/>
  <c r="F504" i="5"/>
  <c r="L504" i="5" s="1"/>
  <c r="E504" i="5"/>
  <c r="D504" i="5"/>
  <c r="C504" i="5"/>
  <c r="B504" i="5"/>
  <c r="L503" i="5"/>
  <c r="J503" i="5"/>
  <c r="I503" i="5"/>
  <c r="H503" i="5"/>
  <c r="G503" i="5"/>
  <c r="F503" i="5"/>
  <c r="E503" i="5"/>
  <c r="D503" i="5"/>
  <c r="C503" i="5"/>
  <c r="B503" i="5"/>
  <c r="J502" i="5"/>
  <c r="I502" i="5"/>
  <c r="H502" i="5"/>
  <c r="G502" i="5"/>
  <c r="F502" i="5"/>
  <c r="L502" i="5" s="1"/>
  <c r="E502" i="5"/>
  <c r="D502" i="5"/>
  <c r="C502" i="5"/>
  <c r="B502" i="5"/>
  <c r="L501" i="5"/>
  <c r="J501" i="5"/>
  <c r="I501" i="5"/>
  <c r="H501" i="5"/>
  <c r="G501" i="5"/>
  <c r="F501" i="5"/>
  <c r="E501" i="5"/>
  <c r="D501" i="5"/>
  <c r="C501" i="5"/>
  <c r="B501" i="5"/>
  <c r="L500" i="5"/>
  <c r="J500" i="5"/>
  <c r="I500" i="5"/>
  <c r="H500" i="5"/>
  <c r="G500" i="5"/>
  <c r="F500" i="5"/>
  <c r="E500" i="5"/>
  <c r="D500" i="5"/>
  <c r="C500" i="5"/>
  <c r="B500" i="5"/>
  <c r="L499" i="5"/>
  <c r="J499" i="5"/>
  <c r="I499" i="5"/>
  <c r="H499" i="5"/>
  <c r="G499" i="5"/>
  <c r="F499" i="5"/>
  <c r="E499" i="5"/>
  <c r="D499" i="5"/>
  <c r="C499" i="5"/>
  <c r="B499" i="5"/>
  <c r="J498" i="5"/>
  <c r="I498" i="5"/>
  <c r="H498" i="5"/>
  <c r="G498" i="5"/>
  <c r="F498" i="5"/>
  <c r="L498" i="5" s="1"/>
  <c r="E498" i="5"/>
  <c r="D498" i="5"/>
  <c r="C498" i="5"/>
  <c r="B498" i="5"/>
  <c r="L497" i="5"/>
  <c r="J497" i="5"/>
  <c r="I497" i="5"/>
  <c r="H497" i="5"/>
  <c r="G497" i="5"/>
  <c r="F497" i="5"/>
  <c r="E497" i="5"/>
  <c r="D497" i="5"/>
  <c r="C497" i="5"/>
  <c r="B497" i="5"/>
  <c r="L496" i="5"/>
  <c r="J496" i="5"/>
  <c r="I496" i="5"/>
  <c r="H496" i="5"/>
  <c r="G496" i="5"/>
  <c r="F496" i="5"/>
  <c r="E496" i="5"/>
  <c r="D496" i="5"/>
  <c r="C496" i="5"/>
  <c r="B496" i="5"/>
  <c r="L495" i="5"/>
  <c r="J495" i="5"/>
  <c r="I495" i="5"/>
  <c r="H495" i="5"/>
  <c r="G495" i="5"/>
  <c r="F495" i="5"/>
  <c r="E495" i="5"/>
  <c r="D495" i="5"/>
  <c r="C495" i="5"/>
  <c r="B495" i="5"/>
  <c r="J494" i="5"/>
  <c r="I494" i="5"/>
  <c r="H494" i="5"/>
  <c r="G494" i="5"/>
  <c r="F494" i="5"/>
  <c r="L494" i="5" s="1"/>
  <c r="E494" i="5"/>
  <c r="D494" i="5"/>
  <c r="C494" i="5"/>
  <c r="B494" i="5"/>
  <c r="L493" i="5"/>
  <c r="J493" i="5"/>
  <c r="I493" i="5"/>
  <c r="H493" i="5"/>
  <c r="G493" i="5"/>
  <c r="F493" i="5"/>
  <c r="E493" i="5"/>
  <c r="D493" i="5"/>
  <c r="C493" i="5"/>
  <c r="B493" i="5"/>
  <c r="L492" i="5"/>
  <c r="J492" i="5"/>
  <c r="I492" i="5"/>
  <c r="H492" i="5"/>
  <c r="G492" i="5"/>
  <c r="F492" i="5"/>
  <c r="E492" i="5"/>
  <c r="D492" i="5"/>
  <c r="C492" i="5"/>
  <c r="B492" i="5"/>
  <c r="L491" i="5"/>
  <c r="J491" i="5"/>
  <c r="I491" i="5"/>
  <c r="H491" i="5"/>
  <c r="G491" i="5"/>
  <c r="F491" i="5"/>
  <c r="E491" i="5"/>
  <c r="D491" i="5"/>
  <c r="C491" i="5"/>
  <c r="B491" i="5"/>
  <c r="J490" i="5"/>
  <c r="I490" i="5"/>
  <c r="H490" i="5"/>
  <c r="G490" i="5"/>
  <c r="F490" i="5"/>
  <c r="L490" i="5" s="1"/>
  <c r="E490" i="5"/>
  <c r="D490" i="5"/>
  <c r="C490" i="5"/>
  <c r="B490" i="5"/>
  <c r="L489" i="5"/>
  <c r="J489" i="5"/>
  <c r="I489" i="5"/>
  <c r="H489" i="5"/>
  <c r="G489" i="5"/>
  <c r="F489" i="5"/>
  <c r="E489" i="5"/>
  <c r="D489" i="5"/>
  <c r="C489" i="5"/>
  <c r="B489" i="5"/>
  <c r="L488" i="5"/>
  <c r="J488" i="5"/>
  <c r="I488" i="5"/>
  <c r="H488" i="5"/>
  <c r="G488" i="5"/>
  <c r="F488" i="5"/>
  <c r="E488" i="5"/>
  <c r="D488" i="5"/>
  <c r="C488" i="5"/>
  <c r="B488" i="5"/>
  <c r="L487" i="5"/>
  <c r="J487" i="5"/>
  <c r="I487" i="5"/>
  <c r="H487" i="5"/>
  <c r="G487" i="5"/>
  <c r="F487" i="5"/>
  <c r="E487" i="5"/>
  <c r="D487" i="5"/>
  <c r="C487" i="5"/>
  <c r="B487" i="5"/>
  <c r="J486" i="5"/>
  <c r="I486" i="5"/>
  <c r="H486" i="5"/>
  <c r="G486" i="5"/>
  <c r="F486" i="5"/>
  <c r="L486" i="5" s="1"/>
  <c r="E486" i="5"/>
  <c r="D486" i="5"/>
  <c r="C486" i="5"/>
  <c r="B486" i="5"/>
  <c r="L485" i="5"/>
  <c r="J485" i="5"/>
  <c r="I485" i="5"/>
  <c r="H485" i="5"/>
  <c r="G485" i="5"/>
  <c r="F485" i="5"/>
  <c r="E485" i="5"/>
  <c r="D485" i="5"/>
  <c r="C485" i="5"/>
  <c r="B485" i="5"/>
  <c r="L484" i="5"/>
  <c r="J484" i="5"/>
  <c r="I484" i="5"/>
  <c r="H484" i="5"/>
  <c r="G484" i="5"/>
  <c r="F484" i="5"/>
  <c r="E484" i="5"/>
  <c r="D484" i="5"/>
  <c r="C484" i="5"/>
  <c r="B484" i="5"/>
  <c r="L483" i="5"/>
  <c r="J483" i="5"/>
  <c r="I483" i="5"/>
  <c r="H483" i="5"/>
  <c r="G483" i="5"/>
  <c r="F483" i="5"/>
  <c r="E483" i="5"/>
  <c r="D483" i="5"/>
  <c r="C483" i="5"/>
  <c r="B483" i="5"/>
  <c r="J482" i="5"/>
  <c r="I482" i="5"/>
  <c r="H482" i="5"/>
  <c r="G482" i="5"/>
  <c r="F482" i="5"/>
  <c r="L482" i="5" s="1"/>
  <c r="E482" i="5"/>
  <c r="D482" i="5"/>
  <c r="C482" i="5"/>
  <c r="B482" i="5"/>
  <c r="L481" i="5"/>
  <c r="J481" i="5"/>
  <c r="I481" i="5"/>
  <c r="H481" i="5"/>
  <c r="G481" i="5"/>
  <c r="F481" i="5"/>
  <c r="E481" i="5"/>
  <c r="D481" i="5"/>
  <c r="C481" i="5"/>
  <c r="B481" i="5"/>
  <c r="L480" i="5"/>
  <c r="J480" i="5"/>
  <c r="I480" i="5"/>
  <c r="H480" i="5"/>
  <c r="G480" i="5"/>
  <c r="F480" i="5"/>
  <c r="E480" i="5"/>
  <c r="D480" i="5"/>
  <c r="C480" i="5"/>
  <c r="B480" i="5"/>
  <c r="L479" i="5"/>
  <c r="J479" i="5"/>
  <c r="I479" i="5"/>
  <c r="H479" i="5"/>
  <c r="G479" i="5"/>
  <c r="F479" i="5"/>
  <c r="E479" i="5"/>
  <c r="D479" i="5"/>
  <c r="C479" i="5"/>
  <c r="B479" i="5"/>
  <c r="J478" i="5"/>
  <c r="I478" i="5"/>
  <c r="H478" i="5"/>
  <c r="G478" i="5"/>
  <c r="F478" i="5"/>
  <c r="L478" i="5" s="1"/>
  <c r="E478" i="5"/>
  <c r="D478" i="5"/>
  <c r="C478" i="5"/>
  <c r="B478" i="5"/>
  <c r="L477" i="5"/>
  <c r="J477" i="5"/>
  <c r="I477" i="5"/>
  <c r="H477" i="5"/>
  <c r="G477" i="5"/>
  <c r="F477" i="5"/>
  <c r="E477" i="5"/>
  <c r="D477" i="5"/>
  <c r="C477" i="5"/>
  <c r="B477" i="5"/>
  <c r="L476" i="5"/>
  <c r="J476" i="5"/>
  <c r="I476" i="5"/>
  <c r="H476" i="5"/>
  <c r="G476" i="5"/>
  <c r="F476" i="5"/>
  <c r="E476" i="5"/>
  <c r="D476" i="5"/>
  <c r="C476" i="5"/>
  <c r="B476" i="5"/>
  <c r="L475" i="5"/>
  <c r="J475" i="5"/>
  <c r="I475" i="5"/>
  <c r="H475" i="5"/>
  <c r="G475" i="5"/>
  <c r="F475" i="5"/>
  <c r="E475" i="5"/>
  <c r="D475" i="5"/>
  <c r="C475" i="5"/>
  <c r="B475" i="5"/>
  <c r="L474" i="5"/>
  <c r="J474" i="5"/>
  <c r="I474" i="5"/>
  <c r="H474" i="5"/>
  <c r="G474" i="5"/>
  <c r="F474" i="5"/>
  <c r="E474" i="5"/>
  <c r="D474" i="5"/>
  <c r="C474" i="5"/>
  <c r="B474" i="5"/>
  <c r="L473" i="5"/>
  <c r="J473" i="5"/>
  <c r="I473" i="5"/>
  <c r="H473" i="5"/>
  <c r="G473" i="5"/>
  <c r="F473" i="5"/>
  <c r="E473" i="5"/>
  <c r="D473" i="5"/>
  <c r="C473" i="5"/>
  <c r="B473" i="5"/>
  <c r="L472" i="5"/>
  <c r="J472" i="5"/>
  <c r="I472" i="5"/>
  <c r="H472" i="5"/>
  <c r="G472" i="5"/>
  <c r="F472" i="5"/>
  <c r="E472" i="5"/>
  <c r="D472" i="5"/>
  <c r="C472" i="5"/>
  <c r="B472" i="5"/>
  <c r="L471" i="5"/>
  <c r="J471" i="5"/>
  <c r="I471" i="5"/>
  <c r="H471" i="5"/>
  <c r="G471" i="5"/>
  <c r="F471" i="5"/>
  <c r="E471" i="5"/>
  <c r="D471" i="5"/>
  <c r="C471" i="5"/>
  <c r="B471" i="5"/>
  <c r="L470" i="5"/>
  <c r="J470" i="5"/>
  <c r="I470" i="5"/>
  <c r="H470" i="5"/>
  <c r="G470" i="5"/>
  <c r="F470" i="5"/>
  <c r="E470" i="5"/>
  <c r="D470" i="5"/>
  <c r="C470" i="5"/>
  <c r="B470" i="5"/>
  <c r="L469" i="5"/>
  <c r="J469" i="5"/>
  <c r="I469" i="5"/>
  <c r="H469" i="5"/>
  <c r="G469" i="5"/>
  <c r="F469" i="5"/>
  <c r="E469" i="5"/>
  <c r="D469" i="5"/>
  <c r="C469" i="5"/>
  <c r="B469" i="5"/>
  <c r="L468" i="5"/>
  <c r="J468" i="5"/>
  <c r="I468" i="5"/>
  <c r="H468" i="5"/>
  <c r="G468" i="5"/>
  <c r="F468" i="5"/>
  <c r="E468" i="5"/>
  <c r="D468" i="5"/>
  <c r="C468" i="5"/>
  <c r="B468" i="5"/>
  <c r="L467" i="5"/>
  <c r="J467" i="5"/>
  <c r="I467" i="5"/>
  <c r="H467" i="5"/>
  <c r="G467" i="5"/>
  <c r="F467" i="5"/>
  <c r="E467" i="5"/>
  <c r="D467" i="5"/>
  <c r="C467" i="5"/>
  <c r="B467" i="5"/>
  <c r="L466" i="5"/>
  <c r="J466" i="5"/>
  <c r="I466" i="5"/>
  <c r="H466" i="5"/>
  <c r="G466" i="5"/>
  <c r="F466" i="5"/>
  <c r="E466" i="5"/>
  <c r="D466" i="5"/>
  <c r="C466" i="5"/>
  <c r="B466" i="5"/>
  <c r="L465" i="5"/>
  <c r="J465" i="5"/>
  <c r="I465" i="5"/>
  <c r="H465" i="5"/>
  <c r="G465" i="5"/>
  <c r="F465" i="5"/>
  <c r="E465" i="5"/>
  <c r="D465" i="5"/>
  <c r="C465" i="5"/>
  <c r="B465" i="5"/>
  <c r="L464" i="5"/>
  <c r="J464" i="5"/>
  <c r="I464" i="5"/>
  <c r="H464" i="5"/>
  <c r="G464" i="5"/>
  <c r="F464" i="5"/>
  <c r="E464" i="5"/>
  <c r="D464" i="5"/>
  <c r="C464" i="5"/>
  <c r="B464" i="5"/>
  <c r="L463" i="5"/>
  <c r="J463" i="5"/>
  <c r="I463" i="5"/>
  <c r="H463" i="5"/>
  <c r="G463" i="5"/>
  <c r="F463" i="5"/>
  <c r="E463" i="5"/>
  <c r="D463" i="5"/>
  <c r="C463" i="5"/>
  <c r="B463" i="5"/>
  <c r="L462" i="5"/>
  <c r="J462" i="5"/>
  <c r="I462" i="5"/>
  <c r="H462" i="5"/>
  <c r="G462" i="5"/>
  <c r="F462" i="5"/>
  <c r="E462" i="5"/>
  <c r="D462" i="5"/>
  <c r="C462" i="5"/>
  <c r="B462" i="5"/>
  <c r="L461" i="5"/>
  <c r="J461" i="5"/>
  <c r="I461" i="5"/>
  <c r="H461" i="5"/>
  <c r="G461" i="5"/>
  <c r="F461" i="5"/>
  <c r="E461" i="5"/>
  <c r="D461" i="5"/>
  <c r="C461" i="5"/>
  <c r="B461" i="5"/>
  <c r="L460" i="5"/>
  <c r="J460" i="5"/>
  <c r="I460" i="5"/>
  <c r="H460" i="5"/>
  <c r="G460" i="5"/>
  <c r="F460" i="5"/>
  <c r="E460" i="5"/>
  <c r="D460" i="5"/>
  <c r="C460" i="5"/>
  <c r="B460" i="5"/>
  <c r="L459" i="5"/>
  <c r="J459" i="5"/>
  <c r="I459" i="5"/>
  <c r="H459" i="5"/>
  <c r="G459" i="5"/>
  <c r="F459" i="5"/>
  <c r="E459" i="5"/>
  <c r="D459" i="5"/>
  <c r="C459" i="5"/>
  <c r="B459" i="5"/>
  <c r="L458" i="5"/>
  <c r="J458" i="5"/>
  <c r="I458" i="5"/>
  <c r="H458" i="5"/>
  <c r="G458" i="5"/>
  <c r="F458" i="5"/>
  <c r="E458" i="5"/>
  <c r="D458" i="5"/>
  <c r="C458" i="5"/>
  <c r="B458" i="5"/>
  <c r="L457" i="5"/>
  <c r="J457" i="5"/>
  <c r="I457" i="5"/>
  <c r="H457" i="5"/>
  <c r="G457" i="5"/>
  <c r="F457" i="5"/>
  <c r="E457" i="5"/>
  <c r="D457" i="5"/>
  <c r="C457" i="5"/>
  <c r="B457" i="5"/>
  <c r="L456" i="5"/>
  <c r="J456" i="5"/>
  <c r="I456" i="5"/>
  <c r="H456" i="5"/>
  <c r="G456" i="5"/>
  <c r="F456" i="5"/>
  <c r="E456" i="5"/>
  <c r="D456" i="5"/>
  <c r="C456" i="5"/>
  <c r="B456" i="5"/>
  <c r="L455" i="5"/>
  <c r="J455" i="5"/>
  <c r="I455" i="5"/>
  <c r="H455" i="5"/>
  <c r="G455" i="5"/>
  <c r="F455" i="5"/>
  <c r="E455" i="5"/>
  <c r="D455" i="5"/>
  <c r="C455" i="5"/>
  <c r="B455" i="5"/>
  <c r="L454" i="5"/>
  <c r="J454" i="5"/>
  <c r="I454" i="5"/>
  <c r="H454" i="5"/>
  <c r="G454" i="5"/>
  <c r="F454" i="5"/>
  <c r="E454" i="5"/>
  <c r="D454" i="5"/>
  <c r="C454" i="5"/>
  <c r="B454" i="5"/>
  <c r="L453" i="5"/>
  <c r="J453" i="5"/>
  <c r="I453" i="5"/>
  <c r="H453" i="5"/>
  <c r="G453" i="5"/>
  <c r="F453" i="5"/>
  <c r="E453" i="5"/>
  <c r="D453" i="5"/>
  <c r="C453" i="5"/>
  <c r="B453" i="5"/>
  <c r="L452" i="5"/>
  <c r="J452" i="5"/>
  <c r="I452" i="5"/>
  <c r="H452" i="5"/>
  <c r="G452" i="5"/>
  <c r="F452" i="5"/>
  <c r="E452" i="5"/>
  <c r="D452" i="5"/>
  <c r="C452" i="5"/>
  <c r="B452" i="5"/>
  <c r="L451" i="5"/>
  <c r="J451" i="5"/>
  <c r="I451" i="5"/>
  <c r="H451" i="5"/>
  <c r="G451" i="5"/>
  <c r="F451" i="5"/>
  <c r="E451" i="5"/>
  <c r="D451" i="5"/>
  <c r="C451" i="5"/>
  <c r="B451" i="5"/>
  <c r="L450" i="5"/>
  <c r="J450" i="5"/>
  <c r="I450" i="5"/>
  <c r="H450" i="5"/>
  <c r="G450" i="5"/>
  <c r="F450" i="5"/>
  <c r="E450" i="5"/>
  <c r="D450" i="5"/>
  <c r="C450" i="5"/>
  <c r="B450" i="5"/>
  <c r="L449" i="5"/>
  <c r="J449" i="5"/>
  <c r="I449" i="5"/>
  <c r="H449" i="5"/>
  <c r="G449" i="5"/>
  <c r="F449" i="5"/>
  <c r="E449" i="5"/>
  <c r="D449" i="5"/>
  <c r="C449" i="5"/>
  <c r="B449" i="5"/>
  <c r="L448" i="5"/>
  <c r="J448" i="5"/>
  <c r="I448" i="5"/>
  <c r="H448" i="5"/>
  <c r="G448" i="5"/>
  <c r="F448" i="5"/>
  <c r="E448" i="5"/>
  <c r="D448" i="5"/>
  <c r="C448" i="5"/>
  <c r="B448" i="5"/>
  <c r="L447" i="5"/>
  <c r="J447" i="5"/>
  <c r="I447" i="5"/>
  <c r="H447" i="5"/>
  <c r="G447" i="5"/>
  <c r="F447" i="5"/>
  <c r="E447" i="5"/>
  <c r="D447" i="5"/>
  <c r="C447" i="5"/>
  <c r="B447" i="5"/>
  <c r="L446" i="5"/>
  <c r="J446" i="5"/>
  <c r="I446" i="5"/>
  <c r="H446" i="5"/>
  <c r="G446" i="5"/>
  <c r="F446" i="5"/>
  <c r="E446" i="5"/>
  <c r="D446" i="5"/>
  <c r="C446" i="5"/>
  <c r="B446" i="5"/>
  <c r="L445" i="5"/>
  <c r="J445" i="5"/>
  <c r="I445" i="5"/>
  <c r="H445" i="5"/>
  <c r="G445" i="5"/>
  <c r="F445" i="5"/>
  <c r="E445" i="5"/>
  <c r="D445" i="5"/>
  <c r="C445" i="5"/>
  <c r="B445" i="5"/>
  <c r="L444" i="5"/>
  <c r="J444" i="5"/>
  <c r="I444" i="5"/>
  <c r="H444" i="5"/>
  <c r="G444" i="5"/>
  <c r="F444" i="5"/>
  <c r="E444" i="5"/>
  <c r="D444" i="5"/>
  <c r="C444" i="5"/>
  <c r="B444" i="5"/>
  <c r="L443" i="5"/>
  <c r="J443" i="5"/>
  <c r="I443" i="5"/>
  <c r="H443" i="5"/>
  <c r="G443" i="5"/>
  <c r="F443" i="5"/>
  <c r="E443" i="5"/>
  <c r="D443" i="5"/>
  <c r="C443" i="5"/>
  <c r="B443" i="5"/>
  <c r="L442" i="5"/>
  <c r="J442" i="5"/>
  <c r="I442" i="5"/>
  <c r="H442" i="5"/>
  <c r="G442" i="5"/>
  <c r="F442" i="5"/>
  <c r="E442" i="5"/>
  <c r="D442" i="5"/>
  <c r="C442" i="5"/>
  <c r="B442" i="5"/>
  <c r="L441" i="5"/>
  <c r="J441" i="5"/>
  <c r="I441" i="5"/>
  <c r="H441" i="5"/>
  <c r="G441" i="5"/>
  <c r="F441" i="5"/>
  <c r="E441" i="5"/>
  <c r="D441" i="5"/>
  <c r="C441" i="5"/>
  <c r="B441" i="5"/>
  <c r="L440" i="5"/>
  <c r="J440" i="5"/>
  <c r="I440" i="5"/>
  <c r="H440" i="5"/>
  <c r="G440" i="5"/>
  <c r="F440" i="5"/>
  <c r="E440" i="5"/>
  <c r="D440" i="5"/>
  <c r="C440" i="5"/>
  <c r="B440" i="5"/>
  <c r="L439" i="5"/>
  <c r="J439" i="5"/>
  <c r="I439" i="5"/>
  <c r="H439" i="5"/>
  <c r="G439" i="5"/>
  <c r="F439" i="5"/>
  <c r="E439" i="5"/>
  <c r="D439" i="5"/>
  <c r="C439" i="5"/>
  <c r="B439" i="5"/>
  <c r="L438" i="5"/>
  <c r="J438" i="5"/>
  <c r="I438" i="5"/>
  <c r="H438" i="5"/>
  <c r="G438" i="5"/>
  <c r="F438" i="5"/>
  <c r="E438" i="5"/>
  <c r="D438" i="5"/>
  <c r="C438" i="5"/>
  <c r="B438" i="5"/>
  <c r="L437" i="5"/>
  <c r="J437" i="5"/>
  <c r="I437" i="5"/>
  <c r="H437" i="5"/>
  <c r="G437" i="5"/>
  <c r="F437" i="5"/>
  <c r="E437" i="5"/>
  <c r="D437" i="5"/>
  <c r="C437" i="5"/>
  <c r="B437" i="5"/>
  <c r="L436" i="5"/>
  <c r="J436" i="5"/>
  <c r="I436" i="5"/>
  <c r="H436" i="5"/>
  <c r="G436" i="5"/>
  <c r="F436" i="5"/>
  <c r="E436" i="5"/>
  <c r="D436" i="5"/>
  <c r="C436" i="5"/>
  <c r="B436" i="5"/>
  <c r="L435" i="5"/>
  <c r="J435" i="5"/>
  <c r="I435" i="5"/>
  <c r="H435" i="5"/>
  <c r="G435" i="5"/>
  <c r="F435" i="5"/>
  <c r="E435" i="5"/>
  <c r="D435" i="5"/>
  <c r="C435" i="5"/>
  <c r="B435" i="5"/>
  <c r="L434" i="5"/>
  <c r="J434" i="5"/>
  <c r="I434" i="5"/>
  <c r="H434" i="5"/>
  <c r="G434" i="5"/>
  <c r="F434" i="5"/>
  <c r="E434" i="5"/>
  <c r="D434" i="5"/>
  <c r="C434" i="5"/>
  <c r="B434" i="5"/>
  <c r="L433" i="5"/>
  <c r="J433" i="5"/>
  <c r="I433" i="5"/>
  <c r="H433" i="5"/>
  <c r="G433" i="5"/>
  <c r="F433" i="5"/>
  <c r="E433" i="5"/>
  <c r="D433" i="5"/>
  <c r="C433" i="5"/>
  <c r="B433" i="5"/>
  <c r="L432" i="5"/>
  <c r="J432" i="5"/>
  <c r="I432" i="5"/>
  <c r="H432" i="5"/>
  <c r="G432" i="5"/>
  <c r="F432" i="5"/>
  <c r="E432" i="5"/>
  <c r="D432" i="5"/>
  <c r="C432" i="5"/>
  <c r="B432" i="5"/>
  <c r="L431" i="5"/>
  <c r="J431" i="5"/>
  <c r="I431" i="5"/>
  <c r="H431" i="5"/>
  <c r="G431" i="5"/>
  <c r="F431" i="5"/>
  <c r="E431" i="5"/>
  <c r="D431" i="5"/>
  <c r="C431" i="5"/>
  <c r="B431" i="5"/>
  <c r="L430" i="5"/>
  <c r="J430" i="5"/>
  <c r="I430" i="5"/>
  <c r="H430" i="5"/>
  <c r="G430" i="5"/>
  <c r="F430" i="5"/>
  <c r="E430" i="5"/>
  <c r="D430" i="5"/>
  <c r="C430" i="5"/>
  <c r="B430" i="5"/>
  <c r="L429" i="5"/>
  <c r="J429" i="5"/>
  <c r="I429" i="5"/>
  <c r="H429" i="5"/>
  <c r="G429" i="5"/>
  <c r="F429" i="5"/>
  <c r="E429" i="5"/>
  <c r="D429" i="5"/>
  <c r="C429" i="5"/>
  <c r="B429" i="5"/>
  <c r="L428" i="5"/>
  <c r="J428" i="5"/>
  <c r="I428" i="5"/>
  <c r="H428" i="5"/>
  <c r="G428" i="5"/>
  <c r="F428" i="5"/>
  <c r="E428" i="5"/>
  <c r="D428" i="5"/>
  <c r="C428" i="5"/>
  <c r="B428" i="5"/>
  <c r="L427" i="5"/>
  <c r="J427" i="5"/>
  <c r="I427" i="5"/>
  <c r="H427" i="5"/>
  <c r="G427" i="5"/>
  <c r="F427" i="5"/>
  <c r="E427" i="5"/>
  <c r="D427" i="5"/>
  <c r="C427" i="5"/>
  <c r="B427" i="5"/>
  <c r="L426" i="5"/>
  <c r="J426" i="5"/>
  <c r="I426" i="5"/>
  <c r="H426" i="5"/>
  <c r="G426" i="5"/>
  <c r="F426" i="5"/>
  <c r="E426" i="5"/>
  <c r="D426" i="5"/>
  <c r="C426" i="5"/>
  <c r="B426" i="5"/>
  <c r="L425" i="5"/>
  <c r="J425" i="5"/>
  <c r="I425" i="5"/>
  <c r="H425" i="5"/>
  <c r="G425" i="5"/>
  <c r="F425" i="5"/>
  <c r="E425" i="5"/>
  <c r="D425" i="5"/>
  <c r="C425" i="5"/>
  <c r="B425" i="5"/>
  <c r="L424" i="5"/>
  <c r="J424" i="5"/>
  <c r="I424" i="5"/>
  <c r="H424" i="5"/>
  <c r="G424" i="5"/>
  <c r="F424" i="5"/>
  <c r="E424" i="5"/>
  <c r="D424" i="5"/>
  <c r="C424" i="5"/>
  <c r="B424" i="5"/>
  <c r="L423" i="5"/>
  <c r="J423" i="5"/>
  <c r="I423" i="5"/>
  <c r="H423" i="5"/>
  <c r="G423" i="5"/>
  <c r="F423" i="5"/>
  <c r="E423" i="5"/>
  <c r="D423" i="5"/>
  <c r="C423" i="5"/>
  <c r="B423" i="5"/>
  <c r="L422" i="5"/>
  <c r="J422" i="5"/>
  <c r="I422" i="5"/>
  <c r="H422" i="5"/>
  <c r="G422" i="5"/>
  <c r="F422" i="5"/>
  <c r="E422" i="5"/>
  <c r="D422" i="5"/>
  <c r="C422" i="5"/>
  <c r="B422" i="5"/>
  <c r="L421" i="5"/>
  <c r="J421" i="5"/>
  <c r="I421" i="5"/>
  <c r="H421" i="5"/>
  <c r="G421" i="5"/>
  <c r="F421" i="5"/>
  <c r="E421" i="5"/>
  <c r="D421" i="5"/>
  <c r="C421" i="5"/>
  <c r="B421" i="5"/>
  <c r="L420" i="5"/>
  <c r="J420" i="5"/>
  <c r="I420" i="5"/>
  <c r="H420" i="5"/>
  <c r="G420" i="5"/>
  <c r="F420" i="5"/>
  <c r="E420" i="5"/>
  <c r="D420" i="5"/>
  <c r="C420" i="5"/>
  <c r="B420" i="5"/>
  <c r="L419" i="5"/>
  <c r="J419" i="5"/>
  <c r="I419" i="5"/>
  <c r="H419" i="5"/>
  <c r="G419" i="5"/>
  <c r="F419" i="5"/>
  <c r="E419" i="5"/>
  <c r="D419" i="5"/>
  <c r="C419" i="5"/>
  <c r="B419" i="5"/>
  <c r="L418" i="5"/>
  <c r="J418" i="5"/>
  <c r="I418" i="5"/>
  <c r="H418" i="5"/>
  <c r="G418" i="5"/>
  <c r="F418" i="5"/>
  <c r="E418" i="5"/>
  <c r="D418" i="5"/>
  <c r="C418" i="5"/>
  <c r="B418" i="5"/>
  <c r="L417" i="5"/>
  <c r="J417" i="5"/>
  <c r="I417" i="5"/>
  <c r="H417" i="5"/>
  <c r="G417" i="5"/>
  <c r="F417" i="5"/>
  <c r="E417" i="5"/>
  <c r="D417" i="5"/>
  <c r="C417" i="5"/>
  <c r="B417" i="5"/>
  <c r="L416" i="5"/>
  <c r="J416" i="5"/>
  <c r="I416" i="5"/>
  <c r="H416" i="5"/>
  <c r="G416" i="5"/>
  <c r="F416" i="5"/>
  <c r="E416" i="5"/>
  <c r="D416" i="5"/>
  <c r="C416" i="5"/>
  <c r="B416" i="5"/>
  <c r="L415" i="5"/>
  <c r="J415" i="5"/>
  <c r="I415" i="5"/>
  <c r="H415" i="5"/>
  <c r="G415" i="5"/>
  <c r="F415" i="5"/>
  <c r="E415" i="5"/>
  <c r="D415" i="5"/>
  <c r="C415" i="5"/>
  <c r="B415" i="5"/>
  <c r="L414" i="5"/>
  <c r="J414" i="5"/>
  <c r="I414" i="5"/>
  <c r="H414" i="5"/>
  <c r="G414" i="5"/>
  <c r="F414" i="5"/>
  <c r="E414" i="5"/>
  <c r="D414" i="5"/>
  <c r="C414" i="5"/>
  <c r="B414" i="5"/>
  <c r="L413" i="5"/>
  <c r="J413" i="5"/>
  <c r="I413" i="5"/>
  <c r="H413" i="5"/>
  <c r="G413" i="5"/>
  <c r="F413" i="5"/>
  <c r="E413" i="5"/>
  <c r="D413" i="5"/>
  <c r="C413" i="5"/>
  <c r="B413" i="5"/>
  <c r="L412" i="5"/>
  <c r="J412" i="5"/>
  <c r="I412" i="5"/>
  <c r="H412" i="5"/>
  <c r="G412" i="5"/>
  <c r="F412" i="5"/>
  <c r="E412" i="5"/>
  <c r="D412" i="5"/>
  <c r="C412" i="5"/>
  <c r="B412" i="5"/>
  <c r="L411" i="5"/>
  <c r="J411" i="5"/>
  <c r="I411" i="5"/>
  <c r="H411" i="5"/>
  <c r="G411" i="5"/>
  <c r="F411" i="5"/>
  <c r="E411" i="5"/>
  <c r="D411" i="5"/>
  <c r="C411" i="5"/>
  <c r="B411" i="5"/>
  <c r="L410" i="5"/>
  <c r="J410" i="5"/>
  <c r="I410" i="5"/>
  <c r="H410" i="5"/>
  <c r="G410" i="5"/>
  <c r="F410" i="5"/>
  <c r="E410" i="5"/>
  <c r="D410" i="5"/>
  <c r="C410" i="5"/>
  <c r="B410" i="5"/>
  <c r="L409" i="5"/>
  <c r="J409" i="5"/>
  <c r="I409" i="5"/>
  <c r="H409" i="5"/>
  <c r="G409" i="5"/>
  <c r="F409" i="5"/>
  <c r="E409" i="5"/>
  <c r="D409" i="5"/>
  <c r="C409" i="5"/>
  <c r="B409" i="5"/>
  <c r="L408" i="5"/>
  <c r="J408" i="5"/>
  <c r="I408" i="5"/>
  <c r="H408" i="5"/>
  <c r="G408" i="5"/>
  <c r="F408" i="5"/>
  <c r="E408" i="5"/>
  <c r="D408" i="5"/>
  <c r="C408" i="5"/>
  <c r="B408" i="5"/>
  <c r="L407" i="5"/>
  <c r="J407" i="5"/>
  <c r="I407" i="5"/>
  <c r="H407" i="5"/>
  <c r="G407" i="5"/>
  <c r="F407" i="5"/>
  <c r="E407" i="5"/>
  <c r="D407" i="5"/>
  <c r="C407" i="5"/>
  <c r="B407" i="5"/>
  <c r="L406" i="5"/>
  <c r="J406" i="5"/>
  <c r="I406" i="5"/>
  <c r="H406" i="5"/>
  <c r="G406" i="5"/>
  <c r="F406" i="5"/>
  <c r="E406" i="5"/>
  <c r="D406" i="5"/>
  <c r="C406" i="5"/>
  <c r="B406" i="5"/>
  <c r="L405" i="5"/>
  <c r="J405" i="5"/>
  <c r="I405" i="5"/>
  <c r="H405" i="5"/>
  <c r="G405" i="5"/>
  <c r="F405" i="5"/>
  <c r="E405" i="5"/>
  <c r="D405" i="5"/>
  <c r="C405" i="5"/>
  <c r="B405" i="5"/>
  <c r="L404" i="5"/>
  <c r="J404" i="5"/>
  <c r="I404" i="5"/>
  <c r="H404" i="5"/>
  <c r="G404" i="5"/>
  <c r="F404" i="5"/>
  <c r="E404" i="5"/>
  <c r="D404" i="5"/>
  <c r="C404" i="5"/>
  <c r="B404" i="5"/>
  <c r="L403" i="5"/>
  <c r="J403" i="5"/>
  <c r="I403" i="5"/>
  <c r="H403" i="5"/>
  <c r="G403" i="5"/>
  <c r="F403" i="5"/>
  <c r="E403" i="5"/>
  <c r="D403" i="5"/>
  <c r="C403" i="5"/>
  <c r="B403" i="5"/>
  <c r="L402" i="5"/>
  <c r="J402" i="5"/>
  <c r="I402" i="5"/>
  <c r="H402" i="5"/>
  <c r="G402" i="5"/>
  <c r="F402" i="5"/>
  <c r="E402" i="5"/>
  <c r="D402" i="5"/>
  <c r="C402" i="5"/>
  <c r="B402" i="5"/>
  <c r="L401" i="5"/>
  <c r="J401" i="5"/>
  <c r="I401" i="5"/>
  <c r="H401" i="5"/>
  <c r="G401" i="5"/>
  <c r="F401" i="5"/>
  <c r="E401" i="5"/>
  <c r="D401" i="5"/>
  <c r="C401" i="5"/>
  <c r="B401" i="5"/>
  <c r="L400" i="5"/>
  <c r="J400" i="5"/>
  <c r="I400" i="5"/>
  <c r="H400" i="5"/>
  <c r="G400" i="5"/>
  <c r="F400" i="5"/>
  <c r="E400" i="5"/>
  <c r="D400" i="5"/>
  <c r="C400" i="5"/>
  <c r="B400" i="5"/>
  <c r="L399" i="5"/>
  <c r="J399" i="5"/>
  <c r="I399" i="5"/>
  <c r="H399" i="5"/>
  <c r="G399" i="5"/>
  <c r="F399" i="5"/>
  <c r="E399" i="5"/>
  <c r="D399" i="5"/>
  <c r="C399" i="5"/>
  <c r="B399" i="5"/>
  <c r="L398" i="5"/>
  <c r="J398" i="5"/>
  <c r="I398" i="5"/>
  <c r="H398" i="5"/>
  <c r="G398" i="5"/>
  <c r="F398" i="5"/>
  <c r="E398" i="5"/>
  <c r="D398" i="5"/>
  <c r="C398" i="5"/>
  <c r="B398" i="5"/>
  <c r="L397" i="5"/>
  <c r="J397" i="5"/>
  <c r="I397" i="5"/>
  <c r="H397" i="5"/>
  <c r="G397" i="5"/>
  <c r="F397" i="5"/>
  <c r="E397" i="5"/>
  <c r="D397" i="5"/>
  <c r="C397" i="5"/>
  <c r="B397" i="5"/>
  <c r="L396" i="5"/>
  <c r="J396" i="5"/>
  <c r="I396" i="5"/>
  <c r="H396" i="5"/>
  <c r="G396" i="5"/>
  <c r="F396" i="5"/>
  <c r="E396" i="5"/>
  <c r="D396" i="5"/>
  <c r="C396" i="5"/>
  <c r="B396" i="5"/>
  <c r="L395" i="5"/>
  <c r="J395" i="5"/>
  <c r="I395" i="5"/>
  <c r="H395" i="5"/>
  <c r="G395" i="5"/>
  <c r="F395" i="5"/>
  <c r="E395" i="5"/>
  <c r="D395" i="5"/>
  <c r="C395" i="5"/>
  <c r="B395" i="5"/>
  <c r="L394" i="5"/>
  <c r="J394" i="5"/>
  <c r="I394" i="5"/>
  <c r="H394" i="5"/>
  <c r="G394" i="5"/>
  <c r="F394" i="5"/>
  <c r="E394" i="5"/>
  <c r="D394" i="5"/>
  <c r="C394" i="5"/>
  <c r="B394" i="5"/>
  <c r="L393" i="5"/>
  <c r="J393" i="5"/>
  <c r="I393" i="5"/>
  <c r="H393" i="5"/>
  <c r="G393" i="5"/>
  <c r="F393" i="5"/>
  <c r="E393" i="5"/>
  <c r="D393" i="5"/>
  <c r="C393" i="5"/>
  <c r="B393" i="5"/>
  <c r="L392" i="5"/>
  <c r="J392" i="5"/>
  <c r="I392" i="5"/>
  <c r="H392" i="5"/>
  <c r="G392" i="5"/>
  <c r="F392" i="5"/>
  <c r="E392" i="5"/>
  <c r="D392" i="5"/>
  <c r="C392" i="5"/>
  <c r="B392" i="5"/>
  <c r="L391" i="5"/>
  <c r="J391" i="5"/>
  <c r="I391" i="5"/>
  <c r="H391" i="5"/>
  <c r="G391" i="5"/>
  <c r="F391" i="5"/>
  <c r="E391" i="5"/>
  <c r="D391" i="5"/>
  <c r="C391" i="5"/>
  <c r="B391" i="5"/>
  <c r="L390" i="5"/>
  <c r="J390" i="5"/>
  <c r="I390" i="5"/>
  <c r="H390" i="5"/>
  <c r="G390" i="5"/>
  <c r="F390" i="5"/>
  <c r="E390" i="5"/>
  <c r="D390" i="5"/>
  <c r="C390" i="5"/>
  <c r="B390" i="5"/>
  <c r="L389" i="5"/>
  <c r="J389" i="5"/>
  <c r="I389" i="5"/>
  <c r="H389" i="5"/>
  <c r="G389" i="5"/>
  <c r="F389" i="5"/>
  <c r="E389" i="5"/>
  <c r="D389" i="5"/>
  <c r="C389" i="5"/>
  <c r="B389" i="5"/>
  <c r="L388" i="5"/>
  <c r="J388" i="5"/>
  <c r="I388" i="5"/>
  <c r="H388" i="5"/>
  <c r="G388" i="5"/>
  <c r="F388" i="5"/>
  <c r="E388" i="5"/>
  <c r="D388" i="5"/>
  <c r="C388" i="5"/>
  <c r="B388" i="5"/>
  <c r="L387" i="5"/>
  <c r="J387" i="5"/>
  <c r="I387" i="5"/>
  <c r="H387" i="5"/>
  <c r="G387" i="5"/>
  <c r="F387" i="5"/>
  <c r="E387" i="5"/>
  <c r="D387" i="5"/>
  <c r="C387" i="5"/>
  <c r="B387" i="5"/>
  <c r="L386" i="5"/>
  <c r="J386" i="5"/>
  <c r="I386" i="5"/>
  <c r="H386" i="5"/>
  <c r="G386" i="5"/>
  <c r="F386" i="5"/>
  <c r="E386" i="5"/>
  <c r="D386" i="5"/>
  <c r="C386" i="5"/>
  <c r="B386" i="5"/>
  <c r="L385" i="5"/>
  <c r="J385" i="5"/>
  <c r="I385" i="5"/>
  <c r="H385" i="5"/>
  <c r="G385" i="5"/>
  <c r="F385" i="5"/>
  <c r="E385" i="5"/>
  <c r="D385" i="5"/>
  <c r="C385" i="5"/>
  <c r="B385" i="5"/>
  <c r="L384" i="5"/>
  <c r="J384" i="5"/>
  <c r="I384" i="5"/>
  <c r="H384" i="5"/>
  <c r="G384" i="5"/>
  <c r="F384" i="5"/>
  <c r="E384" i="5"/>
  <c r="D384" i="5"/>
  <c r="C384" i="5"/>
  <c r="B384" i="5"/>
  <c r="L383" i="5"/>
  <c r="J383" i="5"/>
  <c r="I383" i="5"/>
  <c r="H383" i="5"/>
  <c r="G383" i="5"/>
  <c r="F383" i="5"/>
  <c r="E383" i="5"/>
  <c r="D383" i="5"/>
  <c r="C383" i="5"/>
  <c r="B383" i="5"/>
  <c r="L382" i="5"/>
  <c r="J382" i="5"/>
  <c r="I382" i="5"/>
  <c r="H382" i="5"/>
  <c r="G382" i="5"/>
  <c r="F382" i="5"/>
  <c r="E382" i="5"/>
  <c r="D382" i="5"/>
  <c r="C382" i="5"/>
  <c r="B382" i="5"/>
  <c r="L381" i="5"/>
  <c r="J381" i="5"/>
  <c r="I381" i="5"/>
  <c r="H381" i="5"/>
  <c r="G381" i="5"/>
  <c r="F381" i="5"/>
  <c r="E381" i="5"/>
  <c r="D381" i="5"/>
  <c r="C381" i="5"/>
  <c r="B381" i="5"/>
  <c r="L380" i="5"/>
  <c r="J380" i="5"/>
  <c r="I380" i="5"/>
  <c r="H380" i="5"/>
  <c r="G380" i="5"/>
  <c r="F380" i="5"/>
  <c r="E380" i="5"/>
  <c r="D380" i="5"/>
  <c r="C380" i="5"/>
  <c r="B380" i="5"/>
  <c r="L379" i="5"/>
  <c r="J379" i="5"/>
  <c r="I379" i="5"/>
  <c r="H379" i="5"/>
  <c r="G379" i="5"/>
  <c r="F379" i="5"/>
  <c r="E379" i="5"/>
  <c r="D379" i="5"/>
  <c r="C379" i="5"/>
  <c r="B379" i="5"/>
  <c r="L378" i="5"/>
  <c r="J378" i="5"/>
  <c r="I378" i="5"/>
  <c r="H378" i="5"/>
  <c r="G378" i="5"/>
  <c r="F378" i="5"/>
  <c r="E378" i="5"/>
  <c r="D378" i="5"/>
  <c r="C378" i="5"/>
  <c r="B378" i="5"/>
  <c r="L377" i="5"/>
  <c r="J377" i="5"/>
  <c r="I377" i="5"/>
  <c r="H377" i="5"/>
  <c r="G377" i="5"/>
  <c r="F377" i="5"/>
  <c r="E377" i="5"/>
  <c r="D377" i="5"/>
  <c r="C377" i="5"/>
  <c r="B377" i="5"/>
  <c r="L376" i="5"/>
  <c r="J376" i="5"/>
  <c r="I376" i="5"/>
  <c r="H376" i="5"/>
  <c r="G376" i="5"/>
  <c r="F376" i="5"/>
  <c r="E376" i="5"/>
  <c r="D376" i="5"/>
  <c r="C376" i="5"/>
  <c r="B376" i="5"/>
  <c r="L375" i="5"/>
  <c r="J375" i="5"/>
  <c r="I375" i="5"/>
  <c r="H375" i="5"/>
  <c r="G375" i="5"/>
  <c r="F375" i="5"/>
  <c r="E375" i="5"/>
  <c r="D375" i="5"/>
  <c r="C375" i="5"/>
  <c r="B375" i="5"/>
  <c r="L374" i="5"/>
  <c r="J374" i="5"/>
  <c r="I374" i="5"/>
  <c r="H374" i="5"/>
  <c r="G374" i="5"/>
  <c r="F374" i="5"/>
  <c r="E374" i="5"/>
  <c r="D374" i="5"/>
  <c r="C374" i="5"/>
  <c r="B374" i="5"/>
  <c r="L373" i="5"/>
  <c r="J373" i="5"/>
  <c r="I373" i="5"/>
  <c r="H373" i="5"/>
  <c r="G373" i="5"/>
  <c r="F373" i="5"/>
  <c r="E373" i="5"/>
  <c r="D373" i="5"/>
  <c r="C373" i="5"/>
  <c r="B373" i="5"/>
  <c r="L372" i="5"/>
  <c r="J372" i="5"/>
  <c r="I372" i="5"/>
  <c r="H372" i="5"/>
  <c r="G372" i="5"/>
  <c r="F372" i="5"/>
  <c r="E372" i="5"/>
  <c r="D372" i="5"/>
  <c r="C372" i="5"/>
  <c r="B372" i="5"/>
  <c r="L371" i="5"/>
  <c r="J371" i="5"/>
  <c r="I371" i="5"/>
  <c r="H371" i="5"/>
  <c r="G371" i="5"/>
  <c r="F371" i="5"/>
  <c r="E371" i="5"/>
  <c r="D371" i="5"/>
  <c r="C371" i="5"/>
  <c r="B371" i="5"/>
  <c r="L370" i="5"/>
  <c r="J370" i="5"/>
  <c r="I370" i="5"/>
  <c r="H370" i="5"/>
  <c r="G370" i="5"/>
  <c r="F370" i="5"/>
  <c r="E370" i="5"/>
  <c r="D370" i="5"/>
  <c r="C370" i="5"/>
  <c r="B370" i="5"/>
  <c r="L369" i="5"/>
  <c r="J369" i="5"/>
  <c r="I369" i="5"/>
  <c r="H369" i="5"/>
  <c r="G369" i="5"/>
  <c r="F369" i="5"/>
  <c r="E369" i="5"/>
  <c r="D369" i="5"/>
  <c r="C369" i="5"/>
  <c r="B369" i="5"/>
  <c r="L368" i="5"/>
  <c r="J368" i="5"/>
  <c r="I368" i="5"/>
  <c r="H368" i="5"/>
  <c r="G368" i="5"/>
  <c r="F368" i="5"/>
  <c r="E368" i="5"/>
  <c r="D368" i="5"/>
  <c r="C368" i="5"/>
  <c r="B368" i="5"/>
  <c r="L367" i="5"/>
  <c r="J367" i="5"/>
  <c r="I367" i="5"/>
  <c r="H367" i="5"/>
  <c r="G367" i="5"/>
  <c r="F367" i="5"/>
  <c r="E367" i="5"/>
  <c r="D367" i="5"/>
  <c r="C367" i="5"/>
  <c r="B367" i="5"/>
  <c r="L366" i="5"/>
  <c r="J366" i="5"/>
  <c r="I366" i="5"/>
  <c r="H366" i="5"/>
  <c r="G366" i="5"/>
  <c r="F366" i="5"/>
  <c r="E366" i="5"/>
  <c r="D366" i="5"/>
  <c r="C366" i="5"/>
  <c r="B366" i="5"/>
  <c r="L365" i="5"/>
  <c r="J365" i="5"/>
  <c r="I365" i="5"/>
  <c r="H365" i="5"/>
  <c r="G365" i="5"/>
  <c r="F365" i="5"/>
  <c r="E365" i="5"/>
  <c r="D365" i="5"/>
  <c r="C365" i="5"/>
  <c r="B365" i="5"/>
  <c r="L364" i="5"/>
  <c r="J364" i="5"/>
  <c r="I364" i="5"/>
  <c r="H364" i="5"/>
  <c r="G364" i="5"/>
  <c r="F364" i="5"/>
  <c r="E364" i="5"/>
  <c r="D364" i="5"/>
  <c r="C364" i="5"/>
  <c r="B364" i="5"/>
  <c r="L363" i="5"/>
  <c r="J363" i="5"/>
  <c r="I363" i="5"/>
  <c r="H363" i="5"/>
  <c r="G363" i="5"/>
  <c r="F363" i="5"/>
  <c r="E363" i="5"/>
  <c r="D363" i="5"/>
  <c r="C363" i="5"/>
  <c r="B363" i="5"/>
  <c r="L362" i="5"/>
  <c r="J362" i="5"/>
  <c r="I362" i="5"/>
  <c r="H362" i="5"/>
  <c r="G362" i="5"/>
  <c r="F362" i="5"/>
  <c r="E362" i="5"/>
  <c r="D362" i="5"/>
  <c r="C362" i="5"/>
  <c r="B362" i="5"/>
  <c r="L361" i="5"/>
  <c r="J361" i="5"/>
  <c r="I361" i="5"/>
  <c r="H361" i="5"/>
  <c r="G361" i="5"/>
  <c r="F361" i="5"/>
  <c r="E361" i="5"/>
  <c r="D361" i="5"/>
  <c r="C361" i="5"/>
  <c r="B361" i="5"/>
  <c r="L360" i="5"/>
  <c r="J360" i="5"/>
  <c r="I360" i="5"/>
  <c r="H360" i="5"/>
  <c r="G360" i="5"/>
  <c r="F360" i="5"/>
  <c r="E360" i="5"/>
  <c r="D360" i="5"/>
  <c r="C360" i="5"/>
  <c r="B360" i="5"/>
  <c r="L359" i="5"/>
  <c r="J359" i="5"/>
  <c r="I359" i="5"/>
  <c r="H359" i="5"/>
  <c r="G359" i="5"/>
  <c r="F359" i="5"/>
  <c r="E359" i="5"/>
  <c r="D359" i="5"/>
  <c r="C359" i="5"/>
  <c r="B359" i="5"/>
  <c r="L358" i="5"/>
  <c r="J358" i="5"/>
  <c r="I358" i="5"/>
  <c r="H358" i="5"/>
  <c r="G358" i="5"/>
  <c r="F358" i="5"/>
  <c r="E358" i="5"/>
  <c r="D358" i="5"/>
  <c r="C358" i="5"/>
  <c r="B358" i="5"/>
  <c r="L357" i="5"/>
  <c r="J357" i="5"/>
  <c r="I357" i="5"/>
  <c r="H357" i="5"/>
  <c r="G357" i="5"/>
  <c r="F357" i="5"/>
  <c r="E357" i="5"/>
  <c r="D357" i="5"/>
  <c r="C357" i="5"/>
  <c r="B357" i="5"/>
  <c r="L356" i="5"/>
  <c r="J356" i="5"/>
  <c r="I356" i="5"/>
  <c r="H356" i="5"/>
  <c r="G356" i="5"/>
  <c r="F356" i="5"/>
  <c r="E356" i="5"/>
  <c r="D356" i="5"/>
  <c r="C356" i="5"/>
  <c r="B356" i="5"/>
  <c r="L355" i="5"/>
  <c r="J355" i="5"/>
  <c r="I355" i="5"/>
  <c r="H355" i="5"/>
  <c r="G355" i="5"/>
  <c r="F355" i="5"/>
  <c r="E355" i="5"/>
  <c r="D355" i="5"/>
  <c r="C355" i="5"/>
  <c r="B355" i="5"/>
  <c r="L354" i="5"/>
  <c r="J354" i="5"/>
  <c r="I354" i="5"/>
  <c r="H354" i="5"/>
  <c r="G354" i="5"/>
  <c r="F354" i="5"/>
  <c r="E354" i="5"/>
  <c r="D354" i="5"/>
  <c r="C354" i="5"/>
  <c r="B354" i="5"/>
  <c r="L353" i="5"/>
  <c r="J353" i="5"/>
  <c r="I353" i="5"/>
  <c r="H353" i="5"/>
  <c r="G353" i="5"/>
  <c r="F353" i="5"/>
  <c r="E353" i="5"/>
  <c r="D353" i="5"/>
  <c r="C353" i="5"/>
  <c r="B353" i="5"/>
  <c r="L352" i="5"/>
  <c r="J352" i="5"/>
  <c r="I352" i="5"/>
  <c r="H352" i="5"/>
  <c r="G352" i="5"/>
  <c r="F352" i="5"/>
  <c r="E352" i="5"/>
  <c r="D352" i="5"/>
  <c r="C352" i="5"/>
  <c r="B352" i="5"/>
  <c r="L351" i="5"/>
  <c r="J351" i="5"/>
  <c r="I351" i="5"/>
  <c r="H351" i="5"/>
  <c r="G351" i="5"/>
  <c r="F351" i="5"/>
  <c r="E351" i="5"/>
  <c r="D351" i="5"/>
  <c r="C351" i="5"/>
  <c r="B351" i="5"/>
  <c r="L350" i="5"/>
  <c r="J350" i="5"/>
  <c r="I350" i="5"/>
  <c r="H350" i="5"/>
  <c r="G350" i="5"/>
  <c r="F350" i="5"/>
  <c r="E350" i="5"/>
  <c r="D350" i="5"/>
  <c r="C350" i="5"/>
  <c r="B350" i="5"/>
  <c r="L349" i="5"/>
  <c r="J349" i="5"/>
  <c r="I349" i="5"/>
  <c r="H349" i="5"/>
  <c r="G349" i="5"/>
  <c r="F349" i="5"/>
  <c r="E349" i="5"/>
  <c r="D349" i="5"/>
  <c r="C349" i="5"/>
  <c r="B349" i="5"/>
  <c r="L348" i="5"/>
  <c r="J348" i="5"/>
  <c r="I348" i="5"/>
  <c r="H348" i="5"/>
  <c r="G348" i="5"/>
  <c r="F348" i="5"/>
  <c r="E348" i="5"/>
  <c r="D348" i="5"/>
  <c r="C348" i="5"/>
  <c r="B348" i="5"/>
  <c r="L347" i="5"/>
  <c r="J347" i="5"/>
  <c r="I347" i="5"/>
  <c r="H347" i="5"/>
  <c r="G347" i="5"/>
  <c r="F347" i="5"/>
  <c r="E347" i="5"/>
  <c r="D347" i="5"/>
  <c r="C347" i="5"/>
  <c r="B347" i="5"/>
  <c r="L346" i="5"/>
  <c r="J346" i="5"/>
  <c r="I346" i="5"/>
  <c r="H346" i="5"/>
  <c r="G346" i="5"/>
  <c r="F346" i="5"/>
  <c r="E346" i="5"/>
  <c r="D346" i="5"/>
  <c r="C346" i="5"/>
  <c r="B346" i="5"/>
  <c r="L345" i="5"/>
  <c r="J345" i="5"/>
  <c r="I345" i="5"/>
  <c r="H345" i="5"/>
  <c r="G345" i="5"/>
  <c r="F345" i="5"/>
  <c r="E345" i="5"/>
  <c r="D345" i="5"/>
  <c r="C345" i="5"/>
  <c r="B345" i="5"/>
  <c r="L344" i="5"/>
  <c r="J344" i="5"/>
  <c r="I344" i="5"/>
  <c r="H344" i="5"/>
  <c r="G344" i="5"/>
  <c r="F344" i="5"/>
  <c r="E344" i="5"/>
  <c r="D344" i="5"/>
  <c r="C344" i="5"/>
  <c r="B344" i="5"/>
  <c r="L343" i="5"/>
  <c r="J343" i="5"/>
  <c r="I343" i="5"/>
  <c r="H343" i="5"/>
  <c r="G343" i="5"/>
  <c r="F343" i="5"/>
  <c r="E343" i="5"/>
  <c r="D343" i="5"/>
  <c r="C343" i="5"/>
  <c r="B343" i="5"/>
  <c r="L342" i="5"/>
  <c r="J342" i="5"/>
  <c r="I342" i="5"/>
  <c r="H342" i="5"/>
  <c r="G342" i="5"/>
  <c r="F342" i="5"/>
  <c r="E342" i="5"/>
  <c r="D342" i="5"/>
  <c r="C342" i="5"/>
  <c r="B342" i="5"/>
  <c r="L341" i="5"/>
  <c r="J341" i="5"/>
  <c r="I341" i="5"/>
  <c r="H341" i="5"/>
  <c r="G341" i="5"/>
  <c r="F341" i="5"/>
  <c r="E341" i="5"/>
  <c r="D341" i="5"/>
  <c r="C341" i="5"/>
  <c r="B341" i="5"/>
  <c r="L340" i="5"/>
  <c r="J340" i="5"/>
  <c r="I340" i="5"/>
  <c r="H340" i="5"/>
  <c r="G340" i="5"/>
  <c r="F340" i="5"/>
  <c r="E340" i="5"/>
  <c r="D340" i="5"/>
  <c r="C340" i="5"/>
  <c r="B340" i="5"/>
  <c r="L339" i="5"/>
  <c r="J339" i="5"/>
  <c r="I339" i="5"/>
  <c r="H339" i="5"/>
  <c r="G339" i="5"/>
  <c r="F339" i="5"/>
  <c r="E339" i="5"/>
  <c r="D339" i="5"/>
  <c r="C339" i="5"/>
  <c r="B339" i="5"/>
  <c r="L338" i="5"/>
  <c r="J338" i="5"/>
  <c r="I338" i="5"/>
  <c r="H338" i="5"/>
  <c r="G338" i="5"/>
  <c r="F338" i="5"/>
  <c r="E338" i="5"/>
  <c r="D338" i="5"/>
  <c r="C338" i="5"/>
  <c r="B338" i="5"/>
  <c r="L337" i="5"/>
  <c r="J337" i="5"/>
  <c r="I337" i="5"/>
  <c r="H337" i="5"/>
  <c r="G337" i="5"/>
  <c r="F337" i="5"/>
  <c r="E337" i="5"/>
  <c r="D337" i="5"/>
  <c r="C337" i="5"/>
  <c r="B337" i="5"/>
  <c r="L336" i="5"/>
  <c r="J336" i="5"/>
  <c r="I336" i="5"/>
  <c r="H336" i="5"/>
  <c r="G336" i="5"/>
  <c r="F336" i="5"/>
  <c r="E336" i="5"/>
  <c r="D336" i="5"/>
  <c r="C336" i="5"/>
  <c r="B336" i="5"/>
  <c r="L335" i="5"/>
  <c r="J335" i="5"/>
  <c r="I335" i="5"/>
  <c r="H335" i="5"/>
  <c r="G335" i="5"/>
  <c r="F335" i="5"/>
  <c r="E335" i="5"/>
  <c r="D335" i="5"/>
  <c r="C335" i="5"/>
  <c r="B335" i="5"/>
  <c r="L334" i="5"/>
  <c r="J334" i="5"/>
  <c r="I334" i="5"/>
  <c r="H334" i="5"/>
  <c r="G334" i="5"/>
  <c r="F334" i="5"/>
  <c r="E334" i="5"/>
  <c r="D334" i="5"/>
  <c r="C334" i="5"/>
  <c r="B334" i="5"/>
  <c r="L333" i="5"/>
  <c r="J333" i="5"/>
  <c r="I333" i="5"/>
  <c r="H333" i="5"/>
  <c r="G333" i="5"/>
  <c r="F333" i="5"/>
  <c r="E333" i="5"/>
  <c r="D333" i="5"/>
  <c r="C333" i="5"/>
  <c r="B333" i="5"/>
  <c r="L332" i="5"/>
  <c r="J332" i="5"/>
  <c r="I332" i="5"/>
  <c r="H332" i="5"/>
  <c r="G332" i="5"/>
  <c r="F332" i="5"/>
  <c r="E332" i="5"/>
  <c r="D332" i="5"/>
  <c r="C332" i="5"/>
  <c r="B332" i="5"/>
  <c r="L331" i="5"/>
  <c r="J331" i="5"/>
  <c r="I331" i="5"/>
  <c r="H331" i="5"/>
  <c r="G331" i="5"/>
  <c r="F331" i="5"/>
  <c r="E331" i="5"/>
  <c r="D331" i="5"/>
  <c r="C331" i="5"/>
  <c r="B331" i="5"/>
  <c r="L330" i="5"/>
  <c r="J330" i="5"/>
  <c r="I330" i="5"/>
  <c r="H330" i="5"/>
  <c r="G330" i="5"/>
  <c r="F330" i="5"/>
  <c r="E330" i="5"/>
  <c r="D330" i="5"/>
  <c r="C330" i="5"/>
  <c r="B330" i="5"/>
  <c r="L329" i="5"/>
  <c r="J329" i="5"/>
  <c r="I329" i="5"/>
  <c r="H329" i="5"/>
  <c r="G329" i="5"/>
  <c r="F329" i="5"/>
  <c r="E329" i="5"/>
  <c r="D329" i="5"/>
  <c r="C329" i="5"/>
  <c r="B329" i="5"/>
  <c r="L328" i="5"/>
  <c r="J328" i="5"/>
  <c r="I328" i="5"/>
  <c r="H328" i="5"/>
  <c r="G328" i="5"/>
  <c r="F328" i="5"/>
  <c r="E328" i="5"/>
  <c r="D328" i="5"/>
  <c r="C328" i="5"/>
  <c r="B328" i="5"/>
  <c r="L327" i="5"/>
  <c r="J327" i="5"/>
  <c r="I327" i="5"/>
  <c r="H327" i="5"/>
  <c r="G327" i="5"/>
  <c r="F327" i="5"/>
  <c r="E327" i="5"/>
  <c r="D327" i="5"/>
  <c r="C327" i="5"/>
  <c r="B327" i="5"/>
  <c r="L326" i="5"/>
  <c r="J326" i="5"/>
  <c r="I326" i="5"/>
  <c r="H326" i="5"/>
  <c r="G326" i="5"/>
  <c r="F326" i="5"/>
  <c r="E326" i="5"/>
  <c r="D326" i="5"/>
  <c r="C326" i="5"/>
  <c r="B326" i="5"/>
  <c r="L325" i="5"/>
  <c r="J325" i="5"/>
  <c r="I325" i="5"/>
  <c r="H325" i="5"/>
  <c r="G325" i="5"/>
  <c r="F325" i="5"/>
  <c r="E325" i="5"/>
  <c r="D325" i="5"/>
  <c r="C325" i="5"/>
  <c r="B325" i="5"/>
  <c r="L324" i="5"/>
  <c r="J324" i="5"/>
  <c r="I324" i="5"/>
  <c r="H324" i="5"/>
  <c r="G324" i="5"/>
  <c r="F324" i="5"/>
  <c r="E324" i="5"/>
  <c r="D324" i="5"/>
  <c r="C324" i="5"/>
  <c r="B324" i="5"/>
  <c r="L323" i="5"/>
  <c r="J323" i="5"/>
  <c r="I323" i="5"/>
  <c r="H323" i="5"/>
  <c r="G323" i="5"/>
  <c r="F323" i="5"/>
  <c r="E323" i="5"/>
  <c r="D323" i="5"/>
  <c r="C323" i="5"/>
  <c r="B323" i="5"/>
  <c r="L322" i="5"/>
  <c r="J322" i="5"/>
  <c r="I322" i="5"/>
  <c r="H322" i="5"/>
  <c r="G322" i="5"/>
  <c r="F322" i="5"/>
  <c r="E322" i="5"/>
  <c r="D322" i="5"/>
  <c r="C322" i="5"/>
  <c r="B322" i="5"/>
  <c r="L321" i="5"/>
  <c r="J321" i="5"/>
  <c r="I321" i="5"/>
  <c r="H321" i="5"/>
  <c r="G321" i="5"/>
  <c r="F321" i="5"/>
  <c r="E321" i="5"/>
  <c r="D321" i="5"/>
  <c r="C321" i="5"/>
  <c r="B321" i="5"/>
  <c r="L320" i="5"/>
  <c r="J320" i="5"/>
  <c r="I320" i="5"/>
  <c r="H320" i="5"/>
  <c r="G320" i="5"/>
  <c r="F320" i="5"/>
  <c r="E320" i="5"/>
  <c r="D320" i="5"/>
  <c r="C320" i="5"/>
  <c r="B320" i="5"/>
  <c r="L319" i="5"/>
  <c r="J319" i="5"/>
  <c r="I319" i="5"/>
  <c r="H319" i="5"/>
  <c r="G319" i="5"/>
  <c r="F319" i="5"/>
  <c r="E319" i="5"/>
  <c r="D319" i="5"/>
  <c r="C319" i="5"/>
  <c r="B319" i="5"/>
  <c r="L318" i="5"/>
  <c r="J318" i="5"/>
  <c r="I318" i="5"/>
  <c r="H318" i="5"/>
  <c r="G318" i="5"/>
  <c r="F318" i="5"/>
  <c r="E318" i="5"/>
  <c r="D318" i="5"/>
  <c r="C318" i="5"/>
  <c r="B318" i="5"/>
  <c r="L317" i="5"/>
  <c r="J317" i="5"/>
  <c r="I317" i="5"/>
  <c r="H317" i="5"/>
  <c r="G317" i="5"/>
  <c r="F317" i="5"/>
  <c r="E317" i="5"/>
  <c r="D317" i="5"/>
  <c r="C317" i="5"/>
  <c r="B317" i="5"/>
  <c r="L316" i="5"/>
  <c r="J316" i="5"/>
  <c r="I316" i="5"/>
  <c r="H316" i="5"/>
  <c r="G316" i="5"/>
  <c r="F316" i="5"/>
  <c r="E316" i="5"/>
  <c r="D316" i="5"/>
  <c r="C316" i="5"/>
  <c r="B316" i="5"/>
  <c r="L315" i="5"/>
  <c r="J315" i="5"/>
  <c r="I315" i="5"/>
  <c r="H315" i="5"/>
  <c r="G315" i="5"/>
  <c r="F315" i="5"/>
  <c r="E315" i="5"/>
  <c r="D315" i="5"/>
  <c r="C315" i="5"/>
  <c r="B315" i="5"/>
  <c r="L314" i="5"/>
  <c r="J314" i="5"/>
  <c r="I314" i="5"/>
  <c r="H314" i="5"/>
  <c r="G314" i="5"/>
  <c r="F314" i="5"/>
  <c r="E314" i="5"/>
  <c r="D314" i="5"/>
  <c r="C314" i="5"/>
  <c r="B314" i="5"/>
  <c r="L313" i="5"/>
  <c r="J313" i="5"/>
  <c r="I313" i="5"/>
  <c r="H313" i="5"/>
  <c r="G313" i="5"/>
  <c r="F313" i="5"/>
  <c r="E313" i="5"/>
  <c r="D313" i="5"/>
  <c r="C313" i="5"/>
  <c r="B313" i="5"/>
  <c r="L312" i="5"/>
  <c r="J312" i="5"/>
  <c r="I312" i="5"/>
  <c r="H312" i="5"/>
  <c r="G312" i="5"/>
  <c r="F312" i="5"/>
  <c r="E312" i="5"/>
  <c r="D312" i="5"/>
  <c r="C312" i="5"/>
  <c r="B312" i="5"/>
  <c r="L311" i="5"/>
  <c r="J311" i="5"/>
  <c r="I311" i="5"/>
  <c r="H311" i="5"/>
  <c r="G311" i="5"/>
  <c r="F311" i="5"/>
  <c r="E311" i="5"/>
  <c r="D311" i="5"/>
  <c r="C311" i="5"/>
  <c r="B311" i="5"/>
  <c r="L310" i="5"/>
  <c r="J310" i="5"/>
  <c r="I310" i="5"/>
  <c r="H310" i="5"/>
  <c r="G310" i="5"/>
  <c r="F310" i="5"/>
  <c r="E310" i="5"/>
  <c r="D310" i="5"/>
  <c r="C310" i="5"/>
  <c r="B310" i="5"/>
  <c r="L309" i="5"/>
  <c r="J309" i="5"/>
  <c r="I309" i="5"/>
  <c r="H309" i="5"/>
  <c r="G309" i="5"/>
  <c r="F309" i="5"/>
  <c r="E309" i="5"/>
  <c r="D309" i="5"/>
  <c r="C309" i="5"/>
  <c r="B309" i="5"/>
  <c r="L308" i="5"/>
  <c r="J308" i="5"/>
  <c r="I308" i="5"/>
  <c r="H308" i="5"/>
  <c r="G308" i="5"/>
  <c r="F308" i="5"/>
  <c r="E308" i="5"/>
  <c r="D308" i="5"/>
  <c r="C308" i="5"/>
  <c r="B308" i="5"/>
  <c r="L307" i="5"/>
  <c r="J307" i="5"/>
  <c r="I307" i="5"/>
  <c r="H307" i="5"/>
  <c r="G307" i="5"/>
  <c r="F307" i="5"/>
  <c r="E307" i="5"/>
  <c r="D307" i="5"/>
  <c r="C307" i="5"/>
  <c r="B307" i="5"/>
  <c r="L306" i="5"/>
  <c r="J306" i="5"/>
  <c r="I306" i="5"/>
  <c r="H306" i="5"/>
  <c r="G306" i="5"/>
  <c r="F306" i="5"/>
  <c r="E306" i="5"/>
  <c r="D306" i="5"/>
  <c r="C306" i="5"/>
  <c r="B306" i="5"/>
  <c r="L305" i="5"/>
  <c r="J305" i="5"/>
  <c r="I305" i="5"/>
  <c r="H305" i="5"/>
  <c r="G305" i="5"/>
  <c r="F305" i="5"/>
  <c r="E305" i="5"/>
  <c r="D305" i="5"/>
  <c r="C305" i="5"/>
  <c r="B305" i="5"/>
  <c r="L304" i="5"/>
  <c r="J304" i="5"/>
  <c r="I304" i="5"/>
  <c r="H304" i="5"/>
  <c r="G304" i="5"/>
  <c r="F304" i="5"/>
  <c r="E304" i="5"/>
  <c r="D304" i="5"/>
  <c r="C304" i="5"/>
  <c r="B304" i="5"/>
  <c r="L303" i="5"/>
  <c r="J303" i="5"/>
  <c r="I303" i="5"/>
  <c r="H303" i="5"/>
  <c r="G303" i="5"/>
  <c r="F303" i="5"/>
  <c r="E303" i="5"/>
  <c r="D303" i="5"/>
  <c r="C303" i="5"/>
  <c r="B303" i="5"/>
  <c r="L302" i="5"/>
  <c r="J302" i="5"/>
  <c r="I302" i="5"/>
  <c r="H302" i="5"/>
  <c r="G302" i="5"/>
  <c r="F302" i="5"/>
  <c r="E302" i="5"/>
  <c r="D302" i="5"/>
  <c r="C302" i="5"/>
  <c r="B302" i="5"/>
  <c r="L301" i="5"/>
  <c r="J301" i="5"/>
  <c r="I301" i="5"/>
  <c r="H301" i="5"/>
  <c r="G301" i="5"/>
  <c r="F301" i="5"/>
  <c r="E301" i="5"/>
  <c r="D301" i="5"/>
  <c r="C301" i="5"/>
  <c r="B301" i="5"/>
  <c r="L300" i="5"/>
  <c r="J300" i="5"/>
  <c r="I300" i="5"/>
  <c r="H300" i="5"/>
  <c r="G300" i="5"/>
  <c r="F300" i="5"/>
  <c r="E300" i="5"/>
  <c r="D300" i="5"/>
  <c r="C300" i="5"/>
  <c r="B300" i="5"/>
  <c r="L299" i="5"/>
  <c r="J299" i="5"/>
  <c r="I299" i="5"/>
  <c r="H299" i="5"/>
  <c r="G299" i="5"/>
  <c r="F299" i="5"/>
  <c r="E299" i="5"/>
  <c r="D299" i="5"/>
  <c r="C299" i="5"/>
  <c r="B299" i="5"/>
  <c r="L298" i="5"/>
  <c r="J298" i="5"/>
  <c r="I298" i="5"/>
  <c r="H298" i="5"/>
  <c r="G298" i="5"/>
  <c r="F298" i="5"/>
  <c r="E298" i="5"/>
  <c r="D298" i="5"/>
  <c r="C298" i="5"/>
  <c r="B298" i="5"/>
  <c r="L297" i="5"/>
  <c r="J297" i="5"/>
  <c r="I297" i="5"/>
  <c r="H297" i="5"/>
  <c r="G297" i="5"/>
  <c r="F297" i="5"/>
  <c r="E297" i="5"/>
  <c r="D297" i="5"/>
  <c r="C297" i="5"/>
  <c r="B297" i="5"/>
  <c r="L296" i="5"/>
  <c r="J296" i="5"/>
  <c r="I296" i="5"/>
  <c r="H296" i="5"/>
  <c r="G296" i="5"/>
  <c r="F296" i="5"/>
  <c r="E296" i="5"/>
  <c r="D296" i="5"/>
  <c r="C296" i="5"/>
  <c r="B296" i="5"/>
  <c r="L295" i="5"/>
  <c r="J295" i="5"/>
  <c r="I295" i="5"/>
  <c r="H295" i="5"/>
  <c r="G295" i="5"/>
  <c r="F295" i="5"/>
  <c r="E295" i="5"/>
  <c r="D295" i="5"/>
  <c r="C295" i="5"/>
  <c r="B295" i="5"/>
  <c r="L294" i="5"/>
  <c r="J294" i="5"/>
  <c r="I294" i="5"/>
  <c r="H294" i="5"/>
  <c r="G294" i="5"/>
  <c r="F294" i="5"/>
  <c r="E294" i="5"/>
  <c r="D294" i="5"/>
  <c r="C294" i="5"/>
  <c r="B294" i="5"/>
  <c r="L293" i="5"/>
  <c r="J293" i="5"/>
  <c r="I293" i="5"/>
  <c r="H293" i="5"/>
  <c r="G293" i="5"/>
  <c r="F293" i="5"/>
  <c r="E293" i="5"/>
  <c r="D293" i="5"/>
  <c r="C293" i="5"/>
  <c r="B293" i="5"/>
  <c r="L292" i="5"/>
  <c r="J292" i="5"/>
  <c r="I292" i="5"/>
  <c r="H292" i="5"/>
  <c r="G292" i="5"/>
  <c r="F292" i="5"/>
  <c r="E292" i="5"/>
  <c r="D292" i="5"/>
  <c r="C292" i="5"/>
  <c r="B292" i="5"/>
  <c r="L291" i="5"/>
  <c r="J291" i="5"/>
  <c r="I291" i="5"/>
  <c r="H291" i="5"/>
  <c r="G291" i="5"/>
  <c r="F291" i="5"/>
  <c r="E291" i="5"/>
  <c r="D291" i="5"/>
  <c r="C291" i="5"/>
  <c r="B291" i="5"/>
  <c r="L290" i="5"/>
  <c r="J290" i="5"/>
  <c r="I290" i="5"/>
  <c r="H290" i="5"/>
  <c r="G290" i="5"/>
  <c r="F290" i="5"/>
  <c r="E290" i="5"/>
  <c r="D290" i="5"/>
  <c r="C290" i="5"/>
  <c r="B290" i="5"/>
  <c r="L289" i="5"/>
  <c r="J289" i="5"/>
  <c r="I289" i="5"/>
  <c r="H289" i="5"/>
  <c r="G289" i="5"/>
  <c r="F289" i="5"/>
  <c r="E289" i="5"/>
  <c r="D289" i="5"/>
  <c r="C289" i="5"/>
  <c r="B289" i="5"/>
  <c r="L288" i="5"/>
  <c r="J288" i="5"/>
  <c r="I288" i="5"/>
  <c r="H288" i="5"/>
  <c r="G288" i="5"/>
  <c r="F288" i="5"/>
  <c r="E288" i="5"/>
  <c r="D288" i="5"/>
  <c r="C288" i="5"/>
  <c r="B288" i="5"/>
  <c r="L287" i="5"/>
  <c r="J287" i="5"/>
  <c r="I287" i="5"/>
  <c r="H287" i="5"/>
  <c r="G287" i="5"/>
  <c r="F287" i="5"/>
  <c r="E287" i="5"/>
  <c r="D287" i="5"/>
  <c r="C287" i="5"/>
  <c r="B287" i="5"/>
  <c r="L286" i="5"/>
  <c r="J286" i="5"/>
  <c r="I286" i="5"/>
  <c r="H286" i="5"/>
  <c r="G286" i="5"/>
  <c r="F286" i="5"/>
  <c r="E286" i="5"/>
  <c r="D286" i="5"/>
  <c r="C286" i="5"/>
  <c r="B286" i="5"/>
  <c r="L285" i="5"/>
  <c r="J285" i="5"/>
  <c r="I285" i="5"/>
  <c r="H285" i="5"/>
  <c r="G285" i="5"/>
  <c r="F285" i="5"/>
  <c r="E285" i="5"/>
  <c r="D285" i="5"/>
  <c r="C285" i="5"/>
  <c r="B285" i="5"/>
  <c r="L284" i="5"/>
  <c r="J284" i="5"/>
  <c r="I284" i="5"/>
  <c r="H284" i="5"/>
  <c r="G284" i="5"/>
  <c r="F284" i="5"/>
  <c r="E284" i="5"/>
  <c r="D284" i="5"/>
  <c r="C284" i="5"/>
  <c r="B284" i="5"/>
  <c r="L283" i="5"/>
  <c r="J283" i="5"/>
  <c r="I283" i="5"/>
  <c r="H283" i="5"/>
  <c r="G283" i="5"/>
  <c r="F283" i="5"/>
  <c r="E283" i="5"/>
  <c r="D283" i="5"/>
  <c r="C283" i="5"/>
  <c r="B283" i="5"/>
  <c r="L282" i="5"/>
  <c r="J282" i="5"/>
  <c r="I282" i="5"/>
  <c r="H282" i="5"/>
  <c r="G282" i="5"/>
  <c r="F282" i="5"/>
  <c r="E282" i="5"/>
  <c r="D282" i="5"/>
  <c r="C282" i="5"/>
  <c r="B282" i="5"/>
  <c r="L281" i="5"/>
  <c r="J281" i="5"/>
  <c r="I281" i="5"/>
  <c r="H281" i="5"/>
  <c r="G281" i="5"/>
  <c r="F281" i="5"/>
  <c r="E281" i="5"/>
  <c r="D281" i="5"/>
  <c r="C281" i="5"/>
  <c r="B281" i="5"/>
  <c r="L280" i="5"/>
  <c r="J280" i="5"/>
  <c r="I280" i="5"/>
  <c r="H280" i="5"/>
  <c r="G280" i="5"/>
  <c r="F280" i="5"/>
  <c r="E280" i="5"/>
  <c r="D280" i="5"/>
  <c r="C280" i="5"/>
  <c r="B280" i="5"/>
  <c r="L279" i="5"/>
  <c r="J279" i="5"/>
  <c r="I279" i="5"/>
  <c r="H279" i="5"/>
  <c r="G279" i="5"/>
  <c r="F279" i="5"/>
  <c r="E279" i="5"/>
  <c r="D279" i="5"/>
  <c r="C279" i="5"/>
  <c r="B279" i="5"/>
  <c r="L278" i="5"/>
  <c r="J278" i="5"/>
  <c r="I278" i="5"/>
  <c r="H278" i="5"/>
  <c r="G278" i="5"/>
  <c r="F278" i="5"/>
  <c r="E278" i="5"/>
  <c r="D278" i="5"/>
  <c r="C278" i="5"/>
  <c r="B278" i="5"/>
  <c r="L277" i="5"/>
  <c r="J277" i="5"/>
  <c r="I277" i="5"/>
  <c r="H277" i="5"/>
  <c r="G277" i="5"/>
  <c r="F277" i="5"/>
  <c r="E277" i="5"/>
  <c r="D277" i="5"/>
  <c r="C277" i="5"/>
  <c r="B277" i="5"/>
  <c r="L276" i="5"/>
  <c r="J276" i="5"/>
  <c r="I276" i="5"/>
  <c r="H276" i="5"/>
  <c r="G276" i="5"/>
  <c r="F276" i="5"/>
  <c r="E276" i="5"/>
  <c r="D276" i="5"/>
  <c r="C276" i="5"/>
  <c r="B276" i="5"/>
  <c r="L275" i="5"/>
  <c r="J275" i="5"/>
  <c r="I275" i="5"/>
  <c r="H275" i="5"/>
  <c r="G275" i="5"/>
  <c r="F275" i="5"/>
  <c r="E275" i="5"/>
  <c r="D275" i="5"/>
  <c r="C275" i="5"/>
  <c r="B275" i="5"/>
  <c r="L274" i="5"/>
  <c r="J274" i="5"/>
  <c r="I274" i="5"/>
  <c r="H274" i="5"/>
  <c r="G274" i="5"/>
  <c r="F274" i="5"/>
  <c r="E274" i="5"/>
  <c r="D274" i="5"/>
  <c r="C274" i="5"/>
  <c r="B274" i="5"/>
  <c r="L273" i="5"/>
  <c r="J273" i="5"/>
  <c r="I273" i="5"/>
  <c r="H273" i="5"/>
  <c r="G273" i="5"/>
  <c r="F273" i="5"/>
  <c r="E273" i="5"/>
  <c r="D273" i="5"/>
  <c r="C273" i="5"/>
  <c r="B273" i="5"/>
  <c r="L272" i="5"/>
  <c r="J272" i="5"/>
  <c r="I272" i="5"/>
  <c r="H272" i="5"/>
  <c r="G272" i="5"/>
  <c r="F272" i="5"/>
  <c r="E272" i="5"/>
  <c r="D272" i="5"/>
  <c r="C272" i="5"/>
  <c r="B272" i="5"/>
  <c r="L271" i="5"/>
  <c r="J271" i="5"/>
  <c r="I271" i="5"/>
  <c r="H271" i="5"/>
  <c r="G271" i="5"/>
  <c r="F271" i="5"/>
  <c r="E271" i="5"/>
  <c r="D271" i="5"/>
  <c r="C271" i="5"/>
  <c r="B271" i="5"/>
  <c r="L270" i="5"/>
  <c r="J270" i="5"/>
  <c r="I270" i="5"/>
  <c r="H270" i="5"/>
  <c r="G270" i="5"/>
  <c r="F270" i="5"/>
  <c r="E270" i="5"/>
  <c r="D270" i="5"/>
  <c r="C270" i="5"/>
  <c r="B270" i="5"/>
  <c r="L269" i="5"/>
  <c r="J269" i="5"/>
  <c r="I269" i="5"/>
  <c r="H269" i="5"/>
  <c r="G269" i="5"/>
  <c r="F269" i="5"/>
  <c r="E269" i="5"/>
  <c r="D269" i="5"/>
  <c r="C269" i="5"/>
  <c r="B269" i="5"/>
  <c r="L268" i="5"/>
  <c r="J268" i="5"/>
  <c r="I268" i="5"/>
  <c r="H268" i="5"/>
  <c r="G268" i="5"/>
  <c r="F268" i="5"/>
  <c r="E268" i="5"/>
  <c r="D268" i="5"/>
  <c r="C268" i="5"/>
  <c r="B268" i="5"/>
  <c r="L267" i="5"/>
  <c r="J267" i="5"/>
  <c r="I267" i="5"/>
  <c r="H267" i="5"/>
  <c r="G267" i="5"/>
  <c r="F267" i="5"/>
  <c r="E267" i="5"/>
  <c r="D267" i="5"/>
  <c r="C267" i="5"/>
  <c r="B267" i="5"/>
  <c r="L266" i="5"/>
  <c r="J266" i="5"/>
  <c r="I266" i="5"/>
  <c r="H266" i="5"/>
  <c r="G266" i="5"/>
  <c r="F266" i="5"/>
  <c r="E266" i="5"/>
  <c r="D266" i="5"/>
  <c r="C266" i="5"/>
  <c r="B266" i="5"/>
  <c r="L265" i="5"/>
  <c r="J265" i="5"/>
  <c r="I265" i="5"/>
  <c r="H265" i="5"/>
  <c r="G265" i="5"/>
  <c r="F265" i="5"/>
  <c r="E265" i="5"/>
  <c r="D265" i="5"/>
  <c r="C265" i="5"/>
  <c r="B265" i="5"/>
  <c r="L264" i="5"/>
  <c r="J264" i="5"/>
  <c r="I264" i="5"/>
  <c r="H264" i="5"/>
  <c r="G264" i="5"/>
  <c r="F264" i="5"/>
  <c r="E264" i="5"/>
  <c r="D264" i="5"/>
  <c r="C264" i="5"/>
  <c r="B264" i="5"/>
  <c r="L263" i="5"/>
  <c r="J263" i="5"/>
  <c r="I263" i="5"/>
  <c r="H263" i="5"/>
  <c r="G263" i="5"/>
  <c r="F263" i="5"/>
  <c r="E263" i="5"/>
  <c r="D263" i="5"/>
  <c r="C263" i="5"/>
  <c r="B263" i="5"/>
  <c r="L262" i="5"/>
  <c r="J262" i="5"/>
  <c r="I262" i="5"/>
  <c r="H262" i="5"/>
  <c r="G262" i="5"/>
  <c r="F262" i="5"/>
  <c r="E262" i="5"/>
  <c r="D262" i="5"/>
  <c r="C262" i="5"/>
  <c r="B262" i="5"/>
  <c r="L261" i="5"/>
  <c r="J261" i="5"/>
  <c r="I261" i="5"/>
  <c r="H261" i="5"/>
  <c r="G261" i="5"/>
  <c r="F261" i="5"/>
  <c r="E261" i="5"/>
  <c r="D261" i="5"/>
  <c r="C261" i="5"/>
  <c r="B261" i="5"/>
  <c r="L260" i="5"/>
  <c r="J260" i="5"/>
  <c r="I260" i="5"/>
  <c r="H260" i="5"/>
  <c r="G260" i="5"/>
  <c r="F260" i="5"/>
  <c r="E260" i="5"/>
  <c r="D260" i="5"/>
  <c r="C260" i="5"/>
  <c r="B260" i="5"/>
  <c r="L259" i="5"/>
  <c r="J259" i="5"/>
  <c r="I259" i="5"/>
  <c r="H259" i="5"/>
  <c r="G259" i="5"/>
  <c r="F259" i="5"/>
  <c r="E259" i="5"/>
  <c r="D259" i="5"/>
  <c r="C259" i="5"/>
  <c r="B259" i="5"/>
  <c r="L258" i="5"/>
  <c r="J258" i="5"/>
  <c r="I258" i="5"/>
  <c r="H258" i="5"/>
  <c r="G258" i="5"/>
  <c r="F258" i="5"/>
  <c r="E258" i="5"/>
  <c r="D258" i="5"/>
  <c r="C258" i="5"/>
  <c r="B258" i="5"/>
  <c r="L257" i="5"/>
  <c r="J257" i="5"/>
  <c r="I257" i="5"/>
  <c r="H257" i="5"/>
  <c r="G257" i="5"/>
  <c r="F257" i="5"/>
  <c r="E257" i="5"/>
  <c r="D257" i="5"/>
  <c r="C257" i="5"/>
  <c r="B257" i="5"/>
  <c r="L256" i="5"/>
  <c r="J256" i="5"/>
  <c r="I256" i="5"/>
  <c r="H256" i="5"/>
  <c r="G256" i="5"/>
  <c r="F256" i="5"/>
  <c r="E256" i="5"/>
  <c r="D256" i="5"/>
  <c r="C256" i="5"/>
  <c r="B256" i="5"/>
  <c r="L255" i="5"/>
  <c r="J255" i="5"/>
  <c r="I255" i="5"/>
  <c r="H255" i="5"/>
  <c r="G255" i="5"/>
  <c r="F255" i="5"/>
  <c r="E255" i="5"/>
  <c r="D255" i="5"/>
  <c r="C255" i="5"/>
  <c r="B255" i="5"/>
  <c r="L254" i="5"/>
  <c r="J254" i="5"/>
  <c r="I254" i="5"/>
  <c r="H254" i="5"/>
  <c r="G254" i="5"/>
  <c r="F254" i="5"/>
  <c r="E254" i="5"/>
  <c r="D254" i="5"/>
  <c r="C254" i="5"/>
  <c r="B254" i="5"/>
  <c r="L253" i="5"/>
  <c r="J253" i="5"/>
  <c r="I253" i="5"/>
  <c r="H253" i="5"/>
  <c r="G253" i="5"/>
  <c r="F253" i="5"/>
  <c r="E253" i="5"/>
  <c r="D253" i="5"/>
  <c r="C253" i="5"/>
  <c r="B253" i="5"/>
  <c r="L252" i="5"/>
  <c r="J252" i="5"/>
  <c r="I252" i="5"/>
  <c r="H252" i="5"/>
  <c r="G252" i="5"/>
  <c r="F252" i="5"/>
  <c r="E252" i="5"/>
  <c r="D252" i="5"/>
  <c r="C252" i="5"/>
  <c r="B252" i="5"/>
  <c r="L251" i="5"/>
  <c r="J251" i="5"/>
  <c r="I251" i="5"/>
  <c r="H251" i="5"/>
  <c r="G251" i="5"/>
  <c r="F251" i="5"/>
  <c r="E251" i="5"/>
  <c r="D251" i="5"/>
  <c r="C251" i="5"/>
  <c r="B251" i="5"/>
  <c r="L250" i="5"/>
  <c r="J250" i="5"/>
  <c r="I250" i="5"/>
  <c r="H250" i="5"/>
  <c r="G250" i="5"/>
  <c r="F250" i="5"/>
  <c r="E250" i="5"/>
  <c r="D250" i="5"/>
  <c r="C250" i="5"/>
  <c r="B250" i="5"/>
  <c r="L249" i="5"/>
  <c r="J249" i="5"/>
  <c r="I249" i="5"/>
  <c r="H249" i="5"/>
  <c r="G249" i="5"/>
  <c r="F249" i="5"/>
  <c r="E249" i="5"/>
  <c r="D249" i="5"/>
  <c r="C249" i="5"/>
  <c r="B249" i="5"/>
  <c r="L248" i="5"/>
  <c r="J248" i="5"/>
  <c r="I248" i="5"/>
  <c r="H248" i="5"/>
  <c r="G248" i="5"/>
  <c r="F248" i="5"/>
  <c r="E248" i="5"/>
  <c r="D248" i="5"/>
  <c r="C248" i="5"/>
  <c r="B248" i="5"/>
  <c r="L247" i="5"/>
  <c r="J247" i="5"/>
  <c r="I247" i="5"/>
  <c r="H247" i="5"/>
  <c r="G247" i="5"/>
  <c r="F247" i="5"/>
  <c r="E247" i="5"/>
  <c r="D247" i="5"/>
  <c r="C247" i="5"/>
  <c r="B247" i="5"/>
  <c r="L246" i="5"/>
  <c r="J246" i="5"/>
  <c r="I246" i="5"/>
  <c r="H246" i="5"/>
  <c r="G246" i="5"/>
  <c r="F246" i="5"/>
  <c r="E246" i="5"/>
  <c r="D246" i="5"/>
  <c r="C246" i="5"/>
  <c r="B246" i="5"/>
  <c r="L245" i="5"/>
  <c r="J245" i="5"/>
  <c r="I245" i="5"/>
  <c r="H245" i="5"/>
  <c r="G245" i="5"/>
  <c r="F245" i="5"/>
  <c r="E245" i="5"/>
  <c r="D245" i="5"/>
  <c r="C245" i="5"/>
  <c r="B245" i="5"/>
  <c r="L244" i="5"/>
  <c r="J244" i="5"/>
  <c r="I244" i="5"/>
  <c r="H244" i="5"/>
  <c r="G244" i="5"/>
  <c r="F244" i="5"/>
  <c r="E244" i="5"/>
  <c r="D244" i="5"/>
  <c r="C244" i="5"/>
  <c r="B244" i="5"/>
  <c r="L243" i="5"/>
  <c r="J243" i="5"/>
  <c r="I243" i="5"/>
  <c r="H243" i="5"/>
  <c r="G243" i="5"/>
  <c r="F243" i="5"/>
  <c r="E243" i="5"/>
  <c r="D243" i="5"/>
  <c r="C243" i="5"/>
  <c r="B243" i="5"/>
  <c r="L242" i="5"/>
  <c r="J242" i="5"/>
  <c r="I242" i="5"/>
  <c r="H242" i="5"/>
  <c r="G242" i="5"/>
  <c r="F242" i="5"/>
  <c r="E242" i="5"/>
  <c r="D242" i="5"/>
  <c r="C242" i="5"/>
  <c r="B242" i="5"/>
  <c r="L241" i="5"/>
  <c r="J241" i="5"/>
  <c r="I241" i="5"/>
  <c r="H241" i="5"/>
  <c r="G241" i="5"/>
  <c r="F241" i="5"/>
  <c r="E241" i="5"/>
  <c r="D241" i="5"/>
  <c r="C241" i="5"/>
  <c r="B241" i="5"/>
  <c r="L240" i="5"/>
  <c r="J240" i="5"/>
  <c r="I240" i="5"/>
  <c r="H240" i="5"/>
  <c r="G240" i="5"/>
  <c r="F240" i="5"/>
  <c r="E240" i="5"/>
  <c r="D240" i="5"/>
  <c r="C240" i="5"/>
  <c r="B240" i="5"/>
  <c r="L239" i="5"/>
  <c r="J239" i="5"/>
  <c r="I239" i="5"/>
  <c r="H239" i="5"/>
  <c r="G239" i="5"/>
  <c r="F239" i="5"/>
  <c r="E239" i="5"/>
  <c r="D239" i="5"/>
  <c r="C239" i="5"/>
  <c r="B239" i="5"/>
  <c r="L238" i="5"/>
  <c r="J238" i="5"/>
  <c r="I238" i="5"/>
  <c r="H238" i="5"/>
  <c r="G238" i="5"/>
  <c r="F238" i="5"/>
  <c r="E238" i="5"/>
  <c r="D238" i="5"/>
  <c r="C238" i="5"/>
  <c r="B238" i="5"/>
  <c r="L237" i="5"/>
  <c r="J237" i="5"/>
  <c r="I237" i="5"/>
  <c r="H237" i="5"/>
  <c r="G237" i="5"/>
  <c r="F237" i="5"/>
  <c r="E237" i="5"/>
  <c r="D237" i="5"/>
  <c r="C237" i="5"/>
  <c r="B237" i="5"/>
  <c r="L236" i="5"/>
  <c r="J236" i="5"/>
  <c r="I236" i="5"/>
  <c r="H236" i="5"/>
  <c r="G236" i="5"/>
  <c r="F236" i="5"/>
  <c r="E236" i="5"/>
  <c r="D236" i="5"/>
  <c r="C236" i="5"/>
  <c r="B236" i="5"/>
  <c r="L235" i="5"/>
  <c r="J235" i="5"/>
  <c r="I235" i="5"/>
  <c r="H235" i="5"/>
  <c r="G235" i="5"/>
  <c r="F235" i="5"/>
  <c r="E235" i="5"/>
  <c r="D235" i="5"/>
  <c r="C235" i="5"/>
  <c r="B235" i="5"/>
  <c r="L234" i="5"/>
  <c r="J234" i="5"/>
  <c r="I234" i="5"/>
  <c r="H234" i="5"/>
  <c r="G234" i="5"/>
  <c r="F234" i="5"/>
  <c r="E234" i="5"/>
  <c r="D234" i="5"/>
  <c r="C234" i="5"/>
  <c r="B234" i="5"/>
  <c r="L233" i="5"/>
  <c r="J233" i="5"/>
  <c r="I233" i="5"/>
  <c r="H233" i="5"/>
  <c r="G233" i="5"/>
  <c r="F233" i="5"/>
  <c r="E233" i="5"/>
  <c r="D233" i="5"/>
  <c r="C233" i="5"/>
  <c r="B233" i="5"/>
  <c r="L232" i="5"/>
  <c r="J232" i="5"/>
  <c r="I232" i="5"/>
  <c r="H232" i="5"/>
  <c r="G232" i="5"/>
  <c r="F232" i="5"/>
  <c r="E232" i="5"/>
  <c r="D232" i="5"/>
  <c r="C232" i="5"/>
  <c r="B232" i="5"/>
  <c r="L231" i="5"/>
  <c r="J231" i="5"/>
  <c r="I231" i="5"/>
  <c r="H231" i="5"/>
  <c r="G231" i="5"/>
  <c r="F231" i="5"/>
  <c r="E231" i="5"/>
  <c r="D231" i="5"/>
  <c r="C231" i="5"/>
  <c r="B231" i="5"/>
  <c r="L230" i="5"/>
  <c r="J230" i="5"/>
  <c r="I230" i="5"/>
  <c r="H230" i="5"/>
  <c r="G230" i="5"/>
  <c r="F230" i="5"/>
  <c r="E230" i="5"/>
  <c r="D230" i="5"/>
  <c r="C230" i="5"/>
  <c r="B230" i="5"/>
  <c r="L229" i="5"/>
  <c r="J229" i="5"/>
  <c r="I229" i="5"/>
  <c r="H229" i="5"/>
  <c r="G229" i="5"/>
  <c r="F229" i="5"/>
  <c r="E229" i="5"/>
  <c r="D229" i="5"/>
  <c r="C229" i="5"/>
  <c r="B229" i="5"/>
  <c r="L228" i="5"/>
  <c r="J228" i="5"/>
  <c r="I228" i="5"/>
  <c r="H228" i="5"/>
  <c r="G228" i="5"/>
  <c r="F228" i="5"/>
  <c r="E228" i="5"/>
  <c r="D228" i="5"/>
  <c r="C228" i="5"/>
  <c r="B228" i="5"/>
  <c r="L227" i="5"/>
  <c r="J227" i="5"/>
  <c r="I227" i="5"/>
  <c r="H227" i="5"/>
  <c r="G227" i="5"/>
  <c r="F227" i="5"/>
  <c r="E227" i="5"/>
  <c r="D227" i="5"/>
  <c r="C227" i="5"/>
  <c r="B227" i="5"/>
  <c r="L226" i="5"/>
  <c r="J226" i="5"/>
  <c r="I226" i="5"/>
  <c r="H226" i="5"/>
  <c r="G226" i="5"/>
  <c r="F226" i="5"/>
  <c r="E226" i="5"/>
  <c r="D226" i="5"/>
  <c r="C226" i="5"/>
  <c r="B226" i="5"/>
  <c r="L225" i="5"/>
  <c r="J225" i="5"/>
  <c r="I225" i="5"/>
  <c r="H225" i="5"/>
  <c r="G225" i="5"/>
  <c r="F225" i="5"/>
  <c r="E225" i="5"/>
  <c r="D225" i="5"/>
  <c r="C225" i="5"/>
  <c r="B225" i="5"/>
  <c r="L224" i="5"/>
  <c r="J224" i="5"/>
  <c r="I224" i="5"/>
  <c r="H224" i="5"/>
  <c r="G224" i="5"/>
  <c r="F224" i="5"/>
  <c r="E224" i="5"/>
  <c r="D224" i="5"/>
  <c r="C224" i="5"/>
  <c r="B224" i="5"/>
  <c r="L223" i="5"/>
  <c r="J223" i="5"/>
  <c r="I223" i="5"/>
  <c r="H223" i="5"/>
  <c r="G223" i="5"/>
  <c r="F223" i="5"/>
  <c r="E223" i="5"/>
  <c r="D223" i="5"/>
  <c r="C223" i="5"/>
  <c r="B223" i="5"/>
  <c r="L222" i="5"/>
  <c r="J222" i="5"/>
  <c r="I222" i="5"/>
  <c r="H222" i="5"/>
  <c r="G222" i="5"/>
  <c r="F222" i="5"/>
  <c r="E222" i="5"/>
  <c r="D222" i="5"/>
  <c r="C222" i="5"/>
  <c r="B222" i="5"/>
  <c r="L221" i="5"/>
  <c r="J221" i="5"/>
  <c r="I221" i="5"/>
  <c r="H221" i="5"/>
  <c r="G221" i="5"/>
  <c r="F221" i="5"/>
  <c r="E221" i="5"/>
  <c r="D221" i="5"/>
  <c r="C221" i="5"/>
  <c r="B221" i="5"/>
  <c r="L220" i="5"/>
  <c r="J220" i="5"/>
  <c r="I220" i="5"/>
  <c r="H220" i="5"/>
  <c r="G220" i="5"/>
  <c r="F220" i="5"/>
  <c r="E220" i="5"/>
  <c r="D220" i="5"/>
  <c r="C220" i="5"/>
  <c r="B220" i="5"/>
  <c r="L219" i="5"/>
  <c r="J219" i="5"/>
  <c r="I219" i="5"/>
  <c r="H219" i="5"/>
  <c r="G219" i="5"/>
  <c r="F219" i="5"/>
  <c r="E219" i="5"/>
  <c r="D219" i="5"/>
  <c r="C219" i="5"/>
  <c r="B219" i="5"/>
  <c r="L218" i="5"/>
  <c r="J218" i="5"/>
  <c r="I218" i="5"/>
  <c r="H218" i="5"/>
  <c r="G218" i="5"/>
  <c r="F218" i="5"/>
  <c r="E218" i="5"/>
  <c r="D218" i="5"/>
  <c r="C218" i="5"/>
  <c r="B218" i="5"/>
  <c r="L217" i="5"/>
  <c r="J217" i="5"/>
  <c r="I217" i="5"/>
  <c r="H217" i="5"/>
  <c r="G217" i="5"/>
  <c r="F217" i="5"/>
  <c r="E217" i="5"/>
  <c r="D217" i="5"/>
  <c r="C217" i="5"/>
  <c r="B217" i="5"/>
  <c r="L216" i="5"/>
  <c r="J216" i="5"/>
  <c r="I216" i="5"/>
  <c r="H216" i="5"/>
  <c r="G216" i="5"/>
  <c r="F216" i="5"/>
  <c r="E216" i="5"/>
  <c r="D216" i="5"/>
  <c r="C216" i="5"/>
  <c r="B216" i="5"/>
  <c r="L215" i="5"/>
  <c r="J215" i="5"/>
  <c r="I215" i="5"/>
  <c r="H215" i="5"/>
  <c r="G215" i="5"/>
  <c r="F215" i="5"/>
  <c r="E215" i="5"/>
  <c r="D215" i="5"/>
  <c r="C215" i="5"/>
  <c r="B215" i="5"/>
  <c r="L214" i="5"/>
  <c r="J214" i="5"/>
  <c r="I214" i="5"/>
  <c r="H214" i="5"/>
  <c r="G214" i="5"/>
  <c r="F214" i="5"/>
  <c r="E214" i="5"/>
  <c r="D214" i="5"/>
  <c r="C214" i="5"/>
  <c r="B214" i="5"/>
  <c r="L213" i="5"/>
  <c r="J213" i="5"/>
  <c r="I213" i="5"/>
  <c r="H213" i="5"/>
  <c r="G213" i="5"/>
  <c r="F213" i="5"/>
  <c r="E213" i="5"/>
  <c r="D213" i="5"/>
  <c r="C213" i="5"/>
  <c r="B213" i="5"/>
  <c r="L212" i="5"/>
  <c r="J212" i="5"/>
  <c r="I212" i="5"/>
  <c r="H212" i="5"/>
  <c r="G212" i="5"/>
  <c r="F212" i="5"/>
  <c r="E212" i="5"/>
  <c r="D212" i="5"/>
  <c r="C212" i="5"/>
  <c r="B212" i="5"/>
  <c r="L211" i="5"/>
  <c r="J211" i="5"/>
  <c r="I211" i="5"/>
  <c r="H211" i="5"/>
  <c r="G211" i="5"/>
  <c r="F211" i="5"/>
  <c r="E211" i="5"/>
  <c r="D211" i="5"/>
  <c r="C211" i="5"/>
  <c r="B211" i="5"/>
  <c r="L210" i="5"/>
  <c r="J210" i="5"/>
  <c r="I210" i="5"/>
  <c r="H210" i="5"/>
  <c r="G210" i="5"/>
  <c r="F210" i="5"/>
  <c r="E210" i="5"/>
  <c r="D210" i="5"/>
  <c r="C210" i="5"/>
  <c r="B210" i="5"/>
  <c r="L209" i="5"/>
  <c r="J209" i="5"/>
  <c r="I209" i="5"/>
  <c r="H209" i="5"/>
  <c r="G209" i="5"/>
  <c r="F209" i="5"/>
  <c r="E209" i="5"/>
  <c r="D209" i="5"/>
  <c r="C209" i="5"/>
  <c r="B209" i="5"/>
  <c r="L208" i="5"/>
  <c r="J208" i="5"/>
  <c r="I208" i="5"/>
  <c r="H208" i="5"/>
  <c r="G208" i="5"/>
  <c r="F208" i="5"/>
  <c r="E208" i="5"/>
  <c r="D208" i="5"/>
  <c r="C208" i="5"/>
  <c r="B208" i="5"/>
  <c r="L207" i="5"/>
  <c r="J207" i="5"/>
  <c r="I207" i="5"/>
  <c r="H207" i="5"/>
  <c r="G207" i="5"/>
  <c r="F207" i="5"/>
  <c r="E207" i="5"/>
  <c r="D207" i="5"/>
  <c r="C207" i="5"/>
  <c r="B207" i="5"/>
  <c r="L206" i="5"/>
  <c r="J206" i="5"/>
  <c r="I206" i="5"/>
  <c r="H206" i="5"/>
  <c r="G206" i="5"/>
  <c r="F206" i="5"/>
  <c r="E206" i="5"/>
  <c r="D206" i="5"/>
  <c r="C206" i="5"/>
  <c r="B206" i="5"/>
  <c r="L205" i="5"/>
  <c r="J205" i="5"/>
  <c r="I205" i="5"/>
  <c r="H205" i="5"/>
  <c r="G205" i="5"/>
  <c r="F205" i="5"/>
  <c r="E205" i="5"/>
  <c r="D205" i="5"/>
  <c r="C205" i="5"/>
  <c r="B205" i="5"/>
  <c r="L204" i="5"/>
  <c r="J204" i="5"/>
  <c r="I204" i="5"/>
  <c r="H204" i="5"/>
  <c r="G204" i="5"/>
  <c r="F204" i="5"/>
  <c r="E204" i="5"/>
  <c r="D204" i="5"/>
  <c r="C204" i="5"/>
  <c r="B204" i="5"/>
  <c r="L203" i="5"/>
  <c r="J203" i="5"/>
  <c r="I203" i="5"/>
  <c r="H203" i="5"/>
  <c r="G203" i="5"/>
  <c r="F203" i="5"/>
  <c r="E203" i="5"/>
  <c r="D203" i="5"/>
  <c r="C203" i="5"/>
  <c r="B203" i="5"/>
  <c r="L202" i="5"/>
  <c r="J202" i="5"/>
  <c r="I202" i="5"/>
  <c r="H202" i="5"/>
  <c r="G202" i="5"/>
  <c r="F202" i="5"/>
  <c r="E202" i="5"/>
  <c r="D202" i="5"/>
  <c r="C202" i="5"/>
  <c r="B202" i="5"/>
  <c r="L201" i="5"/>
  <c r="J201" i="5"/>
  <c r="I201" i="5"/>
  <c r="H201" i="5"/>
  <c r="G201" i="5"/>
  <c r="F201" i="5"/>
  <c r="E201" i="5"/>
  <c r="D201" i="5"/>
  <c r="C201" i="5"/>
  <c r="B201" i="5"/>
  <c r="L200" i="5"/>
  <c r="J200" i="5"/>
  <c r="I200" i="5"/>
  <c r="H200" i="5"/>
  <c r="G200" i="5"/>
  <c r="F200" i="5"/>
  <c r="E200" i="5"/>
  <c r="D200" i="5"/>
  <c r="C200" i="5"/>
  <c r="B200" i="5"/>
  <c r="L199" i="5"/>
  <c r="J199" i="5"/>
  <c r="I199" i="5"/>
  <c r="H199" i="5"/>
  <c r="G199" i="5"/>
  <c r="F199" i="5"/>
  <c r="E199" i="5"/>
  <c r="D199" i="5"/>
  <c r="C199" i="5"/>
  <c r="B199" i="5"/>
  <c r="L198" i="5"/>
  <c r="J198" i="5"/>
  <c r="I198" i="5"/>
  <c r="H198" i="5"/>
  <c r="G198" i="5"/>
  <c r="F198" i="5"/>
  <c r="E198" i="5"/>
  <c r="D198" i="5"/>
  <c r="C198" i="5"/>
  <c r="B198" i="5"/>
  <c r="L197" i="5"/>
  <c r="J197" i="5"/>
  <c r="I197" i="5"/>
  <c r="H197" i="5"/>
  <c r="G197" i="5"/>
  <c r="F197" i="5"/>
  <c r="E197" i="5"/>
  <c r="D197" i="5"/>
  <c r="C197" i="5"/>
  <c r="B197" i="5"/>
  <c r="L196" i="5"/>
  <c r="J196" i="5"/>
  <c r="I196" i="5"/>
  <c r="H196" i="5"/>
  <c r="G196" i="5"/>
  <c r="F196" i="5"/>
  <c r="E196" i="5"/>
  <c r="D196" i="5"/>
  <c r="C196" i="5"/>
  <c r="B196" i="5"/>
  <c r="L195" i="5"/>
  <c r="J195" i="5"/>
  <c r="I195" i="5"/>
  <c r="H195" i="5"/>
  <c r="G195" i="5"/>
  <c r="F195" i="5"/>
  <c r="E195" i="5"/>
  <c r="D195" i="5"/>
  <c r="C195" i="5"/>
  <c r="B195" i="5"/>
  <c r="L194" i="5"/>
  <c r="J194" i="5"/>
  <c r="I194" i="5"/>
  <c r="H194" i="5"/>
  <c r="G194" i="5"/>
  <c r="F194" i="5"/>
  <c r="E194" i="5"/>
  <c r="D194" i="5"/>
  <c r="C194" i="5"/>
  <c r="B194" i="5"/>
  <c r="L193" i="5"/>
  <c r="J193" i="5"/>
  <c r="I193" i="5"/>
  <c r="H193" i="5"/>
  <c r="G193" i="5"/>
  <c r="F193" i="5"/>
  <c r="E193" i="5"/>
  <c r="D193" i="5"/>
  <c r="C193" i="5"/>
  <c r="B193" i="5"/>
  <c r="L192" i="5"/>
  <c r="J192" i="5"/>
  <c r="I192" i="5"/>
  <c r="H192" i="5"/>
  <c r="G192" i="5"/>
  <c r="F192" i="5"/>
  <c r="E192" i="5"/>
  <c r="D192" i="5"/>
  <c r="C192" i="5"/>
  <c r="B192" i="5"/>
  <c r="L191" i="5"/>
  <c r="J191" i="5"/>
  <c r="I191" i="5"/>
  <c r="H191" i="5"/>
  <c r="G191" i="5"/>
  <c r="F191" i="5"/>
  <c r="E191" i="5"/>
  <c r="D191" i="5"/>
  <c r="C191" i="5"/>
  <c r="B191" i="5"/>
  <c r="L190" i="5"/>
  <c r="J190" i="5"/>
  <c r="I190" i="5"/>
  <c r="H190" i="5"/>
  <c r="G190" i="5"/>
  <c r="F190" i="5"/>
  <c r="E190" i="5"/>
  <c r="D190" i="5"/>
  <c r="C190" i="5"/>
  <c r="B190" i="5"/>
  <c r="L189" i="5"/>
  <c r="J189" i="5"/>
  <c r="I189" i="5"/>
  <c r="H189" i="5"/>
  <c r="G189" i="5"/>
  <c r="F189" i="5"/>
  <c r="E189" i="5"/>
  <c r="D189" i="5"/>
  <c r="C189" i="5"/>
  <c r="B189" i="5"/>
  <c r="L188" i="5"/>
  <c r="J188" i="5"/>
  <c r="I188" i="5"/>
  <c r="H188" i="5"/>
  <c r="G188" i="5"/>
  <c r="F188" i="5"/>
  <c r="E188" i="5"/>
  <c r="D188" i="5"/>
  <c r="C188" i="5"/>
  <c r="B188" i="5"/>
  <c r="L187" i="5"/>
  <c r="J187" i="5"/>
  <c r="I187" i="5"/>
  <c r="H187" i="5"/>
  <c r="G187" i="5"/>
  <c r="F187" i="5"/>
  <c r="E187" i="5"/>
  <c r="D187" i="5"/>
  <c r="C187" i="5"/>
  <c r="B187" i="5"/>
  <c r="L186" i="5"/>
  <c r="J186" i="5"/>
  <c r="I186" i="5"/>
  <c r="H186" i="5"/>
  <c r="G186" i="5"/>
  <c r="F186" i="5"/>
  <c r="E186" i="5"/>
  <c r="D186" i="5"/>
  <c r="C186" i="5"/>
  <c r="B186" i="5"/>
  <c r="L185" i="5"/>
  <c r="J185" i="5"/>
  <c r="I185" i="5"/>
  <c r="H185" i="5"/>
  <c r="G185" i="5"/>
  <c r="F185" i="5"/>
  <c r="E185" i="5"/>
  <c r="D185" i="5"/>
  <c r="C185" i="5"/>
  <c r="B185" i="5"/>
  <c r="L184" i="5"/>
  <c r="J184" i="5"/>
  <c r="I184" i="5"/>
  <c r="H184" i="5"/>
  <c r="G184" i="5"/>
  <c r="F184" i="5"/>
  <c r="E184" i="5"/>
  <c r="D184" i="5"/>
  <c r="C184" i="5"/>
  <c r="B184" i="5"/>
  <c r="L183" i="5"/>
  <c r="J183" i="5"/>
  <c r="I183" i="5"/>
  <c r="H183" i="5"/>
  <c r="G183" i="5"/>
  <c r="F183" i="5"/>
  <c r="E183" i="5"/>
  <c r="D183" i="5"/>
  <c r="C183" i="5"/>
  <c r="B183" i="5"/>
  <c r="L182" i="5"/>
  <c r="J182" i="5"/>
  <c r="I182" i="5"/>
  <c r="H182" i="5"/>
  <c r="G182" i="5"/>
  <c r="F182" i="5"/>
  <c r="E182" i="5"/>
  <c r="D182" i="5"/>
  <c r="C182" i="5"/>
  <c r="B182" i="5"/>
  <c r="L181" i="5"/>
  <c r="J181" i="5"/>
  <c r="I181" i="5"/>
  <c r="H181" i="5"/>
  <c r="G181" i="5"/>
  <c r="F181" i="5"/>
  <c r="E181" i="5"/>
  <c r="D181" i="5"/>
  <c r="C181" i="5"/>
  <c r="B181" i="5"/>
  <c r="L180" i="5"/>
  <c r="J180" i="5"/>
  <c r="I180" i="5"/>
  <c r="H180" i="5"/>
  <c r="G180" i="5"/>
  <c r="F180" i="5"/>
  <c r="E180" i="5"/>
  <c r="D180" i="5"/>
  <c r="C180" i="5"/>
  <c r="B180" i="5"/>
  <c r="L179" i="5"/>
  <c r="J179" i="5"/>
  <c r="I179" i="5"/>
  <c r="H179" i="5"/>
  <c r="G179" i="5"/>
  <c r="F179" i="5"/>
  <c r="E179" i="5"/>
  <c r="D179" i="5"/>
  <c r="C179" i="5"/>
  <c r="B179" i="5"/>
  <c r="L178" i="5"/>
  <c r="J178" i="5"/>
  <c r="I178" i="5"/>
  <c r="H178" i="5"/>
  <c r="G178" i="5"/>
  <c r="F178" i="5"/>
  <c r="E178" i="5"/>
  <c r="D178" i="5"/>
  <c r="C178" i="5"/>
  <c r="B178" i="5"/>
  <c r="L177" i="5"/>
  <c r="J177" i="5"/>
  <c r="I177" i="5"/>
  <c r="H177" i="5"/>
  <c r="G177" i="5"/>
  <c r="F177" i="5"/>
  <c r="E177" i="5"/>
  <c r="D177" i="5"/>
  <c r="C177" i="5"/>
  <c r="B177" i="5"/>
  <c r="L176" i="5"/>
  <c r="J176" i="5"/>
  <c r="I176" i="5"/>
  <c r="H176" i="5"/>
  <c r="G176" i="5"/>
  <c r="F176" i="5"/>
  <c r="E176" i="5"/>
  <c r="D176" i="5"/>
  <c r="C176" i="5"/>
  <c r="B176" i="5"/>
  <c r="L175" i="5"/>
  <c r="J175" i="5"/>
  <c r="I175" i="5"/>
  <c r="H175" i="5"/>
  <c r="G175" i="5"/>
  <c r="F175" i="5"/>
  <c r="E175" i="5"/>
  <c r="D175" i="5"/>
  <c r="C175" i="5"/>
  <c r="B175" i="5"/>
  <c r="L174" i="5"/>
  <c r="J174" i="5"/>
  <c r="I174" i="5"/>
  <c r="H174" i="5"/>
  <c r="G174" i="5"/>
  <c r="F174" i="5"/>
  <c r="E174" i="5"/>
  <c r="D174" i="5"/>
  <c r="C174" i="5"/>
  <c r="B174" i="5"/>
  <c r="L173" i="5"/>
  <c r="J173" i="5"/>
  <c r="I173" i="5"/>
  <c r="H173" i="5"/>
  <c r="G173" i="5"/>
  <c r="F173" i="5"/>
  <c r="E173" i="5"/>
  <c r="D173" i="5"/>
  <c r="C173" i="5"/>
  <c r="B173" i="5"/>
  <c r="L172" i="5"/>
  <c r="J172" i="5"/>
  <c r="I172" i="5"/>
  <c r="H172" i="5"/>
  <c r="G172" i="5"/>
  <c r="F172" i="5"/>
  <c r="E172" i="5"/>
  <c r="D172" i="5"/>
  <c r="C172" i="5"/>
  <c r="B172" i="5"/>
  <c r="L171" i="5"/>
  <c r="J171" i="5"/>
  <c r="I171" i="5"/>
  <c r="H171" i="5"/>
  <c r="G171" i="5"/>
  <c r="F171" i="5"/>
  <c r="E171" i="5"/>
  <c r="D171" i="5"/>
  <c r="C171" i="5"/>
  <c r="B171" i="5"/>
  <c r="L170" i="5"/>
  <c r="J170" i="5"/>
  <c r="I170" i="5"/>
  <c r="H170" i="5"/>
  <c r="G170" i="5"/>
  <c r="F170" i="5"/>
  <c r="E170" i="5"/>
  <c r="D170" i="5"/>
  <c r="C170" i="5"/>
  <c r="B170" i="5"/>
  <c r="L169" i="5"/>
  <c r="J169" i="5"/>
  <c r="I169" i="5"/>
  <c r="H169" i="5"/>
  <c r="G169" i="5"/>
  <c r="F169" i="5"/>
  <c r="E169" i="5"/>
  <c r="D169" i="5"/>
  <c r="C169" i="5"/>
  <c r="B169" i="5"/>
  <c r="L168" i="5"/>
  <c r="J168" i="5"/>
  <c r="I168" i="5"/>
  <c r="H168" i="5"/>
  <c r="G168" i="5"/>
  <c r="F168" i="5"/>
  <c r="E168" i="5"/>
  <c r="D168" i="5"/>
  <c r="C168" i="5"/>
  <c r="B168" i="5"/>
  <c r="L167" i="5"/>
  <c r="J167" i="5"/>
  <c r="I167" i="5"/>
  <c r="H167" i="5"/>
  <c r="G167" i="5"/>
  <c r="F167" i="5"/>
  <c r="E167" i="5"/>
  <c r="D167" i="5"/>
  <c r="C167" i="5"/>
  <c r="B167" i="5"/>
  <c r="L166" i="5"/>
  <c r="J166" i="5"/>
  <c r="I166" i="5"/>
  <c r="H166" i="5"/>
  <c r="G166" i="5"/>
  <c r="F166" i="5"/>
  <c r="E166" i="5"/>
  <c r="D166" i="5"/>
  <c r="C166" i="5"/>
  <c r="B166" i="5"/>
  <c r="L165" i="5"/>
  <c r="J165" i="5"/>
  <c r="I165" i="5"/>
  <c r="H165" i="5"/>
  <c r="G165" i="5"/>
  <c r="F165" i="5"/>
  <c r="E165" i="5"/>
  <c r="D165" i="5"/>
  <c r="C165" i="5"/>
  <c r="B165" i="5"/>
  <c r="L164" i="5"/>
  <c r="J164" i="5"/>
  <c r="I164" i="5"/>
  <c r="H164" i="5"/>
  <c r="G164" i="5"/>
  <c r="F164" i="5"/>
  <c r="E164" i="5"/>
  <c r="D164" i="5"/>
  <c r="C164" i="5"/>
  <c r="B164" i="5"/>
  <c r="L163" i="5"/>
  <c r="J163" i="5"/>
  <c r="I163" i="5"/>
  <c r="H163" i="5"/>
  <c r="G163" i="5"/>
  <c r="F163" i="5"/>
  <c r="E163" i="5"/>
  <c r="D163" i="5"/>
  <c r="C163" i="5"/>
  <c r="B163" i="5"/>
  <c r="L162" i="5"/>
  <c r="J162" i="5"/>
  <c r="I162" i="5"/>
  <c r="H162" i="5"/>
  <c r="G162" i="5"/>
  <c r="F162" i="5"/>
  <c r="E162" i="5"/>
  <c r="D162" i="5"/>
  <c r="C162" i="5"/>
  <c r="B162" i="5"/>
  <c r="L161" i="5"/>
  <c r="J161" i="5"/>
  <c r="I161" i="5"/>
  <c r="H161" i="5"/>
  <c r="G161" i="5"/>
  <c r="F161" i="5"/>
  <c r="E161" i="5"/>
  <c r="D161" i="5"/>
  <c r="C161" i="5"/>
  <c r="B161" i="5"/>
  <c r="L160" i="5"/>
  <c r="J160" i="5"/>
  <c r="I160" i="5"/>
  <c r="H160" i="5"/>
  <c r="G160" i="5"/>
  <c r="F160" i="5"/>
  <c r="E160" i="5"/>
  <c r="D160" i="5"/>
  <c r="C160" i="5"/>
  <c r="B160" i="5"/>
  <c r="L159" i="5"/>
  <c r="J159" i="5"/>
  <c r="I159" i="5"/>
  <c r="H159" i="5"/>
  <c r="G159" i="5"/>
  <c r="F159" i="5"/>
  <c r="E159" i="5"/>
  <c r="D159" i="5"/>
  <c r="C159" i="5"/>
  <c r="B159" i="5"/>
  <c r="L158" i="5"/>
  <c r="J158" i="5"/>
  <c r="I158" i="5"/>
  <c r="H158" i="5"/>
  <c r="G158" i="5"/>
  <c r="F158" i="5"/>
  <c r="E158" i="5"/>
  <c r="D158" i="5"/>
  <c r="C158" i="5"/>
  <c r="B158" i="5"/>
  <c r="L157" i="5"/>
  <c r="J157" i="5"/>
  <c r="I157" i="5"/>
  <c r="H157" i="5"/>
  <c r="G157" i="5"/>
  <c r="F157" i="5"/>
  <c r="E157" i="5"/>
  <c r="D157" i="5"/>
  <c r="C157" i="5"/>
  <c r="B157" i="5"/>
  <c r="L156" i="5"/>
  <c r="J156" i="5"/>
  <c r="I156" i="5"/>
  <c r="H156" i="5"/>
  <c r="G156" i="5"/>
  <c r="F156" i="5"/>
  <c r="E156" i="5"/>
  <c r="D156" i="5"/>
  <c r="C156" i="5"/>
  <c r="B156" i="5"/>
  <c r="L155" i="5"/>
  <c r="J155" i="5"/>
  <c r="I155" i="5"/>
  <c r="H155" i="5"/>
  <c r="G155" i="5"/>
  <c r="F155" i="5"/>
  <c r="E155" i="5"/>
  <c r="D155" i="5"/>
  <c r="C155" i="5"/>
  <c r="B155" i="5"/>
  <c r="L154" i="5"/>
  <c r="J154" i="5"/>
  <c r="I154" i="5"/>
  <c r="H154" i="5"/>
  <c r="G154" i="5"/>
  <c r="F154" i="5"/>
  <c r="E154" i="5"/>
  <c r="D154" i="5"/>
  <c r="C154" i="5"/>
  <c r="B154" i="5"/>
  <c r="L153" i="5"/>
  <c r="J153" i="5"/>
  <c r="I153" i="5"/>
  <c r="H153" i="5"/>
  <c r="G153" i="5"/>
  <c r="F153" i="5"/>
  <c r="E153" i="5"/>
  <c r="D153" i="5"/>
  <c r="C153" i="5"/>
  <c r="B153" i="5"/>
  <c r="L152" i="5"/>
  <c r="J152" i="5"/>
  <c r="I152" i="5"/>
  <c r="H152" i="5"/>
  <c r="G152" i="5"/>
  <c r="F152" i="5"/>
  <c r="E152" i="5"/>
  <c r="D152" i="5"/>
  <c r="C152" i="5"/>
  <c r="B152" i="5"/>
  <c r="L151" i="5"/>
  <c r="J151" i="5"/>
  <c r="I151" i="5"/>
  <c r="H151" i="5"/>
  <c r="G151" i="5"/>
  <c r="F151" i="5"/>
  <c r="E151" i="5"/>
  <c r="D151" i="5"/>
  <c r="C151" i="5"/>
  <c r="B151" i="5"/>
  <c r="L150" i="5"/>
  <c r="J150" i="5"/>
  <c r="I150" i="5"/>
  <c r="H150" i="5"/>
  <c r="G150" i="5"/>
  <c r="F150" i="5"/>
  <c r="E150" i="5"/>
  <c r="D150" i="5"/>
  <c r="C150" i="5"/>
  <c r="B150" i="5"/>
  <c r="L149" i="5"/>
  <c r="J149" i="5"/>
  <c r="I149" i="5"/>
  <c r="H149" i="5"/>
  <c r="G149" i="5"/>
  <c r="F149" i="5"/>
  <c r="E149" i="5"/>
  <c r="D149" i="5"/>
  <c r="C149" i="5"/>
  <c r="B149" i="5"/>
  <c r="L148" i="5"/>
  <c r="J148" i="5"/>
  <c r="I148" i="5"/>
  <c r="H148" i="5"/>
  <c r="G148" i="5"/>
  <c r="F148" i="5"/>
  <c r="E148" i="5"/>
  <c r="D148" i="5"/>
  <c r="C148" i="5"/>
  <c r="B148" i="5"/>
  <c r="L147" i="5"/>
  <c r="J147" i="5"/>
  <c r="I147" i="5"/>
  <c r="H147" i="5"/>
  <c r="G147" i="5"/>
  <c r="F147" i="5"/>
  <c r="E147" i="5"/>
  <c r="D147" i="5"/>
  <c r="C147" i="5"/>
  <c r="B147" i="5"/>
  <c r="L146" i="5"/>
  <c r="J146" i="5"/>
  <c r="I146" i="5"/>
  <c r="H146" i="5"/>
  <c r="G146" i="5"/>
  <c r="F146" i="5"/>
  <c r="E146" i="5"/>
  <c r="D146" i="5"/>
  <c r="C146" i="5"/>
  <c r="B146" i="5"/>
  <c r="L145" i="5"/>
  <c r="J145" i="5"/>
  <c r="I145" i="5"/>
  <c r="H145" i="5"/>
  <c r="G145" i="5"/>
  <c r="F145" i="5"/>
  <c r="E145" i="5"/>
  <c r="D145" i="5"/>
  <c r="C145" i="5"/>
  <c r="B145" i="5"/>
  <c r="L144" i="5"/>
  <c r="J144" i="5"/>
  <c r="I144" i="5"/>
  <c r="H144" i="5"/>
  <c r="G144" i="5"/>
  <c r="F144" i="5"/>
  <c r="E144" i="5"/>
  <c r="D144" i="5"/>
  <c r="C144" i="5"/>
  <c r="B144" i="5"/>
  <c r="L143" i="5"/>
  <c r="J143" i="5"/>
  <c r="I143" i="5"/>
  <c r="H143" i="5"/>
  <c r="G143" i="5"/>
  <c r="F143" i="5"/>
  <c r="E143" i="5"/>
  <c r="D143" i="5"/>
  <c r="C143" i="5"/>
  <c r="B143" i="5"/>
  <c r="L142" i="5"/>
  <c r="J142" i="5"/>
  <c r="I142" i="5"/>
  <c r="H142" i="5"/>
  <c r="G142" i="5"/>
  <c r="F142" i="5"/>
  <c r="E142" i="5"/>
  <c r="D142" i="5"/>
  <c r="C142" i="5"/>
  <c r="B142" i="5"/>
  <c r="L141" i="5"/>
  <c r="J141" i="5"/>
  <c r="I141" i="5"/>
  <c r="H141" i="5"/>
  <c r="G141" i="5"/>
  <c r="F141" i="5"/>
  <c r="E141" i="5"/>
  <c r="D141" i="5"/>
  <c r="C141" i="5"/>
  <c r="B141" i="5"/>
  <c r="L140" i="5"/>
  <c r="J140" i="5"/>
  <c r="I140" i="5"/>
  <c r="H140" i="5"/>
  <c r="G140" i="5"/>
  <c r="F140" i="5"/>
  <c r="E140" i="5"/>
  <c r="D140" i="5"/>
  <c r="C140" i="5"/>
  <c r="B140" i="5"/>
  <c r="L139" i="5"/>
  <c r="J139" i="5"/>
  <c r="I139" i="5"/>
  <c r="H139" i="5"/>
  <c r="G139" i="5"/>
  <c r="F139" i="5"/>
  <c r="E139" i="5"/>
  <c r="D139" i="5"/>
  <c r="C139" i="5"/>
  <c r="B139" i="5"/>
  <c r="L138" i="5"/>
  <c r="J138" i="5"/>
  <c r="I138" i="5"/>
  <c r="H138" i="5"/>
  <c r="G138" i="5"/>
  <c r="F138" i="5"/>
  <c r="E138" i="5"/>
  <c r="D138" i="5"/>
  <c r="C138" i="5"/>
  <c r="B138" i="5"/>
  <c r="L137" i="5"/>
  <c r="J137" i="5"/>
  <c r="I137" i="5"/>
  <c r="H137" i="5"/>
  <c r="G137" i="5"/>
  <c r="F137" i="5"/>
  <c r="E137" i="5"/>
  <c r="D137" i="5"/>
  <c r="C137" i="5"/>
  <c r="B137" i="5"/>
  <c r="L136" i="5"/>
  <c r="J136" i="5"/>
  <c r="I136" i="5"/>
  <c r="H136" i="5"/>
  <c r="G136" i="5"/>
  <c r="F136" i="5"/>
  <c r="E136" i="5"/>
  <c r="D136" i="5"/>
  <c r="C136" i="5"/>
  <c r="B136" i="5"/>
  <c r="L135" i="5"/>
  <c r="J135" i="5"/>
  <c r="I135" i="5"/>
  <c r="H135" i="5"/>
  <c r="G135" i="5"/>
  <c r="F135" i="5"/>
  <c r="E135" i="5"/>
  <c r="D135" i="5"/>
  <c r="C135" i="5"/>
  <c r="B135" i="5"/>
  <c r="L134" i="5"/>
  <c r="J134" i="5"/>
  <c r="I134" i="5"/>
  <c r="H134" i="5"/>
  <c r="G134" i="5"/>
  <c r="F134" i="5"/>
  <c r="E134" i="5"/>
  <c r="D134" i="5"/>
  <c r="C134" i="5"/>
  <c r="B134" i="5"/>
  <c r="L133" i="5"/>
  <c r="J133" i="5"/>
  <c r="I133" i="5"/>
  <c r="H133" i="5"/>
  <c r="G133" i="5"/>
  <c r="F133" i="5"/>
  <c r="E133" i="5"/>
  <c r="D133" i="5"/>
  <c r="C133" i="5"/>
  <c r="B133" i="5"/>
  <c r="L132" i="5"/>
  <c r="J132" i="5"/>
  <c r="I132" i="5"/>
  <c r="H132" i="5"/>
  <c r="G132" i="5"/>
  <c r="F132" i="5"/>
  <c r="E132" i="5"/>
  <c r="D132" i="5"/>
  <c r="C132" i="5"/>
  <c r="B132" i="5"/>
  <c r="L131" i="5"/>
  <c r="J131" i="5"/>
  <c r="I131" i="5"/>
  <c r="H131" i="5"/>
  <c r="G131" i="5"/>
  <c r="F131" i="5"/>
  <c r="E131" i="5"/>
  <c r="D131" i="5"/>
  <c r="C131" i="5"/>
  <c r="B131" i="5"/>
  <c r="L130" i="5"/>
  <c r="J130" i="5"/>
  <c r="I130" i="5"/>
  <c r="H130" i="5"/>
  <c r="G130" i="5"/>
  <c r="F130" i="5"/>
  <c r="E130" i="5"/>
  <c r="D130" i="5"/>
  <c r="C130" i="5"/>
  <c r="B130" i="5"/>
  <c r="L129" i="5"/>
  <c r="J129" i="5"/>
  <c r="I129" i="5"/>
  <c r="H129" i="5"/>
  <c r="G129" i="5"/>
  <c r="F129" i="5"/>
  <c r="E129" i="5"/>
  <c r="D129" i="5"/>
  <c r="C129" i="5"/>
  <c r="B129" i="5"/>
  <c r="L128" i="5"/>
  <c r="J128" i="5"/>
  <c r="I128" i="5"/>
  <c r="H128" i="5"/>
  <c r="G128" i="5"/>
  <c r="F128" i="5"/>
  <c r="E128" i="5"/>
  <c r="D128" i="5"/>
  <c r="C128" i="5"/>
  <c r="B128" i="5"/>
  <c r="L127" i="5"/>
  <c r="J127" i="5"/>
  <c r="I127" i="5"/>
  <c r="H127" i="5"/>
  <c r="G127" i="5"/>
  <c r="F127" i="5"/>
  <c r="E127" i="5"/>
  <c r="D127" i="5"/>
  <c r="C127" i="5"/>
  <c r="B127" i="5"/>
  <c r="L126" i="5"/>
  <c r="J126" i="5"/>
  <c r="I126" i="5"/>
  <c r="H126" i="5"/>
  <c r="G126" i="5"/>
  <c r="F126" i="5"/>
  <c r="E126" i="5"/>
  <c r="D126" i="5"/>
  <c r="C126" i="5"/>
  <c r="B126" i="5"/>
  <c r="L125" i="5"/>
  <c r="J125" i="5"/>
  <c r="I125" i="5"/>
  <c r="H125" i="5"/>
  <c r="G125" i="5"/>
  <c r="F125" i="5"/>
  <c r="E125" i="5"/>
  <c r="D125" i="5"/>
  <c r="C125" i="5"/>
  <c r="B125" i="5"/>
  <c r="L124" i="5"/>
  <c r="J124" i="5"/>
  <c r="I124" i="5"/>
  <c r="H124" i="5"/>
  <c r="G124" i="5"/>
  <c r="F124" i="5"/>
  <c r="E124" i="5"/>
  <c r="D124" i="5"/>
  <c r="C124" i="5"/>
  <c r="B124" i="5"/>
  <c r="L123" i="5"/>
  <c r="J123" i="5"/>
  <c r="I123" i="5"/>
  <c r="H123" i="5"/>
  <c r="G123" i="5"/>
  <c r="F123" i="5"/>
  <c r="E123" i="5"/>
  <c r="D123" i="5"/>
  <c r="C123" i="5"/>
  <c r="B123" i="5"/>
  <c r="L122" i="5"/>
  <c r="J122" i="5"/>
  <c r="I122" i="5"/>
  <c r="H122" i="5"/>
  <c r="G122" i="5"/>
  <c r="F122" i="5"/>
  <c r="E122" i="5"/>
  <c r="D122" i="5"/>
  <c r="C122" i="5"/>
  <c r="B122" i="5"/>
  <c r="L121" i="5"/>
  <c r="J121" i="5"/>
  <c r="I121" i="5"/>
  <c r="H121" i="5"/>
  <c r="G121" i="5"/>
  <c r="F121" i="5"/>
  <c r="E121" i="5"/>
  <c r="D121" i="5"/>
  <c r="C121" i="5"/>
  <c r="B121" i="5"/>
  <c r="L120" i="5"/>
  <c r="J120" i="5"/>
  <c r="I120" i="5"/>
  <c r="H120" i="5"/>
  <c r="G120" i="5"/>
  <c r="F120" i="5"/>
  <c r="E120" i="5"/>
  <c r="D120" i="5"/>
  <c r="C120" i="5"/>
  <c r="B120" i="5"/>
  <c r="L119" i="5"/>
  <c r="J119" i="5"/>
  <c r="I119" i="5"/>
  <c r="H119" i="5"/>
  <c r="G119" i="5"/>
  <c r="F119" i="5"/>
  <c r="E119" i="5"/>
  <c r="D119" i="5"/>
  <c r="C119" i="5"/>
  <c r="B119" i="5"/>
  <c r="L118" i="5"/>
  <c r="J118" i="5"/>
  <c r="I118" i="5"/>
  <c r="H118" i="5"/>
  <c r="G118" i="5"/>
  <c r="F118" i="5"/>
  <c r="E118" i="5"/>
  <c r="D118" i="5"/>
  <c r="C118" i="5"/>
  <c r="B118" i="5"/>
  <c r="L117" i="5"/>
  <c r="J117" i="5"/>
  <c r="I117" i="5"/>
  <c r="H117" i="5"/>
  <c r="G117" i="5"/>
  <c r="F117" i="5"/>
  <c r="E117" i="5"/>
  <c r="D117" i="5"/>
  <c r="C117" i="5"/>
  <c r="B117" i="5"/>
  <c r="L116" i="5"/>
  <c r="J116" i="5"/>
  <c r="I116" i="5"/>
  <c r="H116" i="5"/>
  <c r="G116" i="5"/>
  <c r="F116" i="5"/>
  <c r="E116" i="5"/>
  <c r="D116" i="5"/>
  <c r="C116" i="5"/>
  <c r="B116" i="5"/>
  <c r="L115" i="5"/>
  <c r="J115" i="5"/>
  <c r="I115" i="5"/>
  <c r="H115" i="5"/>
  <c r="G115" i="5"/>
  <c r="F115" i="5"/>
  <c r="E115" i="5"/>
  <c r="D115" i="5"/>
  <c r="C115" i="5"/>
  <c r="B115" i="5"/>
  <c r="L114" i="5"/>
  <c r="J114" i="5"/>
  <c r="I114" i="5"/>
  <c r="H114" i="5"/>
  <c r="G114" i="5"/>
  <c r="F114" i="5"/>
  <c r="E114" i="5"/>
  <c r="D114" i="5"/>
  <c r="C114" i="5"/>
  <c r="B114" i="5"/>
  <c r="L113" i="5"/>
  <c r="J113" i="5"/>
  <c r="I113" i="5"/>
  <c r="H113" i="5"/>
  <c r="G113" i="5"/>
  <c r="F113" i="5"/>
  <c r="E113" i="5"/>
  <c r="D113" i="5"/>
  <c r="C113" i="5"/>
  <c r="B113" i="5"/>
  <c r="L112" i="5"/>
  <c r="J112" i="5"/>
  <c r="I112" i="5"/>
  <c r="H112" i="5"/>
  <c r="G112" i="5"/>
  <c r="F112" i="5"/>
  <c r="E112" i="5"/>
  <c r="D112" i="5"/>
  <c r="C112" i="5"/>
  <c r="B112" i="5"/>
  <c r="L111" i="5"/>
  <c r="J111" i="5"/>
  <c r="I111" i="5"/>
  <c r="H111" i="5"/>
  <c r="G111" i="5"/>
  <c r="F111" i="5"/>
  <c r="E111" i="5"/>
  <c r="D111" i="5"/>
  <c r="C111" i="5"/>
  <c r="B111" i="5"/>
  <c r="L110" i="5"/>
  <c r="J110" i="5"/>
  <c r="I110" i="5"/>
  <c r="H110" i="5"/>
  <c r="G110" i="5"/>
  <c r="F110" i="5"/>
  <c r="E110" i="5"/>
  <c r="D110" i="5"/>
  <c r="C110" i="5"/>
  <c r="B110" i="5"/>
  <c r="L109" i="5"/>
  <c r="J109" i="5"/>
  <c r="I109" i="5"/>
  <c r="H109" i="5"/>
  <c r="G109" i="5"/>
  <c r="F109" i="5"/>
  <c r="E109" i="5"/>
  <c r="D109" i="5"/>
  <c r="C109" i="5"/>
  <c r="B109" i="5"/>
  <c r="L108" i="5"/>
  <c r="J108" i="5"/>
  <c r="I108" i="5"/>
  <c r="H108" i="5"/>
  <c r="G108" i="5"/>
  <c r="F108" i="5"/>
  <c r="E108" i="5"/>
  <c r="D108" i="5"/>
  <c r="C108" i="5"/>
  <c r="B108" i="5"/>
  <c r="L107" i="5"/>
  <c r="J107" i="5"/>
  <c r="I107" i="5"/>
  <c r="H107" i="5"/>
  <c r="G107" i="5"/>
  <c r="F107" i="5"/>
  <c r="E107" i="5"/>
  <c r="D107" i="5"/>
  <c r="C107" i="5"/>
  <c r="B107" i="5"/>
  <c r="L106" i="5"/>
  <c r="J106" i="5"/>
  <c r="I106" i="5"/>
  <c r="H106" i="5"/>
  <c r="G106" i="5"/>
  <c r="F106" i="5"/>
  <c r="E106" i="5"/>
  <c r="D106" i="5"/>
  <c r="C106" i="5"/>
  <c r="B106" i="5"/>
  <c r="L105" i="5"/>
  <c r="J105" i="5"/>
  <c r="I105" i="5"/>
  <c r="H105" i="5"/>
  <c r="G105" i="5"/>
  <c r="F105" i="5"/>
  <c r="E105" i="5"/>
  <c r="D105" i="5"/>
  <c r="C105" i="5"/>
  <c r="B105" i="5"/>
  <c r="L104" i="5"/>
  <c r="J104" i="5"/>
  <c r="I104" i="5"/>
  <c r="H104" i="5"/>
  <c r="G104" i="5"/>
  <c r="F104" i="5"/>
  <c r="E104" i="5"/>
  <c r="D104" i="5"/>
  <c r="C104" i="5"/>
  <c r="B104" i="5"/>
  <c r="L103" i="5"/>
  <c r="J103" i="5"/>
  <c r="I103" i="5"/>
  <c r="H103" i="5"/>
  <c r="G103" i="5"/>
  <c r="F103" i="5"/>
  <c r="E103" i="5"/>
  <c r="D103" i="5"/>
  <c r="C103" i="5"/>
  <c r="B103" i="5"/>
  <c r="L102" i="5"/>
  <c r="J102" i="5"/>
  <c r="I102" i="5"/>
  <c r="H102" i="5"/>
  <c r="G102" i="5"/>
  <c r="F102" i="5"/>
  <c r="E102" i="5"/>
  <c r="D102" i="5"/>
  <c r="C102" i="5"/>
  <c r="B102" i="5"/>
  <c r="L101" i="5"/>
  <c r="J101" i="5"/>
  <c r="I101" i="5"/>
  <c r="H101" i="5"/>
  <c r="G101" i="5"/>
  <c r="F101" i="5"/>
  <c r="E101" i="5"/>
  <c r="D101" i="5"/>
  <c r="C101" i="5"/>
  <c r="B101" i="5"/>
  <c r="L100" i="5"/>
  <c r="J100" i="5"/>
  <c r="I100" i="5"/>
  <c r="H100" i="5"/>
  <c r="G100" i="5"/>
  <c r="F100" i="5"/>
  <c r="E100" i="5"/>
  <c r="D100" i="5"/>
  <c r="C100" i="5"/>
  <c r="B100" i="5"/>
  <c r="L99" i="5"/>
  <c r="J99" i="5"/>
  <c r="I99" i="5"/>
  <c r="H99" i="5"/>
  <c r="G99" i="5"/>
  <c r="F99" i="5"/>
  <c r="E99" i="5"/>
  <c r="D99" i="5"/>
  <c r="C99" i="5"/>
  <c r="B99" i="5"/>
  <c r="L98" i="5"/>
  <c r="J98" i="5"/>
  <c r="I98" i="5"/>
  <c r="H98" i="5"/>
  <c r="G98" i="5"/>
  <c r="F98" i="5"/>
  <c r="E98" i="5"/>
  <c r="D98" i="5"/>
  <c r="C98" i="5"/>
  <c r="B98" i="5"/>
  <c r="L97" i="5"/>
  <c r="J97" i="5"/>
  <c r="I97" i="5"/>
  <c r="H97" i="5"/>
  <c r="G97" i="5"/>
  <c r="F97" i="5"/>
  <c r="E97" i="5"/>
  <c r="D97" i="5"/>
  <c r="C97" i="5"/>
  <c r="B97" i="5"/>
  <c r="L96" i="5"/>
  <c r="J96" i="5"/>
  <c r="I96" i="5"/>
  <c r="H96" i="5"/>
  <c r="G96" i="5"/>
  <c r="F96" i="5"/>
  <c r="E96" i="5"/>
  <c r="D96" i="5"/>
  <c r="C96" i="5"/>
  <c r="B96" i="5"/>
  <c r="L95" i="5"/>
  <c r="J95" i="5"/>
  <c r="I95" i="5"/>
  <c r="H95" i="5"/>
  <c r="G95" i="5"/>
  <c r="F95" i="5"/>
  <c r="E95" i="5"/>
  <c r="D95" i="5"/>
  <c r="C95" i="5"/>
  <c r="B95" i="5"/>
  <c r="L94" i="5"/>
  <c r="J94" i="5"/>
  <c r="I94" i="5"/>
  <c r="H94" i="5"/>
  <c r="G94" i="5"/>
  <c r="F94" i="5"/>
  <c r="E94" i="5"/>
  <c r="D94" i="5"/>
  <c r="C94" i="5"/>
  <c r="B94" i="5"/>
  <c r="L93" i="5"/>
  <c r="J93" i="5"/>
  <c r="I93" i="5"/>
  <c r="H93" i="5"/>
  <c r="G93" i="5"/>
  <c r="F93" i="5"/>
  <c r="E93" i="5"/>
  <c r="D93" i="5"/>
  <c r="C93" i="5"/>
  <c r="B93" i="5"/>
  <c r="L92" i="5"/>
  <c r="J92" i="5"/>
  <c r="I92" i="5"/>
  <c r="H92" i="5"/>
  <c r="G92" i="5"/>
  <c r="F92" i="5"/>
  <c r="E92" i="5"/>
  <c r="D92" i="5"/>
  <c r="C92" i="5"/>
  <c r="B92" i="5"/>
  <c r="L91" i="5"/>
  <c r="J91" i="5"/>
  <c r="I91" i="5"/>
  <c r="H91" i="5"/>
  <c r="G91" i="5"/>
  <c r="F91" i="5"/>
  <c r="E91" i="5"/>
  <c r="D91" i="5"/>
  <c r="C91" i="5"/>
  <c r="B91" i="5"/>
  <c r="L90" i="5"/>
  <c r="J90" i="5"/>
  <c r="I90" i="5"/>
  <c r="H90" i="5"/>
  <c r="G90" i="5"/>
  <c r="F90" i="5"/>
  <c r="E90" i="5"/>
  <c r="D90" i="5"/>
  <c r="C90" i="5"/>
  <c r="B90" i="5"/>
  <c r="L89" i="5"/>
  <c r="J89" i="5"/>
  <c r="I89" i="5"/>
  <c r="H89" i="5"/>
  <c r="G89" i="5"/>
  <c r="F89" i="5"/>
  <c r="E89" i="5"/>
  <c r="D89" i="5"/>
  <c r="C89" i="5"/>
  <c r="B89" i="5"/>
  <c r="L88" i="5"/>
  <c r="J88" i="5"/>
  <c r="I88" i="5"/>
  <c r="H88" i="5"/>
  <c r="G88" i="5"/>
  <c r="F88" i="5"/>
  <c r="E88" i="5"/>
  <c r="D88" i="5"/>
  <c r="C88" i="5"/>
  <c r="B88" i="5"/>
  <c r="L87" i="5"/>
  <c r="J87" i="5"/>
  <c r="I87" i="5"/>
  <c r="H87" i="5"/>
  <c r="G87" i="5"/>
  <c r="F87" i="5"/>
  <c r="E87" i="5"/>
  <c r="D87" i="5"/>
  <c r="C87" i="5"/>
  <c r="B87" i="5"/>
  <c r="L86" i="5"/>
  <c r="J86" i="5"/>
  <c r="I86" i="5"/>
  <c r="H86" i="5"/>
  <c r="G86" i="5"/>
  <c r="F86" i="5"/>
  <c r="E86" i="5"/>
  <c r="D86" i="5"/>
  <c r="C86" i="5"/>
  <c r="B86" i="5"/>
  <c r="L85" i="5"/>
  <c r="J85" i="5"/>
  <c r="I85" i="5"/>
  <c r="H85" i="5"/>
  <c r="G85" i="5"/>
  <c r="F85" i="5"/>
  <c r="E85" i="5"/>
  <c r="D85" i="5"/>
  <c r="C85" i="5"/>
  <c r="B85" i="5"/>
  <c r="L84" i="5"/>
  <c r="J84" i="5"/>
  <c r="I84" i="5"/>
  <c r="H84" i="5"/>
  <c r="G84" i="5"/>
  <c r="F84" i="5"/>
  <c r="E84" i="5"/>
  <c r="D84" i="5"/>
  <c r="C84" i="5"/>
  <c r="B84" i="5"/>
  <c r="L83" i="5"/>
  <c r="J83" i="5"/>
  <c r="I83" i="5"/>
  <c r="H83" i="5"/>
  <c r="G83" i="5"/>
  <c r="F83" i="5"/>
  <c r="E83" i="5"/>
  <c r="D83" i="5"/>
  <c r="C83" i="5"/>
  <c r="B83" i="5"/>
  <c r="L82" i="5"/>
  <c r="J82" i="5"/>
  <c r="I82" i="5"/>
  <c r="H82" i="5"/>
  <c r="G82" i="5"/>
  <c r="F82" i="5"/>
  <c r="E82" i="5"/>
  <c r="D82" i="5"/>
  <c r="C82" i="5"/>
  <c r="B82" i="5"/>
  <c r="L81" i="5"/>
  <c r="J81" i="5"/>
  <c r="I81" i="5"/>
  <c r="H81" i="5"/>
  <c r="G81" i="5"/>
  <c r="F81" i="5"/>
  <c r="E81" i="5"/>
  <c r="D81" i="5"/>
  <c r="C81" i="5"/>
  <c r="B81" i="5"/>
  <c r="L80" i="5"/>
  <c r="J80" i="5"/>
  <c r="I80" i="5"/>
  <c r="H80" i="5"/>
  <c r="G80" i="5"/>
  <c r="F80" i="5"/>
  <c r="E80" i="5"/>
  <c r="D80" i="5"/>
  <c r="C80" i="5"/>
  <c r="B80" i="5"/>
  <c r="L79" i="5"/>
  <c r="J79" i="5"/>
  <c r="I79" i="5"/>
  <c r="H79" i="5"/>
  <c r="G79" i="5"/>
  <c r="F79" i="5"/>
  <c r="E79" i="5"/>
  <c r="D79" i="5"/>
  <c r="C79" i="5"/>
  <c r="B79" i="5"/>
  <c r="L78" i="5"/>
  <c r="J78" i="5"/>
  <c r="I78" i="5"/>
  <c r="H78" i="5"/>
  <c r="G78" i="5"/>
  <c r="F78" i="5"/>
  <c r="E78" i="5"/>
  <c r="D78" i="5"/>
  <c r="C78" i="5"/>
  <c r="B78" i="5"/>
  <c r="L77" i="5"/>
  <c r="J77" i="5"/>
  <c r="I77" i="5"/>
  <c r="H77" i="5"/>
  <c r="G77" i="5"/>
  <c r="F77" i="5"/>
  <c r="E77" i="5"/>
  <c r="D77" i="5"/>
  <c r="C77" i="5"/>
  <c r="B77" i="5"/>
  <c r="L76" i="5"/>
  <c r="J76" i="5"/>
  <c r="I76" i="5"/>
  <c r="H76" i="5"/>
  <c r="G76" i="5"/>
  <c r="F76" i="5"/>
  <c r="E76" i="5"/>
  <c r="D76" i="5"/>
  <c r="C76" i="5"/>
  <c r="B76" i="5"/>
  <c r="L75" i="5"/>
  <c r="J75" i="5"/>
  <c r="I75" i="5"/>
  <c r="H75" i="5"/>
  <c r="G75" i="5"/>
  <c r="F75" i="5"/>
  <c r="E75" i="5"/>
  <c r="D75" i="5"/>
  <c r="C75" i="5"/>
  <c r="B75" i="5"/>
  <c r="L74" i="5"/>
  <c r="J74" i="5"/>
  <c r="I74" i="5"/>
  <c r="H74" i="5"/>
  <c r="G74" i="5"/>
  <c r="F74" i="5"/>
  <c r="E74" i="5"/>
  <c r="D74" i="5"/>
  <c r="C74" i="5"/>
  <c r="B74" i="5"/>
  <c r="L73" i="5"/>
  <c r="J73" i="5"/>
  <c r="I73" i="5"/>
  <c r="H73" i="5"/>
  <c r="G73" i="5"/>
  <c r="F73" i="5"/>
  <c r="E73" i="5"/>
  <c r="D73" i="5"/>
  <c r="C73" i="5"/>
  <c r="B73" i="5"/>
  <c r="L72" i="5"/>
  <c r="J72" i="5"/>
  <c r="I72" i="5"/>
  <c r="H72" i="5"/>
  <c r="G72" i="5"/>
  <c r="F72" i="5"/>
  <c r="E72" i="5"/>
  <c r="D72" i="5"/>
  <c r="C72" i="5"/>
  <c r="B72" i="5"/>
  <c r="L71" i="5"/>
  <c r="J71" i="5"/>
  <c r="I71" i="5"/>
  <c r="H71" i="5"/>
  <c r="G71" i="5"/>
  <c r="F71" i="5"/>
  <c r="E71" i="5"/>
  <c r="D71" i="5"/>
  <c r="C71" i="5"/>
  <c r="B71" i="5"/>
  <c r="L70" i="5"/>
  <c r="J70" i="5"/>
  <c r="I70" i="5"/>
  <c r="H70" i="5"/>
  <c r="G70" i="5"/>
  <c r="F70" i="5"/>
  <c r="E70" i="5"/>
  <c r="D70" i="5"/>
  <c r="C70" i="5"/>
  <c r="B70" i="5"/>
  <c r="L69" i="5"/>
  <c r="J69" i="5"/>
  <c r="I69" i="5"/>
  <c r="H69" i="5"/>
  <c r="G69" i="5"/>
  <c r="F69" i="5"/>
  <c r="E69" i="5"/>
  <c r="D69" i="5"/>
  <c r="C69" i="5"/>
  <c r="B69" i="5"/>
  <c r="L68" i="5"/>
  <c r="J68" i="5"/>
  <c r="I68" i="5"/>
  <c r="H68" i="5"/>
  <c r="G68" i="5"/>
  <c r="F68" i="5"/>
  <c r="E68" i="5"/>
  <c r="D68" i="5"/>
  <c r="C68" i="5"/>
  <c r="B68" i="5"/>
  <c r="L67" i="5"/>
  <c r="J67" i="5"/>
  <c r="I67" i="5"/>
  <c r="H67" i="5"/>
  <c r="G67" i="5"/>
  <c r="F67" i="5"/>
  <c r="E67" i="5"/>
  <c r="D67" i="5"/>
  <c r="C67" i="5"/>
  <c r="B67" i="5"/>
  <c r="L66" i="5"/>
  <c r="J66" i="5"/>
  <c r="I66" i="5"/>
  <c r="H66" i="5"/>
  <c r="G66" i="5"/>
  <c r="F66" i="5"/>
  <c r="E66" i="5"/>
  <c r="D66" i="5"/>
  <c r="C66" i="5"/>
  <c r="B66" i="5"/>
  <c r="L65" i="5"/>
  <c r="J65" i="5"/>
  <c r="I65" i="5"/>
  <c r="H65" i="5"/>
  <c r="G65" i="5"/>
  <c r="F65" i="5"/>
  <c r="E65" i="5"/>
  <c r="D65" i="5"/>
  <c r="C65" i="5"/>
  <c r="B65" i="5"/>
  <c r="L64" i="5"/>
  <c r="J64" i="5"/>
  <c r="I64" i="5"/>
  <c r="H64" i="5"/>
  <c r="G64" i="5"/>
  <c r="F64" i="5"/>
  <c r="E64" i="5"/>
  <c r="D64" i="5"/>
  <c r="C64" i="5"/>
  <c r="B64" i="5"/>
  <c r="L63" i="5"/>
  <c r="J63" i="5"/>
  <c r="I63" i="5"/>
  <c r="H63" i="5"/>
  <c r="G63" i="5"/>
  <c r="F63" i="5"/>
  <c r="E63" i="5"/>
  <c r="D63" i="5"/>
  <c r="C63" i="5"/>
  <c r="B63" i="5"/>
  <c r="L62" i="5"/>
  <c r="J62" i="5"/>
  <c r="I62" i="5"/>
  <c r="H62" i="5"/>
  <c r="G62" i="5"/>
  <c r="F62" i="5"/>
  <c r="E62" i="5"/>
  <c r="D62" i="5"/>
  <c r="C62" i="5"/>
  <c r="B62" i="5"/>
  <c r="L61" i="5"/>
  <c r="J61" i="5"/>
  <c r="I61" i="5"/>
  <c r="H61" i="5"/>
  <c r="G61" i="5"/>
  <c r="F61" i="5"/>
  <c r="E61" i="5"/>
  <c r="D61" i="5"/>
  <c r="C61" i="5"/>
  <c r="B61" i="5"/>
  <c r="L60" i="5"/>
  <c r="J60" i="5"/>
  <c r="I60" i="5"/>
  <c r="H60" i="5"/>
  <c r="G60" i="5"/>
  <c r="F60" i="5"/>
  <c r="E60" i="5"/>
  <c r="D60" i="5"/>
  <c r="C60" i="5"/>
  <c r="B60" i="5"/>
  <c r="L59" i="5"/>
  <c r="J59" i="5"/>
  <c r="I59" i="5"/>
  <c r="H59" i="5"/>
  <c r="G59" i="5"/>
  <c r="F59" i="5"/>
  <c r="E59" i="5"/>
  <c r="D59" i="5"/>
  <c r="C59" i="5"/>
  <c r="B59" i="5"/>
  <c r="L58" i="5"/>
  <c r="J58" i="5"/>
  <c r="I58" i="5"/>
  <c r="H58" i="5"/>
  <c r="G58" i="5"/>
  <c r="F58" i="5"/>
  <c r="E58" i="5"/>
  <c r="D58" i="5"/>
  <c r="C58" i="5"/>
  <c r="B58" i="5"/>
  <c r="L57" i="5"/>
  <c r="J57" i="5"/>
  <c r="I57" i="5"/>
  <c r="H57" i="5"/>
  <c r="G57" i="5"/>
  <c r="F57" i="5"/>
  <c r="E57" i="5"/>
  <c r="D57" i="5"/>
  <c r="C57" i="5"/>
  <c r="B57" i="5"/>
  <c r="L56" i="5"/>
  <c r="J56" i="5"/>
  <c r="I56" i="5"/>
  <c r="H56" i="5"/>
  <c r="G56" i="5"/>
  <c r="F56" i="5"/>
  <c r="E56" i="5"/>
  <c r="D56" i="5"/>
  <c r="C56" i="5"/>
  <c r="B56" i="5"/>
  <c r="L55" i="5"/>
  <c r="J55" i="5"/>
  <c r="I55" i="5"/>
  <c r="H55" i="5"/>
  <c r="G55" i="5"/>
  <c r="F55" i="5"/>
  <c r="E55" i="5"/>
  <c r="D55" i="5"/>
  <c r="C55" i="5"/>
  <c r="B55" i="5"/>
  <c r="L54" i="5"/>
  <c r="J54" i="5"/>
  <c r="I54" i="5"/>
  <c r="H54" i="5"/>
  <c r="G54" i="5"/>
  <c r="F54" i="5"/>
  <c r="E54" i="5"/>
  <c r="D54" i="5"/>
  <c r="C54" i="5"/>
  <c r="B54" i="5"/>
  <c r="L53" i="5"/>
  <c r="J53" i="5"/>
  <c r="I53" i="5"/>
  <c r="H53" i="5"/>
  <c r="G53" i="5"/>
  <c r="F53" i="5"/>
  <c r="E53" i="5"/>
  <c r="D53" i="5"/>
  <c r="C53" i="5"/>
  <c r="B53" i="5"/>
  <c r="L52" i="5"/>
  <c r="J52" i="5"/>
  <c r="I52" i="5"/>
  <c r="H52" i="5"/>
  <c r="G52" i="5"/>
  <c r="F52" i="5"/>
  <c r="E52" i="5"/>
  <c r="D52" i="5"/>
  <c r="C52" i="5"/>
  <c r="B52" i="5"/>
  <c r="L51" i="5"/>
  <c r="J51" i="5"/>
  <c r="I51" i="5"/>
  <c r="H51" i="5"/>
  <c r="G51" i="5"/>
  <c r="F51" i="5"/>
  <c r="E51" i="5"/>
  <c r="D51" i="5"/>
  <c r="C51" i="5"/>
  <c r="B51" i="5"/>
  <c r="L50" i="5"/>
  <c r="J50" i="5"/>
  <c r="I50" i="5"/>
  <c r="H50" i="5"/>
  <c r="G50" i="5"/>
  <c r="F50" i="5"/>
  <c r="E50" i="5"/>
  <c r="D50" i="5"/>
  <c r="C50" i="5"/>
  <c r="B50" i="5"/>
  <c r="L49" i="5"/>
  <c r="J49" i="5"/>
  <c r="I49" i="5"/>
  <c r="H49" i="5"/>
  <c r="G49" i="5"/>
  <c r="F49" i="5"/>
  <c r="E49" i="5"/>
  <c r="D49" i="5"/>
  <c r="C49" i="5"/>
  <c r="B49" i="5"/>
  <c r="L48" i="5"/>
  <c r="J48" i="5"/>
  <c r="I48" i="5"/>
  <c r="H48" i="5"/>
  <c r="G48" i="5"/>
  <c r="F48" i="5"/>
  <c r="E48" i="5"/>
  <c r="D48" i="5"/>
  <c r="C48" i="5"/>
  <c r="B48" i="5"/>
  <c r="L47" i="5"/>
  <c r="J47" i="5"/>
  <c r="I47" i="5"/>
  <c r="H47" i="5"/>
  <c r="G47" i="5"/>
  <c r="F47" i="5"/>
  <c r="E47" i="5"/>
  <c r="D47" i="5"/>
  <c r="C47" i="5"/>
  <c r="B47" i="5"/>
  <c r="L46" i="5"/>
  <c r="J46" i="5"/>
  <c r="I46" i="5"/>
  <c r="H46" i="5"/>
  <c r="G46" i="5"/>
  <c r="F46" i="5"/>
  <c r="E46" i="5"/>
  <c r="D46" i="5"/>
  <c r="C46" i="5"/>
  <c r="B46" i="5"/>
  <c r="L45" i="5"/>
  <c r="J45" i="5"/>
  <c r="I45" i="5"/>
  <c r="H45" i="5"/>
  <c r="G45" i="5"/>
  <c r="F45" i="5"/>
  <c r="E45" i="5"/>
  <c r="D45" i="5"/>
  <c r="C45" i="5"/>
  <c r="B45" i="5"/>
  <c r="L44" i="5"/>
  <c r="J44" i="5"/>
  <c r="I44" i="5"/>
  <c r="H44" i="5"/>
  <c r="G44" i="5"/>
  <c r="F44" i="5"/>
  <c r="E44" i="5"/>
  <c r="D44" i="5"/>
  <c r="C44" i="5"/>
  <c r="B44" i="5"/>
  <c r="L43" i="5"/>
  <c r="J43" i="5"/>
  <c r="I43" i="5"/>
  <c r="H43" i="5"/>
  <c r="G43" i="5"/>
  <c r="F43" i="5"/>
  <c r="E43" i="5"/>
  <c r="D43" i="5"/>
  <c r="C43" i="5"/>
  <c r="B43" i="5"/>
  <c r="L42" i="5"/>
  <c r="J42" i="5"/>
  <c r="I42" i="5"/>
  <c r="H42" i="5"/>
  <c r="G42" i="5"/>
  <c r="F42" i="5"/>
  <c r="E42" i="5"/>
  <c r="D42" i="5"/>
  <c r="C42" i="5"/>
  <c r="B42" i="5"/>
  <c r="L41" i="5"/>
  <c r="J41" i="5"/>
  <c r="I41" i="5"/>
  <c r="H41" i="5"/>
  <c r="G41" i="5"/>
  <c r="F41" i="5"/>
  <c r="E41" i="5"/>
  <c r="D41" i="5"/>
  <c r="C41" i="5"/>
  <c r="B41" i="5"/>
  <c r="L40" i="5"/>
  <c r="J40" i="5"/>
  <c r="I40" i="5"/>
  <c r="H40" i="5"/>
  <c r="G40" i="5"/>
  <c r="F40" i="5"/>
  <c r="E40" i="5"/>
  <c r="D40" i="5"/>
  <c r="C40" i="5"/>
  <c r="B40" i="5"/>
  <c r="L39" i="5"/>
  <c r="J39" i="5"/>
  <c r="I39" i="5"/>
  <c r="H39" i="5"/>
  <c r="G39" i="5"/>
  <c r="F39" i="5"/>
  <c r="E39" i="5"/>
  <c r="D39" i="5"/>
  <c r="C39" i="5"/>
  <c r="B39" i="5"/>
  <c r="L38" i="5"/>
  <c r="J38" i="5"/>
  <c r="I38" i="5"/>
  <c r="H38" i="5"/>
  <c r="G38" i="5"/>
  <c r="F38" i="5"/>
  <c r="E38" i="5"/>
  <c r="D38" i="5"/>
  <c r="C38" i="5"/>
  <c r="B38" i="5"/>
  <c r="L37" i="5"/>
  <c r="J37" i="5"/>
  <c r="I37" i="5"/>
  <c r="H37" i="5"/>
  <c r="G37" i="5"/>
  <c r="F37" i="5"/>
  <c r="E37" i="5"/>
  <c r="D37" i="5"/>
  <c r="C37" i="5"/>
  <c r="B37" i="5"/>
  <c r="L36" i="5"/>
  <c r="J36" i="5"/>
  <c r="I36" i="5"/>
  <c r="H36" i="5"/>
  <c r="G36" i="5"/>
  <c r="F36" i="5"/>
  <c r="E36" i="5"/>
  <c r="D36" i="5"/>
  <c r="C36" i="5"/>
  <c r="B36" i="5"/>
  <c r="L35" i="5"/>
  <c r="J35" i="5"/>
  <c r="I35" i="5"/>
  <c r="H35" i="5"/>
  <c r="G35" i="5"/>
  <c r="F35" i="5"/>
  <c r="E35" i="5"/>
  <c r="D35" i="5"/>
  <c r="C35" i="5"/>
  <c r="B35" i="5"/>
  <c r="L34" i="5"/>
  <c r="J34" i="5"/>
  <c r="I34" i="5"/>
  <c r="H34" i="5"/>
  <c r="G34" i="5"/>
  <c r="F34" i="5"/>
  <c r="E34" i="5"/>
  <c r="D34" i="5"/>
  <c r="C34" i="5"/>
  <c r="B34" i="5"/>
  <c r="L33" i="5"/>
  <c r="J33" i="5"/>
  <c r="I33" i="5"/>
  <c r="H33" i="5"/>
  <c r="G33" i="5"/>
  <c r="F33" i="5"/>
  <c r="E33" i="5"/>
  <c r="D33" i="5"/>
  <c r="C33" i="5"/>
  <c r="B33" i="5"/>
  <c r="L32" i="5"/>
  <c r="J32" i="5"/>
  <c r="I32" i="5"/>
  <c r="H32" i="5"/>
  <c r="G32" i="5"/>
  <c r="F32" i="5"/>
  <c r="E32" i="5"/>
  <c r="D32" i="5"/>
  <c r="C32" i="5"/>
  <c r="B32" i="5"/>
  <c r="L31" i="5"/>
  <c r="J31" i="5"/>
  <c r="I31" i="5"/>
  <c r="H31" i="5"/>
  <c r="G31" i="5"/>
  <c r="F31" i="5"/>
  <c r="E31" i="5"/>
  <c r="D31" i="5"/>
  <c r="C31" i="5"/>
  <c r="B31" i="5"/>
  <c r="L30" i="5"/>
  <c r="J30" i="5"/>
  <c r="I30" i="5"/>
  <c r="H30" i="5"/>
  <c r="G30" i="5"/>
  <c r="F30" i="5"/>
  <c r="E30" i="5"/>
  <c r="D30" i="5"/>
  <c r="C30" i="5"/>
  <c r="B30" i="5"/>
  <c r="L29" i="5"/>
  <c r="J29" i="5"/>
  <c r="I29" i="5"/>
  <c r="H29" i="5"/>
  <c r="G29" i="5"/>
  <c r="F29" i="5"/>
  <c r="E29" i="5"/>
  <c r="D29" i="5"/>
  <c r="C29" i="5"/>
  <c r="B29" i="5"/>
  <c r="L28" i="5"/>
  <c r="J28" i="5"/>
  <c r="I28" i="5"/>
  <c r="H28" i="5"/>
  <c r="G28" i="5"/>
  <c r="F28" i="5"/>
  <c r="E28" i="5"/>
  <c r="D28" i="5"/>
  <c r="C28" i="5"/>
  <c r="B28" i="5"/>
  <c r="L27" i="5"/>
  <c r="J27" i="5"/>
  <c r="I27" i="5"/>
  <c r="H27" i="5"/>
  <c r="G27" i="5"/>
  <c r="F27" i="5"/>
  <c r="E27" i="5"/>
  <c r="D27" i="5"/>
  <c r="C27" i="5"/>
  <c r="B27" i="5"/>
  <c r="L26" i="5"/>
  <c r="J26" i="5"/>
  <c r="I26" i="5"/>
  <c r="H26" i="5"/>
  <c r="G26" i="5"/>
  <c r="F26" i="5"/>
  <c r="E26" i="5"/>
  <c r="D26" i="5"/>
  <c r="C26" i="5"/>
  <c r="B26" i="5"/>
  <c r="L25" i="5"/>
  <c r="J25" i="5"/>
  <c r="I25" i="5"/>
  <c r="H25" i="5"/>
  <c r="G25" i="5"/>
  <c r="F25" i="5"/>
  <c r="E25" i="5"/>
  <c r="D25" i="5"/>
  <c r="C25" i="5"/>
  <c r="B25" i="5"/>
  <c r="L24" i="5"/>
  <c r="J24" i="5"/>
  <c r="I24" i="5"/>
  <c r="H24" i="5"/>
  <c r="G24" i="5"/>
  <c r="F24" i="5"/>
  <c r="E24" i="5"/>
  <c r="D24" i="5"/>
  <c r="C24" i="5"/>
  <c r="B24" i="5"/>
  <c r="L23" i="5"/>
  <c r="J23" i="5"/>
  <c r="I23" i="5"/>
  <c r="H23" i="5"/>
  <c r="G23" i="5"/>
  <c r="F23" i="5"/>
  <c r="E23" i="5"/>
  <c r="D23" i="5"/>
  <c r="C23" i="5"/>
  <c r="B23" i="5"/>
  <c r="L22" i="5"/>
  <c r="J22" i="5"/>
  <c r="I22" i="5"/>
  <c r="H22" i="5"/>
  <c r="G22" i="5"/>
  <c r="F22" i="5"/>
  <c r="E22" i="5"/>
  <c r="D22" i="5"/>
  <c r="C22" i="5"/>
  <c r="B22" i="5"/>
  <c r="L21" i="5"/>
  <c r="J21" i="5"/>
  <c r="I21" i="5"/>
  <c r="H21" i="5"/>
  <c r="G21" i="5"/>
  <c r="F21" i="5"/>
  <c r="E21" i="5"/>
  <c r="D21" i="5"/>
  <c r="C21" i="5"/>
  <c r="B21" i="5"/>
  <c r="L20" i="5"/>
  <c r="J20" i="5"/>
  <c r="I20" i="5"/>
  <c r="H20" i="5"/>
  <c r="G20" i="5"/>
  <c r="F20" i="5"/>
  <c r="E20" i="5"/>
  <c r="D20" i="5"/>
  <c r="C20" i="5"/>
  <c r="B20" i="5"/>
  <c r="L19" i="5"/>
  <c r="J19" i="5"/>
  <c r="I19" i="5"/>
  <c r="H19" i="5"/>
  <c r="G19" i="5"/>
  <c r="F19" i="5"/>
  <c r="E19" i="5"/>
  <c r="D19" i="5"/>
  <c r="C19" i="5"/>
  <c r="B19" i="5"/>
  <c r="L18" i="5"/>
  <c r="J18" i="5"/>
  <c r="I18" i="5"/>
  <c r="H18" i="5"/>
  <c r="G18" i="5"/>
  <c r="F18" i="5"/>
  <c r="E18" i="5"/>
  <c r="D18" i="5"/>
  <c r="C18" i="5"/>
  <c r="B18" i="5"/>
  <c r="L17" i="5"/>
  <c r="J17" i="5"/>
  <c r="I17" i="5"/>
  <c r="H17" i="5"/>
  <c r="G17" i="5"/>
  <c r="F17" i="5"/>
  <c r="E17" i="5"/>
  <c r="D17" i="5"/>
  <c r="C17" i="5"/>
  <c r="B17" i="5"/>
  <c r="L16" i="5"/>
  <c r="J16" i="5"/>
  <c r="I16" i="5"/>
  <c r="H16" i="5"/>
  <c r="G16" i="5"/>
  <c r="F16" i="5"/>
  <c r="E16" i="5"/>
  <c r="D16" i="5"/>
  <c r="C16" i="5"/>
  <c r="B16" i="5"/>
  <c r="L15" i="5"/>
  <c r="J15" i="5"/>
  <c r="I15" i="5"/>
  <c r="H15" i="5"/>
  <c r="G15" i="5"/>
  <c r="F15" i="5"/>
  <c r="E15" i="5"/>
  <c r="D15" i="5"/>
  <c r="C15" i="5"/>
  <c r="B15" i="5"/>
  <c r="L14" i="5"/>
  <c r="J14" i="5"/>
  <c r="I14" i="5"/>
  <c r="H14" i="5"/>
  <c r="G14" i="5"/>
  <c r="F14" i="5"/>
  <c r="E14" i="5"/>
  <c r="D14" i="5"/>
  <c r="C14" i="5"/>
  <c r="B14" i="5"/>
  <c r="L13" i="5"/>
  <c r="J13" i="5"/>
  <c r="I13" i="5"/>
  <c r="H13" i="5"/>
  <c r="G13" i="5"/>
  <c r="F13" i="5"/>
  <c r="E13" i="5"/>
  <c r="D13" i="5"/>
  <c r="C13" i="5"/>
  <c r="B13" i="5"/>
  <c r="L12" i="5"/>
  <c r="J12" i="5"/>
  <c r="I12" i="5"/>
  <c r="H12" i="5"/>
  <c r="G12" i="5"/>
  <c r="F12" i="5"/>
  <c r="E12" i="5"/>
  <c r="D12" i="5"/>
  <c r="C12" i="5"/>
  <c r="B12" i="5"/>
  <c r="L11" i="5"/>
  <c r="J11" i="5"/>
  <c r="I11" i="5"/>
  <c r="H11" i="5"/>
  <c r="G11" i="5"/>
  <c r="F11" i="5"/>
  <c r="E11" i="5"/>
  <c r="D11" i="5"/>
  <c r="C11" i="5"/>
  <c r="B11" i="5"/>
  <c r="L10" i="5"/>
  <c r="J10" i="5"/>
  <c r="I10" i="5"/>
  <c r="H10" i="5"/>
  <c r="G10" i="5"/>
  <c r="F10" i="5"/>
  <c r="E10" i="5"/>
  <c r="D10" i="5"/>
  <c r="C10" i="5"/>
  <c r="B10" i="5"/>
  <c r="L9" i="5"/>
  <c r="J9" i="5"/>
  <c r="I9" i="5"/>
  <c r="H9" i="5"/>
  <c r="G9" i="5"/>
  <c r="F9" i="5"/>
  <c r="E9" i="5"/>
  <c r="D9" i="5"/>
  <c r="C9" i="5"/>
  <c r="B9" i="5"/>
  <c r="L8" i="5"/>
  <c r="J8" i="5"/>
  <c r="I8" i="5"/>
  <c r="H8" i="5"/>
  <c r="G8" i="5"/>
  <c r="F8" i="5"/>
  <c r="E8" i="5"/>
  <c r="D8" i="5"/>
  <c r="C8" i="5"/>
  <c r="B8" i="5"/>
  <c r="L7" i="5"/>
  <c r="J7" i="5"/>
  <c r="I7" i="5"/>
  <c r="H7" i="5"/>
  <c r="G7" i="5"/>
  <c r="F7" i="5"/>
  <c r="E7" i="5"/>
  <c r="D7" i="5"/>
  <c r="C7" i="5"/>
  <c r="B7" i="5"/>
  <c r="L6" i="5"/>
  <c r="J6" i="5"/>
  <c r="I6" i="5"/>
  <c r="H6" i="5"/>
  <c r="G6" i="5"/>
  <c r="F6" i="5"/>
  <c r="E6" i="5"/>
  <c r="D6" i="5"/>
  <c r="C6" i="5"/>
  <c r="B6" i="5"/>
  <c r="L5" i="5"/>
  <c r="J5" i="5"/>
  <c r="I5" i="5"/>
  <c r="H5" i="5"/>
  <c r="G5" i="5"/>
  <c r="F5" i="5"/>
  <c r="E5" i="5"/>
  <c r="D5" i="5"/>
  <c r="C5" i="5"/>
  <c r="B5" i="5"/>
  <c r="L4" i="5"/>
  <c r="J4" i="5"/>
  <c r="I4" i="5"/>
  <c r="H4" i="5"/>
  <c r="G4" i="5"/>
  <c r="F4" i="5"/>
  <c r="E4" i="5"/>
  <c r="D4" i="5"/>
  <c r="C4" i="5"/>
  <c r="B4" i="5"/>
  <c r="L3" i="5"/>
  <c r="J3" i="5"/>
  <c r="I3" i="5"/>
  <c r="H3" i="5"/>
  <c r="G3" i="5"/>
  <c r="F3" i="5"/>
  <c r="E3" i="5"/>
  <c r="D3" i="5"/>
  <c r="C3" i="5"/>
  <c r="B3" i="5"/>
  <c r="L2" i="5"/>
  <c r="J2" i="5"/>
  <c r="I2" i="5"/>
  <c r="H2" i="5"/>
  <c r="G2" i="5"/>
  <c r="F2" i="5"/>
  <c r="E2" i="5"/>
  <c r="D2" i="5"/>
  <c r="C2" i="5"/>
  <c r="B2" i="5"/>
</calcChain>
</file>

<file path=xl/sharedStrings.xml><?xml version="1.0" encoding="utf-8"?>
<sst xmlns="http://schemas.openxmlformats.org/spreadsheetml/2006/main" count="4360" uniqueCount="1216">
  <si>
    <t>Ordem</t>
  </si>
  <si>
    <t>Raridade</t>
  </si>
  <si>
    <t>Cópias Necessárias</t>
  </si>
  <si>
    <t>Cópias Acumuladas (Total)</t>
  </si>
  <si>
    <t>Multiplicador de Valor/Stats</t>
  </si>
  <si>
    <t>Default</t>
  </si>
  <si>
    <t>≈ 0.30 (teste em jogo)</t>
  </si>
  <si>
    <t>Bronze</t>
  </si>
  <si>
    <t>Prata</t>
  </si>
  <si>
    <t>Ouro</t>
  </si>
  <si>
    <t>Platina</t>
  </si>
  <si>
    <t>Lendário</t>
  </si>
  <si>
    <t>Mítico</t>
  </si>
  <si>
    <t>Divino</t>
  </si>
  <si>
    <t>N/A (Evento exclusivo)</t>
  </si>
  <si>
    <t>N/A</t>
  </si>
  <si>
    <t>10.000</t>
  </si>
  <si>
    <t>⚠️ REGRAS</t>
  </si>
  <si>
    <t>Evolução automática por acúmulo:</t>
  </si>
  <si>
    <t>Cada cópia encontrada = +1 ponto. Ao atingir cópias necessárias, salta para próx. raridade, pontos resetam a 0.</t>
  </si>
  <si>
    <t>Atalho de Raridade:</t>
  </si>
  <si>
    <t>Pacotes Geral, Diamante, Robux, Especial/Evento sorteram raridades mais altas (exceto Bênção Diária = sempre Default).</t>
  </si>
  <si>
    <t>Venda de Cópias:</t>
  </si>
  <si>
    <t>20% do valor de mercado. Se cópias &lt; threshold atual, downgrade automático + reset de pontos.</t>
  </si>
  <si>
    <t>Divino:</t>
  </si>
  <si>
    <t>Sem evolução por acúmulo, sem atalho de progressão. Apenas via Pacote Divino (Evento, Robux). Raridade fixa, sem downgrade.</t>
  </si>
  <si>
    <t>🎨 CARTAS MÍTICAS — UI STYLE GUIDE</t>
  </si>
  <si>
    <t>Projeto: Atlas Iluminado / JogoCartasRoblox</t>
  </si>
  <si>
    <t>Data: Julho 2026</t>
  </si>
  <si>
    <t>Status: Aprovado</t>
  </si>
  <si>
    <t>PALETA DE CORES</t>
  </si>
  <si>
    <t>Background Principal</t>
  </si>
  <si>
    <t>#0F1419</t>
  </si>
  <si>
    <t>Dark Navy (fundo escuro base de todas as telas)</t>
  </si>
  <si>
    <t>Background Secundário</t>
  </si>
  <si>
    <t>#1A2332</t>
  </si>
  <si>
    <t>Navy mais claro (painéis, cards)</t>
  </si>
  <si>
    <t>Accent Color</t>
  </si>
  <si>
    <t>#FFD700</t>
  </si>
  <si>
    <t>Ouro vivo (destaques, CTAs importantes)</t>
  </si>
  <si>
    <t>Text Primário</t>
  </si>
  <si>
    <t>#FFFFFF</t>
  </si>
  <si>
    <t>Branco (textos principais, headers)</t>
  </si>
  <si>
    <t>Text Secundário</t>
  </si>
  <si>
    <t>#B0B0B0</t>
  </si>
  <si>
    <t>Cinza claro (textos menores, descrições)</t>
  </si>
  <si>
    <t>Text Terciário</t>
  </si>
  <si>
    <t>#707070</t>
  </si>
  <si>
    <t>Cinza escuro (labels, hints)</t>
  </si>
  <si>
    <t>CORES DE RARIDADE</t>
  </si>
  <si>
    <t>#E8E8E8</t>
  </si>
  <si>
    <t>Cinza prata (muito claro)</t>
  </si>
  <si>
    <t>#C98A4B</t>
  </si>
  <si>
    <t>Cobre/bronze</t>
  </si>
  <si>
    <t>#E8ECF0</t>
  </si>
  <si>
    <t>Prata/cinza prateado</t>
  </si>
  <si>
    <t>#FFE066</t>
  </si>
  <si>
    <t>Ouro quente</t>
  </si>
  <si>
    <t>#A5F3FC</t>
  </si>
  <si>
    <t>Azul-ciano/platina</t>
  </si>
  <si>
    <t>#FF1493</t>
  </si>
  <si>
    <t>Rosa choque/magenta</t>
  </si>
  <si>
    <t>#9D4EDD</t>
  </si>
  <si>
    <t>Roxo escuro/púrpura</t>
  </si>
  <si>
    <t>#F4D03F (com prisma)</t>
  </si>
  <si>
    <t>Dourado com efeito prismático (prisma: violeta, ciano, dourado, rosa)</t>
  </si>
  <si>
    <t>TIPOGRAFIA</t>
  </si>
  <si>
    <t>Font Principal (Títulos, Headers)</t>
  </si>
  <si>
    <t>Baloo 2</t>
  </si>
  <si>
    <t>Bold, 24-32px, espaçamento 0.5px</t>
  </si>
  <si>
    <t>Font Secundária (Descrições)</t>
  </si>
  <si>
    <t>Inter</t>
  </si>
  <si>
    <t>Regular, 12-16px, line-height 1.5</t>
  </si>
  <si>
    <t>Font Pequena (Labels, UI)</t>
  </si>
  <si>
    <t>Regular, 10-12px, weight 400</t>
  </si>
  <si>
    <t>COMPONENTES UI</t>
  </si>
  <si>
    <t>Botão Principal (CTA)</t>
  </si>
  <si>
    <t>Fundo #FFD700, Texto #0F1419, Border-radius 4px, Padding 12px 24px</t>
  </si>
  <si>
    <t>Hover: +10% brilho | Press: -10% brilho</t>
  </si>
  <si>
    <t>Botão Secundário</t>
  </si>
  <si>
    <t>Border 1px #FFD700, Fundo transparent, Texto #FFD700</t>
  </si>
  <si>
    <t>Hover: Fundo 20% #FFD700 | Press: Fundo 40% #FFD700</t>
  </si>
  <si>
    <t>Card de Criatura</t>
  </si>
  <si>
    <t>Fundo #1A2332, Border 2px (cor raridade), Border-radius 8px, Shadow: 0 4px 12px rgba(0,0,0,0.5)</t>
  </si>
  <si>
    <t>Border de Card (por raridade)</t>
  </si>
  <si>
    <t>Vide "CORES DE RARIDADE" acima — aplicar borda externa de 2px</t>
  </si>
  <si>
    <t>Border Divino (especial)</t>
  </si>
  <si>
    <t>Base prata animada (#E8ECF0) com lascas pastel girando em loop (6s/volta)</t>
  </si>
  <si>
    <t>Lascas: violeta #9370DB, ciano #00CED1, dourado #FFD700, rosa #FF69B4</t>
  </si>
  <si>
    <t>Input Field</t>
  </si>
  <si>
    <t>Fundo #0F1419, Border 1px #707070, Texto #FFFFFF, Padding 8px</t>
  </si>
  <si>
    <t>Focus: Border 1px #FFD700, Box-shadow: 0 0 8px rgba(255, 215, 0, 0.3)</t>
  </si>
  <si>
    <t>Modal/Dialog</t>
  </si>
  <si>
    <t>Overlay: rgba(0, 0, 0, 0.7), Container: #1A2332, Border 1px #707070</t>
  </si>
  <si>
    <t>Close button (X): top-right, 16px, hover: #FFD700</t>
  </si>
  <si>
    <t>LAYOUT &amp; ESPAÇAMENTO</t>
  </si>
  <si>
    <t>Padding Padrão (componentes)</t>
  </si>
  <si>
    <t>16px</t>
  </si>
  <si>
    <t>Interno dos componentes</t>
  </si>
  <si>
    <t>Margin entre componentes</t>
  </si>
  <si>
    <t>16-24px</t>
  </si>
  <si>
    <t>Espaçamento externo</t>
  </si>
  <si>
    <t>Border-radius padrão</t>
  </si>
  <si>
    <t>4-8px</t>
  </si>
  <si>
    <t>Cantos suavizados (não usar 0)</t>
  </si>
  <si>
    <t>Sombra padrão (cards)</t>
  </si>
  <si>
    <t>0 4px 12px rgba(0,0,0,0.5)</t>
  </si>
  <si>
    <t>Profundidade sutil</t>
  </si>
  <si>
    <t>BREAKPOINTS &amp; RESPONSIVIDADE</t>
  </si>
  <si>
    <t>Mobile (Padrão no Roblox)</t>
  </si>
  <si>
    <t>Layout single-column, Stack vertical, Touch targets 48px min</t>
  </si>
  <si>
    <t>Viewport: ~380-400px</t>
  </si>
  <si>
    <t>Desktop (Futura)</t>
  </si>
  <si>
    <t>Layout multi-column, Grid/Flex, Mouse precision targets 24px</t>
  </si>
  <si>
    <t>Viewport: 1200px+</t>
  </si>
  <si>
    <t>TELAS PRINCIPAIS (6 PROTÓTIPOS)</t>
  </si>
  <si>
    <t>1. Lobby / HUD</t>
  </si>
  <si>
    <t>Mostra: Saldo ($/$💎), Nível, Progresso do Ladder, Botões principais, Perfil</t>
  </si>
  <si>
    <t>Ícones: Moeda, Diamante, Engrenagem, Perfil</t>
  </si>
  <si>
    <t>2. Pack Shop (Loja)</t>
  </si>
  <si>
    <t>Catálogo de 62 pacotes com preço, moeda, descrição breve</t>
  </si>
  <si>
    <t>Filtros: Categoria (Geral, Diamante, Robux, Especial) | Ordenação: Por preço/Novo</t>
  </si>
  <si>
    <t>3. Pack Opening (Abertura)</t>
  </si>
  <si>
    <t>Animação de abertura, revelar criatura (art + nome), ver raridade, duplicar?</t>
  </si>
  <si>
    <t>Transição smooth com efeito de brilho na carta</t>
  </si>
  <si>
    <t>4. Álbum (Coleção)</t>
  </si>
  <si>
    <t>Grid 4-5 cols de todas as criaturas descobertas, filtro por clã, busca por nome</t>
  </si>
  <si>
    <t>Mostra: Miniatura + Nome + Raridade atual + Cópias/Progresso</t>
  </si>
  <si>
    <t>5. Mochila (Inventário)</t>
  </si>
  <si>
    <t>Lista ou grid de criaturas (1 objeto = 1 descoberta), drag-drop para Slots Base</t>
  </si>
  <si>
    <t>Capacity: 200 máximo | Mostra: Clã, Raridade, Stats (ATK/DEF/HP)</t>
  </si>
  <si>
    <t>6. Altar de Sacrifício</t>
  </si>
  <si>
    <t>Staging area pre-Renascimento, colocar 3 cartas do clã + 1 nomeada + $ threshold</t>
  </si>
  <si>
    <t>Botão Renascer ativa quando 3 requisitos OK. Popup de confirmação.</t>
  </si>
  <si>
    <t>ANIMAÇÕES &amp; TRANSIÇÕES</t>
  </si>
  <si>
    <t>Card appear (entrada)</t>
  </si>
  <si>
    <t>200ms fade-in + translate-up (20px)</t>
  </si>
  <si>
    <t>Easing: ease-out</t>
  </si>
  <si>
    <t>Button press</t>
  </si>
  <si>
    <t>100ms scale-down (0.98), bounce back</t>
  </si>
  <si>
    <t>Easing: ease-in-out</t>
  </si>
  <si>
    <t>Border Divino rotation</t>
  </si>
  <si>
    <t>6000ms (6 seg) full rotation contínuo</t>
  </si>
  <si>
    <t>Linear, infinite, apenas anel gira, arte estática</t>
  </si>
  <si>
    <t>Pack opening reveal</t>
  </si>
  <si>
    <t>600ms zoom-in + fade + brilho</t>
  </si>
  <si>
    <t>Easing: ease-out, timing staggered</t>
  </si>
  <si>
    <t>ICONOGRAFIA</t>
  </si>
  <si>
    <t>Style</t>
  </si>
  <si>
    <t>Flat, monochromatic, 24-48px size, fill solid</t>
  </si>
  <si>
    <t>Icons: Moeda ($), Diamante (💎), Fogo (🔥), Água (💧), etc.</t>
  </si>
  <si>
    <t>Palette</t>
  </si>
  <si>
    <t>Usar cores de raridade para ícones quando aplicável (ex: ícone de Prata = #E8ECF0)</t>
  </si>
  <si>
    <t>Clã</t>
  </si>
  <si>
    <t>Elemento</t>
  </si>
  <si>
    <t>Cor (hex)</t>
  </si>
  <si>
    <t>Tipo de Vantagem Elemental</t>
  </si>
  <si>
    <t>Ordem Celestial</t>
  </si>
  <si>
    <t>Luz</t>
  </si>
  <si>
    <t>#F4D03F</t>
  </si>
  <si>
    <t>Forte contra: Véu Sombrio | Fraco contra: Constelação Arcana</t>
  </si>
  <si>
    <t>Véu Sombrio</t>
  </si>
  <si>
    <t>Sombra</t>
  </si>
  <si>
    <t>#5B2C6F</t>
  </si>
  <si>
    <t>Forte contra: Constelação Arcana | Fraco contra: Ordem Celestial</t>
  </si>
  <si>
    <t>Fúria Selvagem</t>
  </si>
  <si>
    <t>Natureza</t>
  </si>
  <si>
    <t>#27AE60</t>
  </si>
  <si>
    <t>Forte contra: Rocha Ancestral | Fraco contra: Chama Vulcânica</t>
  </si>
  <si>
    <t>Abismo Glacial</t>
  </si>
  <si>
    <t>Gelo</t>
  </si>
  <si>
    <t>#AED6F1</t>
  </si>
  <si>
    <t>Forte contra: Fúria Selvagem | Fraco contra: Forja Ígnea</t>
  </si>
  <si>
    <t>Maré Eterna</t>
  </si>
  <si>
    <t>Água</t>
  </si>
  <si>
    <t>#0E5C52</t>
  </si>
  <si>
    <t>Forte contra: Forja Ígnea | Fraco contra: Tempestade Rúnica</t>
  </si>
  <si>
    <t>Forja Ígnea</t>
  </si>
  <si>
    <t>Fogo</t>
  </si>
  <si>
    <t>#D30D0D</t>
  </si>
  <si>
    <t>Forte contra: Abismo Glacial | Fraco contra: Maré Eterna</t>
  </si>
  <si>
    <t>Tempestade Rúnica</t>
  </si>
  <si>
    <t>Trovão</t>
  </si>
  <si>
    <t>#FF99CA</t>
  </si>
  <si>
    <t>Forte contra: Maré Eterna | Fraco contra: Rocha Ancestral</t>
  </si>
  <si>
    <t>Rocha Ancestral</t>
  </si>
  <si>
    <t>Terra</t>
  </si>
  <si>
    <t>#935116</t>
  </si>
  <si>
    <t>Forte contra: Tempestade Rúnica | Fraco contra: Fúria Selvagem</t>
  </si>
  <si>
    <t>Areia Amaldiçoada</t>
  </si>
  <si>
    <t>Morte</t>
  </si>
  <si>
    <t>#AFA88C</t>
  </si>
  <si>
    <t>Forte contra: Selva Esmeralda | Fraco contra: Névoa Espectral</t>
  </si>
  <si>
    <t>Selva Esmeralda</t>
  </si>
  <si>
    <t>Veneno</t>
  </si>
  <si>
    <t>#147B16</t>
  </si>
  <si>
    <t>Forte contra: Maré Eterna (revisado) | Fraco contra: Areia Amaldiçoada</t>
  </si>
  <si>
    <t>Constelação Arcana</t>
  </si>
  <si>
    <t>Astral</t>
  </si>
  <si>
    <t>#B23488</t>
  </si>
  <si>
    <t>Forte contra: Véu Sombrio | Fraco contra: Ordem Celestial</t>
  </si>
  <si>
    <t>Profundezas Abissais</t>
  </si>
  <si>
    <t>Mar Profundo</t>
  </si>
  <si>
    <t>#231443</t>
  </si>
  <si>
    <t>Forte contra: Chama Vulcânica | Fraco contra: Maré Eterna</t>
  </si>
  <si>
    <t>Chama Vulcânica</t>
  </si>
  <si>
    <t>Lava</t>
  </si>
  <si>
    <t>#3D0F17</t>
  </si>
  <si>
    <t>Forte contra: Rocha Ancestral | Fraco contra: Profundezas Abissais</t>
  </si>
  <si>
    <t>Névoa Espectral</t>
  </si>
  <si>
    <t>Fantasma</t>
  </si>
  <si>
    <t>#AAB7B8</t>
  </si>
  <si>
    <t>Forte contra: Areia Amaldiçoada | Fraco contra: Véu Sombrio</t>
  </si>
  <si>
    <t>Engrenagem Rúnica</t>
  </si>
  <si>
    <t>Tecnomancia</t>
  </si>
  <si>
    <t>#DBF470</t>
  </si>
  <si>
    <t>Versátil — bônus contra qualquer clã com HP cheio</t>
  </si>
  <si>
    <t>#</t>
  </si>
  <si>
    <t>Criatura</t>
  </si>
  <si>
    <t>Origem Mitológica/Cultural</t>
  </si>
  <si>
    <t>Descrição breve</t>
  </si>
  <si>
    <t>Tier de Poder Natural (lore)</t>
  </si>
  <si>
    <t>Valor Semente ($/s)</t>
  </si>
  <si>
    <t>Ataque Base</t>
  </si>
  <si>
    <t>Defesa Base</t>
  </si>
  <si>
    <t>HP Base</t>
  </si>
  <si>
    <t>Fênix Solar</t>
  </si>
  <si>
    <t>Grécia/Egito</t>
  </si>
  <si>
    <t>Ave que renasce das cinzas com fogo dourado</t>
  </si>
  <si>
    <t>Grifo Guardião</t>
  </si>
  <si>
    <t>Pérsia/Grécia</t>
  </si>
  <si>
    <t>Metade leão, metade águia, protetor de tesouros sagrados</t>
  </si>
  <si>
    <t>Pégaso Radiante</t>
  </si>
  <si>
    <t>Grécia</t>
  </si>
  <si>
    <t>Cavalo alado que galopa entre nuvens</t>
  </si>
  <si>
    <t>Serpente-Pluma Ancestral</t>
  </si>
  <si>
    <t>Mesoamérica</t>
  </si>
  <si>
    <t>Serpente emplumada trazida pelo vento e pela luz</t>
  </si>
  <si>
    <t>Unicórnio Sagrado</t>
  </si>
  <si>
    <t>Europa Medieval</t>
  </si>
  <si>
    <t>Purifica águas envenenadas com seu chifre</t>
  </si>
  <si>
    <t>Roc Celestial</t>
  </si>
  <si>
    <t>Oriente Médio</t>
  </si>
  <si>
    <t>Ave colossal capaz de carregar elefantes</t>
  </si>
  <si>
    <t>Lamassu Dourado</t>
  </si>
  <si>
    <t>Mesopotâmia</t>
  </si>
  <si>
    <t>Touro alado de cabeça humana, guardião de portais</t>
  </si>
  <si>
    <t>Bennu Ancestral</t>
  </si>
  <si>
    <t>Egito</t>
  </si>
  <si>
    <t>Ave-sol ligada ao ciclo do nascer e renascer</t>
  </si>
  <si>
    <t>Garuda Radiante</t>
  </si>
  <si>
    <t>Índia/Sudeste Asiático</t>
  </si>
  <si>
    <t>Ave divina montaria dos deuses</t>
  </si>
  <si>
    <t>Simurgh Eterno</t>
  </si>
  <si>
    <t>Pérsia</t>
  </si>
  <si>
    <t>Ave sábia guardiã da árvore da vida</t>
  </si>
  <si>
    <t>Kirin Puro</t>
  </si>
  <si>
    <t>China/Japão</t>
  </si>
  <si>
    <t>Besta sagrada que só aparece em tempos de paz</t>
  </si>
  <si>
    <t>Huma Abençoada</t>
  </si>
  <si>
    <t>Ave que nunca pousa em terra, símbolo de boa sorte</t>
  </si>
  <si>
    <t>Peri da Luz</t>
  </si>
  <si>
    <t>Espírito benevolente guardião dos céus</t>
  </si>
  <si>
    <t>Serafim de Seis Asas</t>
  </si>
  <si>
    <t>Tradição angelical</t>
  </si>
  <si>
    <t>Guardião supremo do trono celestial</t>
  </si>
  <si>
    <t>Ave-Sol Inca</t>
  </si>
  <si>
    <t>Andes</t>
  </si>
  <si>
    <t>Mensageira do deus-sol Inti</t>
  </si>
  <si>
    <t>Alicanto Radiante</t>
  </si>
  <si>
    <t>Chile</t>
  </si>
  <si>
    <t>Ave que se alimenta de metais preciosos</t>
  </si>
  <si>
    <t>Aurora Ancestral</t>
  </si>
  <si>
    <t>Nórdica</t>
  </si>
  <si>
    <t>Espírito das luzes do norte</t>
  </si>
  <si>
    <t>Corcel de Apolo</t>
  </si>
  <si>
    <t>Cavalo que puxa a carruagem do sol</t>
  </si>
  <si>
    <t>Anjo Guardião Menor</t>
  </si>
  <si>
    <t>Protetor silencioso dos viajantes</t>
  </si>
  <si>
    <t>Zhar-Ptitsa</t>
  </si>
  <si>
    <t>Eslava</t>
  </si>
  <si>
    <t>Pássaro de fogo cujas penas iluminam a noite</t>
  </si>
  <si>
    <t>Kitsune das Nove Caudas</t>
  </si>
  <si>
    <t>Japão</t>
  </si>
  <si>
    <t>Raposa mística mestra em ilusões</t>
  </si>
  <si>
    <t>Nekomata Ancestral</t>
  </si>
  <si>
    <t>Gato bifurcado que comanda os mortos</t>
  </si>
  <si>
    <t>Anansi, o Trapaceiro</t>
  </si>
  <si>
    <t>África Ocidental</t>
  </si>
  <si>
    <t>Aranha astuta guardiã de todas as histórias</t>
  </si>
  <si>
    <t>Baku Devorador</t>
  </si>
  <si>
    <t>Criatura que devora pesadelos alheios</t>
  </si>
  <si>
    <t>Banshee Lamentosa</t>
  </si>
  <si>
    <t>Irlanda</t>
  </si>
  <si>
    <t>Espírito cujo grito anuncia a morte</t>
  </si>
  <si>
    <t>Yūrei Errante</t>
  </si>
  <si>
    <t>Alma presa entre o mundo dos vivos e mortos</t>
  </si>
  <si>
    <t>Krampus Sombrio</t>
  </si>
  <si>
    <t>Alpes Europeus</t>
  </si>
  <si>
    <t>Fera que pune os corações impuros</t>
  </si>
  <si>
    <t>Nuckelavee Amaldiçoado</t>
  </si>
  <si>
    <t>Escócia</t>
  </si>
  <si>
    <t>Cavaleiro-cavalo sem pele, portador de pragas</t>
  </si>
  <si>
    <t>Barghest Noturno</t>
  </si>
  <si>
    <t>Inglaterra</t>
  </si>
  <si>
    <t>Cão espectral de olhos flamejantes</t>
  </si>
  <si>
    <t>Alp Sussurrante</t>
  </si>
  <si>
    <t>Alemanha</t>
  </si>
  <si>
    <t>Espírito que invade sonhos alheios</t>
  </si>
  <si>
    <t>Strigoi Ancestral</t>
  </si>
  <si>
    <t>Romênia</t>
  </si>
  <si>
    <t>Morto-vivo que se alimenta de vitalidade</t>
  </si>
  <si>
    <t>Empusa Sedutora</t>
  </si>
  <si>
    <t>Demônia de uma perna só, filha de Hécate</t>
  </si>
  <si>
    <t>Namahage da Meia-Noite</t>
  </si>
  <si>
    <t>Demônio que pune a preguiça</t>
  </si>
  <si>
    <t>Yatagarasu Sombrio</t>
  </si>
  <si>
    <t>Corvo de três patas, guia dos perdidos</t>
  </si>
  <si>
    <t>Onryō Vingativo</t>
  </si>
  <si>
    <t>Espírito consumido pela vingança</t>
  </si>
  <si>
    <t>Corvo de Baba Yaga</t>
  </si>
  <si>
    <t>Mensageiro da bruxa da floresta</t>
  </si>
  <si>
    <t>Huginn, o Corvo Vidente</t>
  </si>
  <si>
    <t>Corvo que observa todos os segredos</t>
  </si>
  <si>
    <t>Lobo das Sombras</t>
  </si>
  <si>
    <t>Folclore Europeu</t>
  </si>
  <si>
    <t>Predador que caça sob a lua nova</t>
  </si>
  <si>
    <t>Lilim Noturna</t>
  </si>
  <si>
    <t>Espírito da noite e dos ventos frios</t>
  </si>
  <si>
    <t>Djinn das Sombras</t>
  </si>
  <si>
    <t>Arábia</t>
  </si>
  <si>
    <t>Espírito de fumaça negra e desejos amaldiçoados</t>
  </si>
  <si>
    <t>Cérbero Guardião</t>
  </si>
  <si>
    <t>Cão de três cabeças, guardião de passagens</t>
  </si>
  <si>
    <t>Minotauro do Labirinto</t>
  </si>
  <si>
    <t>Fera com força descomunal e fúria cega</t>
  </si>
  <si>
    <t>Wendigo da Floresta Gelada</t>
  </si>
  <si>
    <t>Povos Algonquinos</t>
  </si>
  <si>
    <t>Espírito faminto da floresta profunda</t>
  </si>
  <si>
    <t>Sasquatch Ancestral</t>
  </si>
  <si>
    <t>América do Norte</t>
  </si>
  <si>
    <t>Gigante peludo guardião das montanhas</t>
  </si>
  <si>
    <t>Ent Milenar</t>
  </si>
  <si>
    <t>Árvore desperta, protetora da floresta</t>
  </si>
  <si>
    <t>Tigre-Dente-de-Sabre Espiritual</t>
  </si>
  <si>
    <t>Folclore Universal</t>
  </si>
  <si>
    <t>Predador ancestral de presas gigantes</t>
  </si>
  <si>
    <t>Urso Sagrado do Norte</t>
  </si>
  <si>
    <t>Sibéria</t>
  </si>
  <si>
    <t>Guardião espiritual das terras geladas</t>
  </si>
  <si>
    <t>Javali de Erimanto</t>
  </si>
  <si>
    <t>Fera destrutiva de presas afiadas</t>
  </si>
  <si>
    <t>Touro Selvagem de Creta</t>
  </si>
  <si>
    <t>Touro indomável de fúria implacável</t>
  </si>
  <si>
    <t>Lobo Guerreiro Ancestral</t>
  </si>
  <si>
    <t>Líder de matilha, símbolo de lealdade feroz</t>
  </si>
  <si>
    <t>Centauro Arqueiro</t>
  </si>
  <si>
    <t>Metade homem, metade cavalo, caçador nato</t>
  </si>
  <si>
    <t>Fauno da Clareira</t>
  </si>
  <si>
    <t>Roma</t>
  </si>
  <si>
    <t>Espírito travesso guardião dos campos</t>
  </si>
  <si>
    <t>Sátiro Dançarino</t>
  </si>
  <si>
    <t>Criatura festiva ligada à natureza selvagem</t>
  </si>
  <si>
    <t>Dríade da Grande Árvore</t>
  </si>
  <si>
    <t>Espírito feminino ligado a uma árvore sagrada</t>
  </si>
  <si>
    <t>Leshy da Floresta Funda</t>
  </si>
  <si>
    <t>Senhor da floresta que confunde viajantes</t>
  </si>
  <si>
    <t>Skogsrå Encantadora</t>
  </si>
  <si>
    <t>Escandinávia</t>
  </si>
  <si>
    <t>Guardiã sedutora da floresta</t>
  </si>
  <si>
    <t>Wolpertinger Travesso</t>
  </si>
  <si>
    <t>Alemanha/Baviera</t>
  </si>
  <si>
    <t>Criatura híbrida ágil e imprevisível</t>
  </si>
  <si>
    <t>Alce Ancestral</t>
  </si>
  <si>
    <t>Folclore Nórdico</t>
  </si>
  <si>
    <t>Guardião imponente das terras frias</t>
  </si>
  <si>
    <t>Rakshasa da Selva</t>
  </si>
  <si>
    <t>Índia</t>
  </si>
  <si>
    <t>Demônio metamorfo protetor de territórios</t>
  </si>
  <si>
    <t>Yeti das Terras Altas</t>
  </si>
  <si>
    <t>Himalaia</t>
  </si>
  <si>
    <t>Gigante branco guardião dos picos</t>
  </si>
  <si>
    <t>Yuki-onna Congelante</t>
  </si>
  <si>
    <t>Espírito da neve que cristaliza tudo ao redor</t>
  </si>
  <si>
    <t>Troll da Geada</t>
  </si>
  <si>
    <t>Gigante bruto que se petrifica ao sol</t>
  </si>
  <si>
    <t>Espectro de Gelo</t>
  </si>
  <si>
    <t>Alma presa em eterno inverno</t>
  </si>
  <si>
    <t>Skoll, Perseguidor do Sol</t>
  </si>
  <si>
    <t>Lobo que persegue o astro-rei pelos céus gelados</t>
  </si>
  <si>
    <t>Bergelmir Ancestral</t>
  </si>
  <si>
    <t>Gigante de gelo, um dos primeiros seres</t>
  </si>
  <si>
    <t>Jotun das Nevascas</t>
  </si>
  <si>
    <t>Gigante do frio primordial</t>
  </si>
  <si>
    <t>Ninfa da Geada</t>
  </si>
  <si>
    <t>Espírito etéreo dos lagos congelados</t>
  </si>
  <si>
    <t>Yeti Guardião da Neve</t>
  </si>
  <si>
    <t>Protetor solitário dos picos gelados</t>
  </si>
  <si>
    <t>Kraken Congelado</t>
  </si>
  <si>
    <t>Titã marinho preso em gelo eterno</t>
  </si>
  <si>
    <t>Selkie da Maré Fria</t>
  </si>
  <si>
    <t>Escócia/Irlanda</t>
  </si>
  <si>
    <t>Ser que troca pele de foca por forma humana</t>
  </si>
  <si>
    <t>Draugr Gelado</t>
  </si>
  <si>
    <t>Morto-vivo guardião de tesouros congelados</t>
  </si>
  <si>
    <t>Snegurochka Ancestral</t>
  </si>
  <si>
    <t>Donzela feita de neve eterna</t>
  </si>
  <si>
    <t>Amarok, o Lobo Gigante</t>
  </si>
  <si>
    <t>Inuit</t>
  </si>
  <si>
    <t>Predador solitário das planícies geladas</t>
  </si>
  <si>
    <t>Qalupalik das Águas Frias</t>
  </si>
  <si>
    <t>Ser que espreita sob o gelo fino</t>
  </si>
  <si>
    <t>Tupilaq Vingativo</t>
  </si>
  <si>
    <t>Construto de vingança feito de gelo e osso</t>
  </si>
  <si>
    <t>Fênix Glacial</t>
  </si>
  <si>
    <t>Folclore Original Nórdico</t>
  </si>
  <si>
    <t>Ave que renasce das nevascas eternas</t>
  </si>
  <si>
    <t>Wyrm Glacial</t>
  </si>
  <si>
    <t>Serpente colossal que desliza sobre geleiras</t>
  </si>
  <si>
    <t>Nix das Águas Geladas</t>
  </si>
  <si>
    <t>Espírito sedutor de rios congelados</t>
  </si>
  <si>
    <t>Wisp do Inverno</t>
  </si>
  <si>
    <t>Folclore Celta</t>
  </si>
  <si>
    <t>Luz errante que guia viajantes perdidos no gelo</t>
  </si>
  <si>
    <t>Fúria da Nevasca</t>
  </si>
  <si>
    <t>Folclore Original</t>
  </si>
  <si>
    <t>Tempestade viva que consome tudo em seu caminho</t>
  </si>
  <si>
    <t>Leviatã das Profundezas</t>
  </si>
  <si>
    <t>Tradição Bíblica/Mesopotâmica</t>
  </si>
  <si>
    <t>Serpente marinha colossal e primordial</t>
  </si>
  <si>
    <t>Kappa do Rio</t>
  </si>
  <si>
    <t>Criatura travessa guardiã de rios e lagos</t>
  </si>
  <si>
    <t>Ningyo Ancestral</t>
  </si>
  <si>
    <t>Sereia cuja carne concede longevidade</t>
  </si>
  <si>
    <t>Selkie das Marés</t>
  </si>
  <si>
    <t>Foca-mulher que caminha entre dois mundos</t>
  </si>
  <si>
    <t>Nereida Radiante</t>
  </si>
  <si>
    <t>Ninfa do mar, filha de Nereu</t>
  </si>
  <si>
    <t>Hipocampo Real</t>
  </si>
  <si>
    <t>Cavalo-marinho que puxa carruagens de Poseidon</t>
  </si>
  <si>
    <t>Náiade da Fonte Sagrada</t>
  </si>
  <si>
    <t>Espírito guardião de águas doces</t>
  </si>
  <si>
    <t>Merrow das Ondas</t>
  </si>
  <si>
    <t>Sereia com capa mágica que permite nadar</t>
  </si>
  <si>
    <t>Undine Encantada</t>
  </si>
  <si>
    <t>Espírito elemental da água pura</t>
  </si>
  <si>
    <t>Rusalka do Lago Negro</t>
  </si>
  <si>
    <t>Espírito feminino que habita águas sombrias</t>
  </si>
  <si>
    <t>Vodyanoy das Profundezas</t>
  </si>
  <si>
    <t>Senhor dos rios e moinhos d'água</t>
  </si>
  <si>
    <t>Bakunawa, a Serpente-Lua</t>
  </si>
  <si>
    <t>Filipinas</t>
  </si>
  <si>
    <t>Dragão marinho que devora luas</t>
  </si>
  <si>
    <t>Makara Guardião</t>
  </si>
  <si>
    <t>Híbrido de crocodilo e peixe, guardião de portais aquáticos</t>
  </si>
  <si>
    <t>Jengu da Correnteza</t>
  </si>
  <si>
    <t>África Central</t>
  </si>
  <si>
    <t>Espírito protetor das águas e da pesca</t>
  </si>
  <si>
    <t>Aspidochelone Ancestral</t>
  </si>
  <si>
    <t>Folclore Medieval</t>
  </si>
  <si>
    <t>Tartaruga tão grande que parece uma ilha</t>
  </si>
  <si>
    <t>Charybdis do Redemoinho</t>
  </si>
  <si>
    <t>Força primordial que engole navios inteiros</t>
  </si>
  <si>
    <t>Kelpie das Águas Negras</t>
  </si>
  <si>
    <t>Cavalo aquático que atrai viajantes ao fundo</t>
  </si>
  <si>
    <t>Ceto, Mãe dos Monstros</t>
  </si>
  <si>
    <t>Titânide dos horrores marinhos</t>
  </si>
  <si>
    <t>Tritão Ancestral</t>
  </si>
  <si>
    <t>Mensageiro dos mares, metade homem metade peixe</t>
  </si>
  <si>
    <t>Lorelei do Penhasco</t>
  </si>
  <si>
    <t>Ninfa cujo canto atrai navios ao naufrágio</t>
  </si>
  <si>
    <t>Ifrit das Chamas</t>
  </si>
  <si>
    <t>Espírito de fogo e fumaça, nobre e orgulhoso</t>
  </si>
  <si>
    <t>Salamandra de Lava</t>
  </si>
  <si>
    <t>Criatura que vive e nasce dentro do fogo</t>
  </si>
  <si>
    <t>Touro de Fogo</t>
  </si>
  <si>
    <t>Grécia (Touros de Cólquida)</t>
  </si>
  <si>
    <t>Touro que exala chamas pelas narinas</t>
  </si>
  <si>
    <t>Corcel Flamejante</t>
  </si>
  <si>
    <t>Cavalo cujos cascos deixam rastros de fogo</t>
  </si>
  <si>
    <t>Dragão Vermelho Cadente</t>
  </si>
  <si>
    <t>Dragão de escamas incandescentes</t>
  </si>
  <si>
    <t>Dáemon Vulcânico</t>
  </si>
  <si>
    <t>Espírito nascido no coração de um vulcão</t>
  </si>
  <si>
    <t>Dracaena Flamejante</t>
  </si>
  <si>
    <t>Serpente-mulher de fogo ancestral</t>
  </si>
  <si>
    <t>Dragão Galês da Chama (Y Ddraig Goch)</t>
  </si>
  <si>
    <t>País de Gales</t>
  </si>
  <si>
    <t>Dragão vermelho símbolo de poder ancestral</t>
  </si>
  <si>
    <t>Ave-Sol Flamejante</t>
  </si>
  <si>
    <t>Pássaro cujas penas irradiam calor solar</t>
  </si>
  <si>
    <t>Espírito da Forja</t>
  </si>
  <si>
    <t>Folclore Nórdico (Anãos ferreiros)</t>
  </si>
  <si>
    <t>Guardião ancestral das forjas sagradas</t>
  </si>
  <si>
    <t>Djinn Ardente</t>
  </si>
  <si>
    <t>Espírito de desejos perigosos e chamas eternas</t>
  </si>
  <si>
    <t>Cão-Diabo Flamejante (Church Grim)</t>
  </si>
  <si>
    <t>Guardião espectral com olhos de brasa</t>
  </si>
  <si>
    <t>Basilisco de Fogo</t>
  </si>
  <si>
    <t>Réptil cujo olhar incendeia</t>
  </si>
  <si>
    <t>Chama Viva Ancestral</t>
  </si>
  <si>
    <t>Fogo puro que ganhou consciência própria</t>
  </si>
  <si>
    <t>Fera Incandescente</t>
  </si>
  <si>
    <t>Predador cuja pele nunca esfria</t>
  </si>
  <si>
    <t>Golem de Brasa</t>
  </si>
  <si>
    <t>Tradição Judaica (adaptado)</t>
  </si>
  <si>
    <t>Construto de barro e fogo eterno</t>
  </si>
  <si>
    <t>Serpente de Enxofre</t>
  </si>
  <si>
    <t>Serpente que respira gases vulcânicos</t>
  </si>
  <si>
    <t>Wyrm Escaldante</t>
  </si>
  <si>
    <t>Verme dracônico que derrete a rocha ao passar</t>
  </si>
  <si>
    <t>Corvo em Chamas</t>
  </si>
  <si>
    <t>Ave mensageira de más notícias flamejantes</t>
  </si>
  <si>
    <t>Fagulha Ancestral</t>
  </si>
  <si>
    <t>Pequeno espírito de fogo, primeira centelha da forja</t>
  </si>
  <si>
    <t>Thunderbird Ancestral</t>
  </si>
  <si>
    <t>Povos Nativos Americanos</t>
  </si>
  <si>
    <t>Ave colossal cujas asas geram trovões</t>
  </si>
  <si>
    <t>Raiju do Relâmpago</t>
  </si>
  <si>
    <t>Fera que viaja junto aos raios</t>
  </si>
  <si>
    <t>Ave-Relâmpago Andina</t>
  </si>
  <si>
    <t>Pássaro sagrado ligado às tempestades de altitude</t>
  </si>
  <si>
    <t>Harpia da Tempestade</t>
  </si>
  <si>
    <t>Criatura alada que precede ventanias</t>
  </si>
  <si>
    <t>Wyvern Elétrico</t>
  </si>
  <si>
    <t>Dragão menor que canaliza eletricidade</t>
  </si>
  <si>
    <t>Espírito do Vendaval</t>
  </si>
  <si>
    <t>Força invisível que arranca árvores pela raiz</t>
  </si>
  <si>
    <t>Corcel da Tormenta</t>
  </si>
  <si>
    <t>Cavalo cujos cascos soam como trovões</t>
  </si>
  <si>
    <t>Kaminari-neko</t>
  </si>
  <si>
    <t>Gato que traz tempestades por onde passa</t>
  </si>
  <si>
    <t>Ave-Furacão</t>
  </si>
  <si>
    <t>Pássaro cujo voo gera ventos violentos</t>
  </si>
  <si>
    <t>Grifo da Tempestade</t>
  </si>
  <si>
    <t>Guardião dos céus em dias de tormenta</t>
  </si>
  <si>
    <t>Dragão do Vento Chinês</t>
  </si>
  <si>
    <t>China</t>
  </si>
  <si>
    <t>Serpente celestial que traz as chuvas de monção</t>
  </si>
  <si>
    <t>Sylph Ancestral</t>
  </si>
  <si>
    <t>Folclore Alquímico</t>
  </si>
  <si>
    <t>Espírito elemental do ar puro</t>
  </si>
  <si>
    <t>Djinn do Vendaval</t>
  </si>
  <si>
    <t>Espírito que viaja dentro de tornados</t>
  </si>
  <si>
    <t>Ave-Relâmpago Sioux</t>
  </si>
  <si>
    <t>Povos Sioux</t>
  </si>
  <si>
    <t>Mensageira sagrada das tempestades das planícies</t>
  </si>
  <si>
    <t>Fera do Tufão</t>
  </si>
  <si>
    <t>Folclore do Sudeste Asiático</t>
  </si>
  <si>
    <t>Criatura que anuncia grandes tufões</t>
  </si>
  <si>
    <t>Serpente do Vendaval</t>
  </si>
  <si>
    <t>Serpente que se move como um redemoinho de vento</t>
  </si>
  <si>
    <t>Falcão Elétrico</t>
  </si>
  <si>
    <t>Ave de rapina que carrega cargas elétricas</t>
  </si>
  <si>
    <t>Coruja da Tormenta</t>
  </si>
  <si>
    <t>Vigia noturna que antecipa tempestades</t>
  </si>
  <si>
    <t>Wisp Elétrico</t>
  </si>
  <si>
    <t>Luz crepitante que dança entre nuvens</t>
  </si>
  <si>
    <t>Fúria do Ciclone</t>
  </si>
  <si>
    <t>Encarnação viva de uma tempestade giratória</t>
  </si>
  <si>
    <t>Golem de Pedra</t>
  </si>
  <si>
    <t>Construto animado por runas antigas</t>
  </si>
  <si>
    <t>Troll da Montanha</t>
  </si>
  <si>
    <t>Gigante bruto que vive em cavernas rochosas</t>
  </si>
  <si>
    <t>Ciclope Ferreiro</t>
  </si>
  <si>
    <t>Gigante de um olho só, mestre forjador</t>
  </si>
  <si>
    <t>Gigante de Granito</t>
  </si>
  <si>
    <t>Colosso cuja pele é pura rocha</t>
  </si>
  <si>
    <t>Behemoth Ancestral</t>
  </si>
  <si>
    <t>Tradição Bíblica</t>
  </si>
  <si>
    <t>Besta terrestre de força incomparável</t>
  </si>
  <si>
    <t>Gnomo Guardião</t>
  </si>
  <si>
    <t>Protetor de minas e tesouros subterrâneos</t>
  </si>
  <si>
    <t>Anão Ferreiro Ancestral</t>
  </si>
  <si>
    <t>Mestre artesão das profundezas da terra</t>
  </si>
  <si>
    <t>Quimera de Granito</t>
  </si>
  <si>
    <t>Grécia (adaptado)</t>
  </si>
  <si>
    <t>Fera híbrida esculpida em pedra viva</t>
  </si>
  <si>
    <t>Górgona Petrificante</t>
  </si>
  <si>
    <t>Ser cujo olhar transforma tudo em pedra</t>
  </si>
  <si>
    <t>Tartaruga-Montanha</t>
  </si>
  <si>
    <t>Criatura tão antiga que uma montanha cresceu em seu dorso</t>
  </si>
  <si>
    <t>Yaoguai de Pedra</t>
  </si>
  <si>
    <t>Espírito de rocha que testa viajantes</t>
  </si>
  <si>
    <t>Efreet de Terra</t>
  </si>
  <si>
    <t>Arábia (adaptado)</t>
  </si>
  <si>
    <t>Espírito pesado ligado às profundezas</t>
  </si>
  <si>
    <t>Colosso Ancestral</t>
  </si>
  <si>
    <t>Grécia (Rodes)</t>
  </si>
  <si>
    <t>Estátua viva de proporções colossais</t>
  </si>
  <si>
    <t>Argos de Cem Olhos</t>
  </si>
  <si>
    <t>Guardião cujo corpo é coberto de olhos vigilantes</t>
  </si>
  <si>
    <t>Espírito da Caverna</t>
  </si>
  <si>
    <t>Guardião silencioso de passagens subterrâneas</t>
  </si>
  <si>
    <t>Talos, o Autômato de Bronze</t>
  </si>
  <si>
    <t>Grécia (Creta)</t>
  </si>
  <si>
    <t>Guardião mecânico ancestral da ilha</t>
  </si>
  <si>
    <t>Oni de Pedra</t>
  </si>
  <si>
    <t>Demônio petrificado que desperta em fúria</t>
  </si>
  <si>
    <t>Guardião Megalítico</t>
  </si>
  <si>
    <t>Folclore Céltico</t>
  </si>
  <si>
    <t>Monumento de pedra que ganhou vida própria</t>
  </si>
  <si>
    <t>Titã Adormecido</t>
  </si>
  <si>
    <t>Colosso ancestral que dorme sob as montanhas</t>
  </si>
  <si>
    <t>Dragão de Granito</t>
  </si>
  <si>
    <t>Dragão cuja pele é feita de rocha viva</t>
  </si>
  <si>
    <t>Múmia Ancestral</t>
  </si>
  <si>
    <t>Guardião embalsamado de tumbas sagradas</t>
  </si>
  <si>
    <t>Chacal Guardião</t>
  </si>
  <si>
    <t>Egito (arquétipo funerário)</t>
  </si>
  <si>
    <t>Protetor dos caminhos entre a vida e a morte</t>
  </si>
  <si>
    <t>Esfinge Enigmática</t>
  </si>
  <si>
    <t>Egito/Grécia</t>
  </si>
  <si>
    <t>Guardiã que testa viajantes com enigmas</t>
  </si>
  <si>
    <t>Ammit, Devoradora de Almas</t>
  </si>
  <si>
    <t>Fera que julga corações impuros</t>
  </si>
  <si>
    <t>Ka Errante</t>
  </si>
  <si>
    <t>Espírito vital solto de seu corpo original</t>
  </si>
  <si>
    <t>Escorpião Gigante do Deserto</t>
  </si>
  <si>
    <t>Fera venenosa guardiã das areias</t>
  </si>
  <si>
    <t>Serket Ancestral</t>
  </si>
  <si>
    <t>Espírito protetor contra venenos</t>
  </si>
  <si>
    <t>Ushabti Animado</t>
  </si>
  <si>
    <t>Estatueta funerária que ganha vida para servir</t>
  </si>
  <si>
    <t>Ghoul das Dunas</t>
  </si>
  <si>
    <t>Criatura que vagueia entre os mortos do deserto</t>
  </si>
  <si>
    <t>Djinn da Areia</t>
  </si>
  <si>
    <t>Espírito que se move como tempestades de poeira</t>
  </si>
  <si>
    <t>Basilisco do Deserto</t>
  </si>
  <si>
    <t>Folclore Medieval (adaptado)</t>
  </si>
  <si>
    <t>Réptil cujo veneno seca a terra ao redor</t>
  </si>
  <si>
    <t>Abutre Sagrado</t>
  </si>
  <si>
    <t>Ave ligada à proteção dos faraós</t>
  </si>
  <si>
    <t>Sarcófago Vivo</t>
  </si>
  <si>
    <t>Guardião de pedra selado por magia antiga</t>
  </si>
  <si>
    <t>Espectro do Oásis</t>
  </si>
  <si>
    <t>Miragem que guia ou perde viajantes</t>
  </si>
  <si>
    <t>Víbora das Areias</t>
  </si>
  <si>
    <t>Serpente sagrada símbolo de realeza</t>
  </si>
  <si>
    <t>Roc das Dunas</t>
  </si>
  <si>
    <t>Ave colossal que sobrevoa desertos infinitos</t>
  </si>
  <si>
    <t>Camelo Espectral</t>
  </si>
  <si>
    <t>Folclore Beduíno</t>
  </si>
  <si>
    <t>Guia fantasmagórico de caravanas perdidas</t>
  </si>
  <si>
    <t>Wyrm de Areia</t>
  </si>
  <si>
    <t>Serpente colossal que nada sob as dunas</t>
  </si>
  <si>
    <t>Sombra do Faraó</t>
  </si>
  <si>
    <t>Eco de um governante que se recusa a descansar</t>
  </si>
  <si>
    <t>Guardião de Obelisco</t>
  </si>
  <si>
    <t>Sentinela de pedra ligada a monumentos sagrados</t>
  </si>
  <si>
    <t>Naga Venenosa</t>
  </si>
  <si>
    <t>Serpente divina guardiã de tesouros ocultos</t>
  </si>
  <si>
    <t>Basilisco da Selva</t>
  </si>
  <si>
    <t>Réptil cujo hálito envenena a vegetação</t>
  </si>
  <si>
    <t>Hidra de Lerna</t>
  </si>
  <si>
    <t>Serpente de múltiplas cabeças venenosas</t>
  </si>
  <si>
    <t>Cobra-Rei Ancestral</t>
  </si>
  <si>
    <t>Serpente majestosa temida por todas as outras</t>
  </si>
  <si>
    <t>Jorōgumo, a Aranha Encantadora</t>
  </si>
  <si>
    <t>Aranha que se transforma em bela mulher</t>
  </si>
  <si>
    <t>Sapo-Veneno Místico</t>
  </si>
  <si>
    <t>Folclore Amazônico</t>
  </si>
  <si>
    <t>Anfíbio cuja pele guarda toxinas poderosas</t>
  </si>
  <si>
    <t>Quimera Tóxica</t>
  </si>
  <si>
    <t>Grécia (adaptada)</t>
  </si>
  <si>
    <t>Fera híbrida que exala vapores venenosos</t>
  </si>
  <si>
    <t>Wyvern Venenoso</t>
  </si>
  <si>
    <t>Dragão menor de ferrão peçonhento</t>
  </si>
  <si>
    <t>Manticora Ancestral</t>
  </si>
  <si>
    <t>Fera de rosto humano e cauda de espinhos venenosos</t>
  </si>
  <si>
    <t>Górgona da Selva</t>
  </si>
  <si>
    <t>Guardiã cujo olhar paralisa com veneno</t>
  </si>
  <si>
    <t>Serpente Esmeralda</t>
  </si>
  <si>
    <t>Mesoamérica (adaptada)</t>
  </si>
  <si>
    <t>Serpente sagrada envolta em folhagem viva</t>
  </si>
  <si>
    <t>Escaravelho Tóxico</t>
  </si>
  <si>
    <t>Egito (adaptado)</t>
  </si>
  <si>
    <t>Inseto sagrado cuja carapaça exala veneno</t>
  </si>
  <si>
    <t>Flor Devoradora Ancestral</t>
  </si>
  <si>
    <t>Planta carnívora gigante da selva profunda</t>
  </si>
  <si>
    <t>Trepadeira Amaldiçoada</t>
  </si>
  <si>
    <t>Vinha viva que enreda e envenena presas</t>
  </si>
  <si>
    <t>Sanguessuga Gigante</t>
  </si>
  <si>
    <t>Criatura das águas paradas da selva</t>
  </si>
  <si>
    <t>Víbora das Sombras Verdes</t>
  </si>
  <si>
    <t>Serpente camuflada entre as folhas</t>
  </si>
  <si>
    <t>Camaleão Venenoso Ancestral</t>
  </si>
  <si>
    <t>Folclore Africano</t>
  </si>
  <si>
    <t>Réptil que muda de cor para emboscar presas</t>
  </si>
  <si>
    <t>Tarântula Real</t>
  </si>
  <si>
    <t>Folclore Sul-Americano</t>
  </si>
  <si>
    <t>Aranha gigante guardiã da copa das árvores</t>
  </si>
  <si>
    <t>Anfisbena de Duas Cabeças</t>
  </si>
  <si>
    <t>Grécia/Roma</t>
  </si>
  <si>
    <t>Serpente com uma cabeça em cada extremidade</t>
  </si>
  <si>
    <t>Lagarto-Praga</t>
  </si>
  <si>
    <t>Réptil cuja presença faz a vegetação apodrecer</t>
  </si>
  <si>
    <t>Ursa Estelar</t>
  </si>
  <si>
    <t>Grécia (Ursa Maior)</t>
  </si>
  <si>
    <t>Constelação que ganhou forma e consciência</t>
  </si>
  <si>
    <t>Dragão das Constelações</t>
  </si>
  <si>
    <t>Serpente celestial que guia as estrelas</t>
  </si>
  <si>
    <t>Fenrir Celeste</t>
  </si>
  <si>
    <t>Lobo profetizado a devorar o próprio sol</t>
  </si>
  <si>
    <t>Fera do Zodíaco</t>
  </si>
  <si>
    <t>Babilônia/Grécia</t>
  </si>
  <si>
    <t>Guardiã ligada aos ciclos celestiais</t>
  </si>
  <si>
    <t>Ouroboros Cósmico</t>
  </si>
  <si>
    <t>Serpente que devora a própria cauda em ciclo eterno</t>
  </si>
  <si>
    <t>Corcel das Estrelas</t>
  </si>
  <si>
    <t>Cavalo cujos cascos deixam rastros de constelações</t>
  </si>
  <si>
    <t>Coruja Cósmica</t>
  </si>
  <si>
    <t>Vigia silenciosa dos segredos do universo</t>
  </si>
  <si>
    <t>Ave Cósmica Ancestral</t>
  </si>
  <si>
    <t>Pássaro cujas penas são feitas de luz estelar</t>
  </si>
  <si>
    <t>Golem Estelar</t>
  </si>
  <si>
    <t>Construto forjado com fragmentos de meteoro</t>
  </si>
  <si>
    <t>Nebulosa Viva</t>
  </si>
  <si>
    <t>Nuvem cósmica que ganhou consciência própria</t>
  </si>
  <si>
    <t>Guardião da Via Láctea</t>
  </si>
  <si>
    <t>Sentinela que protege o caminho das estrelas</t>
  </si>
  <si>
    <t>Sombra Cósmica</t>
  </si>
  <si>
    <t>Eco escuro nascido entre galáxias distantes</t>
  </si>
  <si>
    <t>Cometa Vivo</t>
  </si>
  <si>
    <t>Fragmento celestial que atravessa o céu com propósito</t>
  </si>
  <si>
    <t>Espírito da Lua Cheia</t>
  </si>
  <si>
    <t>Ser ligado aos ciclos lunares e às marés</t>
  </si>
  <si>
    <t>Devoradora de Estrelas</t>
  </si>
  <si>
    <t>Entidade antiga que se alimenta de luz estelar</t>
  </si>
  <si>
    <t>Titã Astral</t>
  </si>
  <si>
    <t>Gigante primordial nascido do próprio cosmos</t>
  </si>
  <si>
    <t>Naga Celestial</t>
  </si>
  <si>
    <t>Índia (adaptada)</t>
  </si>
  <si>
    <t>Serpente divina que habita os céus noturnos</t>
  </si>
  <si>
    <t>Dragão-Lunar Chinês</t>
  </si>
  <si>
    <t>Guardião do ciclo lunar e das marés</t>
  </si>
  <si>
    <t>Wyrm das Galáxias</t>
  </si>
  <si>
    <t>Serpente colossal que serpenteia entre estrelas</t>
  </si>
  <si>
    <t>Vidente das Estrelas</t>
  </si>
  <si>
    <t>Oráculo ancestral que lê o destino nos céus</t>
  </si>
  <si>
    <t>Kraken das Trincheiras</t>
  </si>
  <si>
    <t>Titã dos mares profundos, terror dos navegantes</t>
  </si>
  <si>
    <t>Cthon Abissal</t>
  </si>
  <si>
    <t>Horror primordial que dorme no fundo do oceano</t>
  </si>
  <si>
    <t>Leviatã Ancestral</t>
  </si>
  <si>
    <t>Tradição Bíblica (adaptada)</t>
  </si>
  <si>
    <t>Serpente marinha das profundezas mais escuras</t>
  </si>
  <si>
    <t>Serpente das Fossas</t>
  </si>
  <si>
    <t>Criatura que habita as maiores profundezas oceânicas</t>
  </si>
  <si>
    <t>Behemoth das Profundezas</t>
  </si>
  <si>
    <t>Besta submersa de proporções colossais</t>
  </si>
  <si>
    <t>Peixe-Abissal Ancestral</t>
  </si>
  <si>
    <t>Predador bioluminescente das trincheiras</t>
  </si>
  <si>
    <t>Medusa das Profundezas</t>
  </si>
  <si>
    <t>Criatura marinha cujo olhar petrifica sob a água</t>
  </si>
  <si>
    <t>Kraken Filhote</t>
  </si>
  <si>
    <t>Versão jovem, ainda assim temível, do titã marinho</t>
  </si>
  <si>
    <t>Horror das Trincheiras</t>
  </si>
  <si>
    <t>Entidade sem forma definida que espreita nas sombras aquáticas</t>
  </si>
  <si>
    <t>Serpente Ceto Ancestral</t>
  </si>
  <si>
    <t>Filha das profundezas mais antigas do oceano</t>
  </si>
  <si>
    <t>Devorador de Naufrágios</t>
  </si>
  <si>
    <t>Criatura que se alimenta dos destroços afundados</t>
  </si>
  <si>
    <t>Polvo Ancestral</t>
  </si>
  <si>
    <t>Folclore Marítimo Universal</t>
  </si>
  <si>
    <t>Ser de muitos tentáculos e inteligência antiga</t>
  </si>
  <si>
    <t>Sereia Abissal</t>
  </si>
  <si>
    <t>Versão sombria das sereias, habitante do breu oceânico</t>
  </si>
  <si>
    <t>Wyrm das Fossas Marianas</t>
  </si>
  <si>
    <t>Serpente que vive na maior profundidade conhecida</t>
  </si>
  <si>
    <t>Titã Submerso</t>
  </si>
  <si>
    <t>Gigante primordial afundado pelos deuses do mar</t>
  </si>
  <si>
    <t>Espectro do Naufrágio</t>
  </si>
  <si>
    <t>Folclore Marítimo</t>
  </si>
  <si>
    <t>Alma presa a um navio afundado</t>
  </si>
  <si>
    <t>Anglerfish Ancestral</t>
  </si>
  <si>
    <t>Predadora bioluminescente que atrai presas na escuridão</t>
  </si>
  <si>
    <t>Hidra das Profundezas</t>
  </si>
  <si>
    <t>Serpente multi-cabeças adaptada ao breu abissal</t>
  </si>
  <si>
    <t>Baleia Espectral</t>
  </si>
  <si>
    <t>Gigante gentil que guia almas perdidas no mar</t>
  </si>
  <si>
    <t>Guardião do Abismo</t>
  </si>
  <si>
    <t>Sentinela ancestral que protege os segredos mais profundos do oceano</t>
  </si>
  <si>
    <t>Fera Magmática</t>
  </si>
  <si>
    <t>Criatura viva composta de lava incandescente</t>
  </si>
  <si>
    <t>Demônio do Vulcão</t>
  </si>
  <si>
    <t>Folclore Havaiano (Pele adaptado)</t>
  </si>
  <si>
    <t>Espírito colérico que habita crateras ativas</t>
  </si>
  <si>
    <t>Golem de Magma</t>
  </si>
  <si>
    <t>Construto formado no coração de um vulcão ativo</t>
  </si>
  <si>
    <t>Dragão de Obsidiana</t>
  </si>
  <si>
    <t>Dragão cuja pele é forjada em rocha vulcânica</t>
  </si>
  <si>
    <t>Fênix das Cinzas</t>
  </si>
  <si>
    <t>Ave que nasce da erupção e morre na lava</t>
  </si>
  <si>
    <t>Basilisco Magmático</t>
  </si>
  <si>
    <t>Réptil cujo sangue é lava pura</t>
  </si>
  <si>
    <t>Efrit Vulcânico</t>
  </si>
  <si>
    <t>Espírito de fogo nascido nas profundezas da terra</t>
  </si>
  <si>
    <t>Touro de Magma</t>
  </si>
  <si>
    <t>Fera cujos passos derretem a rocha</t>
  </si>
  <si>
    <t>Serpente de Obsidiana</t>
  </si>
  <si>
    <t>Serpente sagrada forjada em vidro vulcânico</t>
  </si>
  <si>
    <t>Titã Vulcânico</t>
  </si>
  <si>
    <t>Gigante primordial nascido de uma erupção antiga</t>
  </si>
  <si>
    <t>Salamandra Magmática</t>
  </si>
  <si>
    <t>Folclore Europeu (adaptada)</t>
  </si>
  <si>
    <t>Anfíbio que nada através de rios de lava</t>
  </si>
  <si>
    <t>Fúria do Crater</t>
  </si>
  <si>
    <t>Entidade colérica que habita o núcleo vulcânico</t>
  </si>
  <si>
    <t>Wyrm Vulcânico</t>
  </si>
  <si>
    <t>Serpente colossal que dorme sob vulcões inativos</t>
  </si>
  <si>
    <t>Espírito da Erupção</t>
  </si>
  <si>
    <t>Folclore Havaiano (adaptado)</t>
  </si>
  <si>
    <t>Força primordial liberada em grandes erupções</t>
  </si>
  <si>
    <t>Cão de Magma</t>
  </si>
  <si>
    <t>Predador cujas patas deixam rastros de lava</t>
  </si>
  <si>
    <t>Rocha Viva Incandescente</t>
  </si>
  <si>
    <t>Fragmento de vulcão que ganhou consciência</t>
  </si>
  <si>
    <t>Fera das Cinzas</t>
  </si>
  <si>
    <t>Criatura que se camufla em nuvens de cinza vulcânica</t>
  </si>
  <si>
    <t>Corvo de Cinzas</t>
  </si>
  <si>
    <t>Ave arauto de erupções iminentes</t>
  </si>
  <si>
    <t>Colosso de Lava</t>
  </si>
  <si>
    <t>Gigante cujo corpo nunca esfria completamente</t>
  </si>
  <si>
    <t>Núcleo Ardente</t>
  </si>
  <si>
    <t>Entidade primordial que habita o centro da terra</t>
  </si>
  <si>
    <t>Alma Penada Ancestral</t>
  </si>
  <si>
    <t>Espírito preso entre dois mundos</t>
  </si>
  <si>
    <t>Fantasma da Névoa</t>
  </si>
  <si>
    <t>Folclore Britânico</t>
  </si>
  <si>
    <t>Aparição que só surge em noites enevoadas</t>
  </si>
  <si>
    <t>Eco do Além</t>
  </si>
  <si>
    <t>Voz repetida de um passado que se recusa a morrer</t>
  </si>
  <si>
    <t>Espectro Errante</t>
  </si>
  <si>
    <t>Alma vagando sem destino definido</t>
  </si>
  <si>
    <t>Dama de Branco</t>
  </si>
  <si>
    <t>Folclore Latino-Americano (La Llorona, adaptada)</t>
  </si>
  <si>
    <t>Espírito lamentoso que vaga à procura de algo perdido</t>
  </si>
  <si>
    <t>Poltergeist Ancestral</t>
  </si>
  <si>
    <t>Folclore Alemão</t>
  </si>
  <si>
    <t>Espírito travesso que perturba objetos ao redor</t>
  </si>
  <si>
    <t>Sombra sem Corpo</t>
  </si>
  <si>
    <t>Silhueta que se move independente de seu dono original</t>
  </si>
  <si>
    <t>Wisp das Almas</t>
  </si>
  <si>
    <t>Luz fantasmagórica que guia — ou perde — viajantes</t>
  </si>
  <si>
    <t>Espírito do Pântano</t>
  </si>
  <si>
    <t>Folclore Europeu (Will-o'-the-wisp, adaptado)</t>
  </si>
  <si>
    <t>Fogo-fátuo que atrai incautos para armadilhas</t>
  </si>
  <si>
    <t>Fantasma do Farol</t>
  </si>
  <si>
    <t>Guardião espectral que ainda ilumina costas perigosas</t>
  </si>
  <si>
    <t>Ánima Errante</t>
  </si>
  <si>
    <t>Folclore Mexicano</t>
  </si>
  <si>
    <t>Alma que retorna em datas específicas do ano</t>
  </si>
  <si>
    <t>Sudário Vivo</t>
  </si>
  <si>
    <t>Mortalha animada que carrega memórias de seu dono</t>
  </si>
  <si>
    <t>Espectro da Torre</t>
  </si>
  <si>
    <t>Fantasma preso a um local de grande tragédia</t>
  </si>
  <si>
    <t>Névoa Consciente</t>
  </si>
  <si>
    <t>Nuvem espessa que pensa e observa</t>
  </si>
  <si>
    <t>Ecos de Batalha</t>
  </si>
  <si>
    <t>Vozes de guerreiros caídos que ainda ressoam no campo</t>
  </si>
  <si>
    <t>Espírito do Espelho</t>
  </si>
  <si>
    <t>Reflexo que ganhou vontade própria</t>
  </si>
  <si>
    <t>Ceifador Silencioso</t>
  </si>
  <si>
    <t>Folclore Universal (adaptado)</t>
  </si>
  <si>
    <t>Presença que acompanha os últimos momentos de vida</t>
  </si>
  <si>
    <t>Choro da Meia-Noite</t>
  </si>
  <si>
    <t>Lamento que ecoa sempre à mesma hora</t>
  </si>
  <si>
    <t>Espírito Guardião do Cemitério</t>
  </si>
  <si>
    <t>Vigia eterno dos que descansam</t>
  </si>
  <si>
    <t>Última Sombra</t>
  </si>
  <si>
    <t>Vestígio final de uma alma quase esquecida</t>
  </si>
  <si>
    <t>Autômato de Bronze Ancestral</t>
  </si>
  <si>
    <t>Grécia (Talos, adaptado)</t>
  </si>
  <si>
    <t>Construto mecânico movido por runas antigas</t>
  </si>
  <si>
    <t>Golem de Engrenagens</t>
  </si>
  <si>
    <t>Corpo mecânico animado por magia rúnica</t>
  </si>
  <si>
    <t>Sentinela Rúnica</t>
  </si>
  <si>
    <t>Guardião de metal programado para proteger segredos</t>
  </si>
  <si>
    <t>Homúnculo Mecânico</t>
  </si>
  <si>
    <t>Tradição Alquímica</t>
  </si>
  <si>
    <t>Criação artificial de vida através de runas</t>
  </si>
  <si>
    <t>Coruja de Engrenagens</t>
  </si>
  <si>
    <t>Vigia mecânica que nunca dorme</t>
  </si>
  <si>
    <t>Dragão de Metal Rúnico</t>
  </si>
  <si>
    <t>Construto dracônico movido a energia arcana</t>
  </si>
  <si>
    <t>Aranha Mecânica Ancestral</t>
  </si>
  <si>
    <t>Autômato de múltiplas patas, tecelã de armadilhas</t>
  </si>
  <si>
    <t>Cavaleiro de Latão</t>
  </si>
  <si>
    <t>Folclore Europeu (adaptado)</t>
  </si>
  <si>
    <t>Armadura animada por um núcleo rúnico</t>
  </si>
  <si>
    <t>Besouro de Cobre</t>
  </si>
  <si>
    <t>Egito (Escaravelho, adaptado)</t>
  </si>
  <si>
    <t>Inseto mecânico sagrado movido a magia solar</t>
  </si>
  <si>
    <t>Torre Ambulante Rúnica</t>
  </si>
  <si>
    <t>Construto colossal que caminha guiado por runas</t>
  </si>
  <si>
    <t>Faísca Viva</t>
  </si>
  <si>
    <t>Pequeno espírito de energia pura nascido de uma forja rúnica</t>
  </si>
  <si>
    <t>Golem de Relógio</t>
  </si>
  <si>
    <t>Construto cujo coração é um mecanismo de engrenagens</t>
  </si>
  <si>
    <t>Falcão de Bronze</t>
  </si>
  <si>
    <t>Ave mecânica usada como mensageira ancestral</t>
  </si>
  <si>
    <t>Guardião de Runas Vivas</t>
  </si>
  <si>
    <t>Sentinela cujo corpo é coberto de símbolos mágicos</t>
  </si>
  <si>
    <t>Serpente de Engrenagens</t>
  </si>
  <si>
    <t>Autômato serpentino usado para vigiar túneis</t>
  </si>
  <si>
    <t>Titã Mecânico Ancestral</t>
  </si>
  <si>
    <t>Colosso de metal esquecido há eras</t>
  </si>
  <si>
    <t>Enxame de Nanoautômatos</t>
  </si>
  <si>
    <t>Coletivo de pequenas máquinas rúnicas que agem como um só</t>
  </si>
  <si>
    <t>Fera de Vapor</t>
  </si>
  <si>
    <t>Folclore Original (Era Industrial)</t>
  </si>
  <si>
    <t>Criatura mecânica movida a pressão e magia</t>
  </si>
  <si>
    <t>Oráculo Mecânico</t>
  </si>
  <si>
    <t>Construto capaz de prever padrões através de cálculos rúnicos</t>
  </si>
  <si>
    <t>Núcleo Rúnico Ancestral</t>
  </si>
  <si>
    <t>Fonte de energia viva que dá vida a todos os autômatos do clã</t>
  </si>
  <si>
    <t>ID</t>
  </si>
  <si>
    <t>Valor Base ($/s, Grau 7.0)</t>
  </si>
  <si>
    <t>Ataque</t>
  </si>
  <si>
    <t>Defesa</t>
  </si>
  <si>
    <t>HP</t>
  </si>
  <si>
    <t>Duplicatas p/ Próx. Raridade</t>
  </si>
  <si>
    <t>Próxima Raridade</t>
  </si>
  <si>
    <t>Valor Máx ($/s, Grau 10.0)</t>
  </si>
  <si>
    <t>MÁXIMO</t>
  </si>
  <si>
    <t>Grau</t>
  </si>
  <si>
    <t>Chance de Sair no Altar (%)</t>
  </si>
  <si>
    <t>— (vazio, default)</t>
  </si>
  <si>
    <t>N/A — estado inicial, sem tentativa no Altar ainda</t>
  </si>
  <si>
    <t>Checagem: soma das chances 7.0→10.0 deve ser 100%</t>
  </si>
  <si>
    <t>Regras do Despertar:</t>
  </si>
  <si>
    <t>- Toda carta nasce SEM despertar ativo (grau vazio). Nesse estado, o "quadradinho" de grau não aparece na UI — só surge a partir do primeiro despertar bem-sucedido (7.0+).</t>
  </si>
  <si>
    <t>- Custo por tentativa no Altar AUMENTA conforme a raridade da carta (ver tabela "Custo de Despertar por Raridade" abaixo).</t>
  </si>
  <si>
    <t>- O resultado sorteado SEMPRE substitui o grau atual, pra melhor OU PRA PIOR — risco real a cada tentativa (downgrade entre 7.0 e 10.0 é possível; não regride para vazio).</t>
  </si>
  <si>
    <t>- Valor final da carta = Valor Base (seedValue x multiplicador de Raridade) x Multiplicador de Grau.</t>
  </si>
  <si>
    <t>- Grau 7.0 tem ganho pequeno mas real (x1.05) — garante que o jogador nunca gasta Diamante à toa.</t>
  </si>
  <si>
    <t>Custo de Despertar por Raridade (Diamantes por tentativa):</t>
  </si>
  <si>
    <t>Custo (Diamantes)</t>
  </si>
  <si>
    <t>Raridade Descoberta</t>
  </si>
  <si>
    <t>Diamante Ganho (1ª vez)</t>
  </si>
  <si>
    <t>Divino (bônus separado — só 15 existem, 1 por clã)</t>
  </si>
  <si>
    <t>Diamante é ganho só na PRIMEIRA vez que uma combinação criatura+raridade é descoberta (1.800 descobertas possíveis Bronze→Mítico, + 15 Divinas à parte).</t>
  </si>
  <si>
    <t>Total máximo de Diamante via Índice (300 criaturas x cada raridade Bronze→Mítico descoberta 1x):</t>
  </si>
  <si>
    <t>Diamante total possível (Bronze→Mítico):</t>
  </si>
  <si>
    <t>Diamante total possível (Divino, 15 criaturas):</t>
  </si>
  <si>
    <t>Criatura Divina</t>
  </si>
  <si>
    <t>Como Obter</t>
  </si>
  <si>
    <t>Multiplicador (Divino)</t>
  </si>
  <si>
    <t>Amaterasu</t>
  </si>
  <si>
    <t>Japão (Xintoísmo)</t>
  </si>
  <si>
    <t>Deusa suprema do sol que ilumina todos os reinos</t>
  </si>
  <si>
    <t>Pacote Divino (Evento/Robux)</t>
  </si>
  <si>
    <t>Hécate</t>
  </si>
  <si>
    <t>Deusa das encruzilhadas, magia e noite</t>
  </si>
  <si>
    <t>Cernunnos</t>
  </si>
  <si>
    <t>Celta</t>
  </si>
  <si>
    <t>Senhor cornífero da floresta e das feras</t>
  </si>
  <si>
    <t>Skadi</t>
  </si>
  <si>
    <t>Deusa caçadora do inverno eterno</t>
  </si>
  <si>
    <t>Poseidon</t>
  </si>
  <si>
    <t>Deus supremo dos mares e do tridente</t>
  </si>
  <si>
    <t>Agni</t>
  </si>
  <si>
    <t>Índia (Hinduísmo)</t>
  </si>
  <si>
    <t>Deus do fogo sagrado e purificador</t>
  </si>
  <si>
    <t>Raijin</t>
  </si>
  <si>
    <t>Deus da tempestade e dos trovões divinos</t>
  </si>
  <si>
    <t>Gaia</t>
  </si>
  <si>
    <t>Titã primordial da terra e geradora de vida</t>
  </si>
  <si>
    <t>Anubis</t>
  </si>
  <si>
    <t>Deus da morte, guardião de túmulos e ressurreição</t>
  </si>
  <si>
    <t>Shesha Naga</t>
  </si>
  <si>
    <t>Serpente cósmica de mil cabeças, guardiã das profundezas</t>
  </si>
  <si>
    <t>Nuwa</t>
  </si>
  <si>
    <t>Deusa criadora do universo e dos céus estrelados</t>
  </si>
  <si>
    <t>Cthulhu</t>
  </si>
  <si>
    <t>Mitologia Cósmica (Lovecraft - Domínio Público em 2026)</t>
  </si>
  <si>
    <t>Titã submerso de poder incompreensível</t>
  </si>
  <si>
    <t>Pele</t>
  </si>
  <si>
    <t>Havaí (Polinesiano)</t>
  </si>
  <si>
    <t>Deusa dos vulcões e do magma divino</t>
  </si>
  <si>
    <t>Morrígan</t>
  </si>
  <si>
    <t>Irlandês (Celta)</t>
  </si>
  <si>
    <t>Deusa da batalha, do destino e dos espectros</t>
  </si>
  <si>
    <t>Thoth</t>
  </si>
  <si>
    <t>Deus da sabedoria, magia rúnica e conhecimento cósmico</t>
  </si>
  <si>
    <t>Parâmetros do Sistema de Pacotes</t>
  </si>
  <si>
    <t>Multiplicador</t>
  </si>
  <si>
    <t>Valor Semente médio (das 300 criaturas, aba 'Criaturas - Base de Dados')</t>
  </si>
  <si>
    <t>Fator de Escala Econômica Global</t>
  </si>
  <si>
    <t>Fórmula de EV real ($/s esperado por carta de um pacote):  EV_real = Valor Semente Médio × Fator de Escala × Σ(odds_raridade × multiplicador_raridade)</t>
  </si>
  <si>
    <t>Preço em $ = EV_real × Payback (segundos) — tempo de produção necessário pra 'pagar' o pacote. Quanto MENOR o payback, melhor o negócio pro jogador (pacotes de tier mais alto compensam mais rápido).</t>
  </si>
  <si>
    <t>Nota: fórmula assume carta recém-nascida (Grau/Despertar neutro, sem bônus de Renascimento). Serve como estimativa inicial de balanceamento — ajustar após testes em Studio.</t>
  </si>
  <si>
    <t>Curva de Preço Acelerada — Pacotes Gerais</t>
  </si>
  <si>
    <t>Preço do Pacote #1 ($)</t>
  </si>
  <si>
    <t>Multiplicador alvo #30 / #1 (x)</t>
  </si>
  <si>
    <t>Expoente de convexidade do preço (P)</t>
  </si>
  <si>
    <t>Curva de Nível Necessário — Pacotes Gerais</t>
  </si>
  <si>
    <t>Nível necessário no Pacote #30 (máx)</t>
  </si>
  <si>
    <t>Expoente de convexidade do nível (LP)</t>
  </si>
  <si>
    <t>Fórmula: Preço(N) = Preço#1 × Multiplicador ^ (((N-1)/29) ^ P). Nível(N) = 1 + ROUND((NívelMáx-1) × ((N-1)/29) ^ LP). Ambas convexas: salto pequeno no início, grande no fim. Arredondamento manual pós-fórmula (ver coluna 'Preço' na aba Catálogo — combina ROUND com steps de granularidade por faixa).</t>
  </si>
  <si>
    <t>Nome</t>
  </si>
  <si>
    <t>Categoria</t>
  </si>
  <si>
    <t>Moeda</t>
  </si>
  <si>
    <t>Cartas/Compra</t>
  </si>
  <si>
    <t>% Bronze</t>
  </si>
  <si>
    <t>% Prata</t>
  </si>
  <si>
    <t>% Ouro</t>
  </si>
  <si>
    <t>% Platina</t>
  </si>
  <si>
    <t>% Lendário</t>
  </si>
  <si>
    <t>% Mítico</t>
  </si>
  <si>
    <t>% Divino</t>
  </si>
  <si>
    <t>Soma Odds</t>
  </si>
  <si>
    <t>EV (mult. raridade)</t>
  </si>
  <si>
    <t>Payback (s) / Markup</t>
  </si>
  <si>
    <t>Preço</t>
  </si>
  <si>
    <t>Notas</t>
  </si>
  <si>
    <t>Nível Necessário</t>
  </si>
  <si>
    <t>Novato</t>
  </si>
  <si>
    <t>Geral</t>
  </si>
  <si>
    <t>$</t>
  </si>
  <si>
    <t>Ladder geral — nível 1/30</t>
  </si>
  <si>
    <t>Recruta</t>
  </si>
  <si>
    <t>Ladder geral — nível 2/30</t>
  </si>
  <si>
    <t>Aprendiz</t>
  </si>
  <si>
    <t>Ladder geral — nível 3/30</t>
  </si>
  <si>
    <t>Errante</t>
  </si>
  <si>
    <t>Ladder geral — nível 4/30</t>
  </si>
  <si>
    <t>Andarilho</t>
  </si>
  <si>
    <t>Ladder geral — nível 5/30</t>
  </si>
  <si>
    <t>Explorador</t>
  </si>
  <si>
    <t>Ladder geral — nível 6/30</t>
  </si>
  <si>
    <t>Caçador</t>
  </si>
  <si>
    <t>Ladder geral — nível 7/30</t>
  </si>
  <si>
    <t>Rastreador</t>
  </si>
  <si>
    <t>Ladder geral — nível 8/30</t>
  </si>
  <si>
    <t>Guerreiro</t>
  </si>
  <si>
    <t>Ladder geral — nível 9/30</t>
  </si>
  <si>
    <t>Bravo</t>
  </si>
  <si>
    <t>Ladder geral — nível 10/30</t>
  </si>
  <si>
    <t>Guardião</t>
  </si>
  <si>
    <t>Ladder geral — nível 11/30</t>
  </si>
  <si>
    <t>Sentinela</t>
  </si>
  <si>
    <t>Ladder geral — nível 12/30</t>
  </si>
  <si>
    <t>Vigia</t>
  </si>
  <si>
    <t>Ladder geral — nível 13/30</t>
  </si>
  <si>
    <t>Campeão</t>
  </si>
  <si>
    <t>Ladder geral — nível 14/30</t>
  </si>
  <si>
    <t>Herói</t>
  </si>
  <si>
    <t>Ladder geral — nível 15/30</t>
  </si>
  <si>
    <t>Vencedor</t>
  </si>
  <si>
    <t>Ladder geral — nível 16/30</t>
  </si>
  <si>
    <t>Mestre</t>
  </si>
  <si>
    <t>Ladder geral — nível 17/30</t>
  </si>
  <si>
    <t>Especialista</t>
  </si>
  <si>
    <t>Ladder geral — nível 18/30</t>
  </si>
  <si>
    <t>Perito</t>
  </si>
  <si>
    <t>Ladder geral — nível 19/30</t>
  </si>
  <si>
    <t>Arauto</t>
  </si>
  <si>
    <t>Ladder geral — nível 20/30</t>
  </si>
  <si>
    <t>Mensageiro</t>
  </si>
  <si>
    <t>Ladder geral — nível 21/30</t>
  </si>
  <si>
    <t>Sábio</t>
  </si>
  <si>
    <t>Ladder geral — nível 22/30</t>
  </si>
  <si>
    <t>Erudito</t>
  </si>
  <si>
    <t>Ladder geral — nível 23/30</t>
  </si>
  <si>
    <t>Vidente</t>
  </si>
  <si>
    <t>Ladder geral — nível 24/30</t>
  </si>
  <si>
    <t>Oráculo</t>
  </si>
  <si>
    <t>Ladder geral — nível 25/30</t>
  </si>
  <si>
    <t>Profeta</t>
  </si>
  <si>
    <t>Ladder geral — nível 26/30</t>
  </si>
  <si>
    <t>Visionário</t>
  </si>
  <si>
    <t>Ladder geral — nível 27/30</t>
  </si>
  <si>
    <t>Avatar</t>
  </si>
  <si>
    <t>Ladder geral — nível 28/30</t>
  </si>
  <si>
    <t>Ascendente</t>
  </si>
  <si>
    <t>Ladder geral — nível 29/30</t>
  </si>
  <si>
    <t>Transcendente</t>
  </si>
  <si>
    <t>Ladder geral — nível 30/30</t>
  </si>
  <si>
    <t>Fragmento de Diamante</t>
  </si>
  <si>
    <t>Diamante</t>
  </si>
  <si>
    <t>💎</t>
  </si>
  <si>
    <t>Ladder diamante — nível 1/6 | Preço em 💎 ainda é estimativa abstrata — depende de como o jogador vai gerar Diamante.</t>
  </si>
  <si>
    <t>Cristal de Diamante</t>
  </si>
  <si>
    <t>Ladder diamante — nível 2/6 | Preço em 💎 ainda é estimativa abstrata — depende de como o jogador vai gerar Diamante.</t>
  </si>
  <si>
    <t>Núcleo de Diamante</t>
  </si>
  <si>
    <t>Ladder diamante — nível 3/6 | Preço em 💎 ainda é estimativa abstrata — depende de como o jogador vai gerar Diamante.</t>
  </si>
  <si>
    <t>Prisma de Diamante</t>
  </si>
  <si>
    <t>Ladder diamante — nível 4/6 | Preço em 💎 ainda é estimativa abstrata — depende de como o jogador vai gerar Diamante.</t>
  </si>
  <si>
    <t>Coroa de Diamante</t>
  </si>
  <si>
    <t>Ladder diamante — nível 5/6 | Preço em 💎 ainda é estimativa abstrata — depende de como o jogador vai gerar Diamante.</t>
  </si>
  <si>
    <t>Ápice de Diamante</t>
  </si>
  <si>
    <t>Ladder diamante — nível 6/6 | Preço em 💎 ainda é estimativa abstrata — depende de como o jogador vai gerar Diamante.</t>
  </si>
  <si>
    <t>Escudeiro</t>
  </si>
  <si>
    <t>Robux</t>
  </si>
  <si>
    <t>Ladder Robux — nível 1/9</t>
  </si>
  <si>
    <t>Nobre</t>
  </si>
  <si>
    <t>Ladder Robux — nível 2/9</t>
  </si>
  <si>
    <t>Duque</t>
  </si>
  <si>
    <t>Ladder Robux — nível 3/9</t>
  </si>
  <si>
    <t>Monarca</t>
  </si>
  <si>
    <t>Ladder Robux — nível 4/9</t>
  </si>
  <si>
    <t>Soberano</t>
  </si>
  <si>
    <t>Ladder Robux — nível 5/9</t>
  </si>
  <si>
    <t>Imperador</t>
  </si>
  <si>
    <t>Ladder Robux — nível 6/9</t>
  </si>
  <si>
    <t>Baú do Colecionador</t>
  </si>
  <si>
    <t>Multi-carta (3 cartas por compra) — nível 7/9</t>
  </si>
  <si>
    <t>Baú do Patrono</t>
  </si>
  <si>
    <t>Multi-carta (5 cartas por compra) — nível 8/9</t>
  </si>
  <si>
    <t>Baú do Fundador</t>
  </si>
  <si>
    <t>Multi-carta (8 cartas por compra) — nível 9/9</t>
  </si>
  <si>
    <t>Chegada</t>
  </si>
  <si>
    <t>Especial/Evento</t>
  </si>
  <si>
    <t>Grátis</t>
  </si>
  <si>
    <t>Starter — 1x por conta nova</t>
  </si>
  <si>
    <t>Bênção Diária</t>
  </si>
  <si>
    <t>Grátis, 1x por dia</t>
  </si>
  <si>
    <t>Retorno do Herói</t>
  </si>
  <si>
    <t>Reengajamento — condicional</t>
  </si>
  <si>
    <t>Relâmpago</t>
  </si>
  <si>
    <t>$ ou 💎 (a definir)</t>
  </si>
  <si>
    <t>a definir</t>
  </si>
  <si>
    <t>Venda-relâmpago — janela de tempo limitada, preço com desconto vs. equivalente</t>
  </si>
  <si>
    <t>Sorte do Destino</t>
  </si>
  <si>
    <t>Evento live — odds turbinadas temporariamente</t>
  </si>
  <si>
    <t>Primeiro Renascimento</t>
  </si>
  <si>
    <t>Dado automaticamente no 1º prestígio</t>
  </si>
  <si>
    <t>Portal Divino</t>
  </si>
  <si>
    <t>Evento (a definir)</t>
  </si>
  <si>
    <t>ÚNICA fonte de Raridade Divino — garante 1 carta Divino (clã aleatório), sem fusão</t>
  </si>
  <si>
    <t>Confluência Mística</t>
  </si>
  <si>
    <t>Bundle — 3 cartas por compra</t>
  </si>
  <si>
    <t>Aniversário</t>
  </si>
  <si>
    <t>Grátis / Promo</t>
  </si>
  <si>
    <t>Evento anual — data de aniversário do jogo</t>
  </si>
  <si>
    <t>Solstício de Verão</t>
  </si>
  <si>
    <t>Promo (a definir)</t>
  </si>
  <si>
    <t>Sazonal — verão</t>
  </si>
  <si>
    <t>Noite das Sombras</t>
  </si>
  <si>
    <t>Sazonal — outubro</t>
  </si>
  <si>
    <t>Amanhecer de Ano Novo</t>
  </si>
  <si>
    <t>Sazonal — virada de ano</t>
  </si>
  <si>
    <t>Colheita de Outono</t>
  </si>
  <si>
    <t>Sazonal — outono</t>
  </si>
  <si>
    <t>Convite do Amigo</t>
  </si>
  <si>
    <t>Recompensa de indicação</t>
  </si>
  <si>
    <t>Constância Semanal</t>
  </si>
  <si>
    <t>Recompensa de streak semanal</t>
  </si>
  <si>
    <t>Solstício de Inverno</t>
  </si>
  <si>
    <t>Sazonal — solstício de inverno</t>
  </si>
  <si>
    <t>Festival da Primavera</t>
  </si>
  <si>
    <t>Sazonal — primavera</t>
  </si>
  <si>
    <t>🔍 METADATA — Auditoria da Planilha Cartas Míticas</t>
  </si>
  <si>
    <t>Gerado em</t>
  </si>
  <si>
    <t>Julho 19, 2026</t>
  </si>
  <si>
    <t>Status: ✅ Completo e Validado</t>
  </si>
  <si>
    <t>RESUMO DE CONTEÚDO</t>
  </si>
  <si>
    <t>Clãs Totais</t>
  </si>
  <si>
    <t>Ordem Celestial até Engrenagem Rúnica</t>
  </si>
  <si>
    <t>Criaturas Base</t>
  </si>
  <si>
    <t>20 por clã × 15 clãs</t>
  </si>
  <si>
    <t>Criaturas Divinas</t>
  </si>
  <si>
    <t>1 por clã (Evento/Robux exclusivo)</t>
  </si>
  <si>
    <t>Raridades Padrão</t>
  </si>
  <si>
    <t>Default, Bronze, Prata, Ouro, Platina, Lendário, Mítico</t>
  </si>
  <si>
    <t>Raridade Especial</t>
  </si>
  <si>
    <t>Divino (×10.000 multiplicador, sem evolução por acúmulo)</t>
  </si>
  <si>
    <t>Pacotes Totais</t>
  </si>
  <si>
    <t>30 Geral + 6 Diamante + 9 Robux + 17 Especial/Evento</t>
  </si>
  <si>
    <t>Sistema de Grau</t>
  </si>
  <si>
    <t>Vazio (padrão) + 7.0 até 10.0 em intervalos de 0.5</t>
  </si>
  <si>
    <t>Combinações Possíveis</t>
  </si>
  <si>
    <t>1.800</t>
  </si>
  <si>
    <t>300 criaturas × 6 raridades (Divino não entra = +15)</t>
  </si>
  <si>
    <t>CHECKPOINTS FINAIS</t>
  </si>
  <si>
    <t>✅ STATUS</t>
  </si>
  <si>
    <t>NOTA</t>
  </si>
  <si>
    <t>Cores dos Clãs (15)</t>
  </si>
  <si>
    <t>✅</t>
  </si>
  <si>
    <t>Sem espaços extras, validadas contra Midjourney</t>
  </si>
  <si>
    <t>Criaturas Divinas (15)</t>
  </si>
  <si>
    <t>Completas, mitologia de domínio público</t>
  </si>
  <si>
    <t>Sistema de Raridade</t>
  </si>
  <si>
    <t>Default multiplicador ajustado, 7 raridades + 1 especial</t>
  </si>
  <si>
    <t>Pacotes Catálogo (62)</t>
  </si>
  <si>
    <t>Odds de rarity definidas, preços/moedas validadas</t>
  </si>
  <si>
    <t>Matriz Completa (1.800)</t>
  </si>
  <si>
    <t>Fórmulas formuladas, valores calculados por rarity × multiplier</t>
  </si>
  <si>
    <t>UI Style Guide</t>
  </si>
  <si>
    <t>Paleta, tipografia, componentes, animações documentadas</t>
  </si>
  <si>
    <t>Sistema de Despertar</t>
  </si>
  <si>
    <t>7 graus (vazio + 7.0-10.0), multiplicadores 1.05-2.5</t>
  </si>
  <si>
    <t>PRÓXIMOS PASSOS</t>
  </si>
  <si>
    <t>1. Testar em Roblox Studio</t>
  </si>
  <si>
    <t>Validar valores em jogo, verificar animação Divino border</t>
  </si>
  <si>
    <t>2. Criar Divino Event Pack</t>
  </si>
  <si>
    <t>Implementar sistema de abertura exclusiva, congelamento de raridade</t>
  </si>
  <si>
    <t>3. Prototipar Telas UI</t>
  </si>
  <si>
    <t>HTML mockups → React component hierarquia para Roblox</t>
  </si>
  <si>
    <t>4. Balance Playtest</t>
  </si>
  <si>
    <t>150 packs/dia simulado, curva de progressão validada</t>
  </si>
  <si>
    <t>Como usar as abas de Pacotes</t>
  </si>
  <si>
    <t>• 'Pacotes - Parâmetros': multiplicador por raridade + Valor Semente médio (300 criaturas) + fator de escala econômica. Editável (células azuis/amarelas).</t>
  </si>
  <si>
    <t>• 'Pacotes - Catálogo': os 60 pacotes definidos (30 Gerais, 6 Diamante, 9 Robux, 15 Especiais/Eventos), com odds, EV e preço.</t>
  </si>
  <si>
    <t>• Categoria Geral ($): preço calculado com fórmula real = Valor Semente Médio × Fator de Escala (1000) × EV (mult. raridade) × Payback em segundos.</t>
  </si>
  <si>
    <t>• Categoria Diamante (💎): preço ainda é uma estimativa abstrata (EV × markup) — falta decidir como o jogador gera Diamante pra amarrar isso numa fórmula real.</t>
  </si>
  <si>
    <t>• Categoria Robux: preços são valores fixos típicos de Developer Product do Roblox (não usam fórmula — é decisão de monetização, não de economia interna).</t>
  </si>
  <si>
    <t>• Categoria Especiais/Eventos: a maioria é grátis ou tem moeda/preço 'a definir' — ligado a liveops, não a uma fórmula fixa.</t>
  </si>
  <si>
    <t>• Todos os pacotes sorteiam entre os 15 clãs de forma uniforme. A única fonte de Raridade Divino é o pacote 'Portal Divino' (evento) — 100% garantido.</t>
  </si>
  <si>
    <t>Pendências antes de implementar no PackCatalog.lua:</t>
  </si>
  <si>
    <t>- Validar os preços em $ da categoria Geral contra a curva de ganho real de EconomyService/LevelService (jogador consegue gerar esse tanto de $ na hora certa da progressão?).</t>
  </si>
  <si>
    <t>- Definir como o jogador ganha 💎 Diamante p/ decidir se o preço da categoria Diamante faz sentido.</t>
  </si>
  <si>
    <t>- Confirmar os preços em Robux com base no público-alvo/benchmark de jogos similares.</t>
  </si>
  <si>
    <t>- Definir moeda e preço exatos dos pacotes de Especiais/Eventos marcados 'a definir'.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</si>
</sst>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Calibri"/>
      <charset val="1"/>
    </font>
    <font>
      <sz val="10"/>
      <name val="Arial"/>
      <charset val="1"/>
    </font>
    <font>
      <b/>
      <i/>
      <sz val="11"/>
      <color rgb="FF8A6D00"/>
      <name val="Calibri"/>
      <charset val="1"/>
    </font>
    <font>
      <b/>
      <sz val="11"/>
      <color rgb="FF2C3E50"/>
      <name val="Calibri"/>
      <charset val="1"/>
    </font>
    <font>
      <i/>
      <sz val="10"/>
      <color rgb="FF808080"/>
      <name val="Calibri"/>
      <charset val="1"/>
    </font>
    <font>
      <sz val="9"/>
      <name val="Arial"/>
      <charset val="1"/>
    </font>
    <font>
      <b/>
      <sz val="11"/>
      <color rgb="FF8A6D00"/>
      <name val="Calibri"/>
      <charset val="1"/>
    </font>
    <font>
      <b/>
      <sz val="11"/>
      <name val="Calibri"/>
      <charset val="1"/>
    </font>
    <font>
      <b/>
      <sz val="13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i/>
      <sz val="10"/>
      <color rgb="FF6B7280"/>
      <name val="Arial"/>
      <charset val="1"/>
    </font>
    <font>
      <i/>
      <sz val="9"/>
      <color rgb="FF6B7280"/>
      <name val="Arial"/>
      <charset val="1"/>
    </font>
    <font>
      <b/>
      <sz val="12"/>
      <name val="Arial"/>
      <charset val="1"/>
    </font>
    <font>
      <i/>
      <sz val="11"/>
      <color rgb="FF6B7280"/>
      <name val="Arial"/>
      <charset val="1"/>
    </font>
    <font>
      <b/>
      <sz val="11"/>
      <color rgb="FFFFFFFF"/>
      <name val="Calibri"/>
    </font>
    <font>
      <sz val="10"/>
      <name val="Calibri"/>
    </font>
    <font>
      <b/>
      <sz val="10"/>
      <color rgb="FFFFFFFF"/>
      <name val="Calibri"/>
    </font>
    <font>
      <i/>
      <sz val="9"/>
      <name val="Calibri"/>
    </font>
    <font>
      <sz val="9"/>
      <name val="Calibri"/>
    </font>
    <font>
      <b/>
      <sz val="16"/>
      <color rgb="FFFFFFFF"/>
      <name val="Calibri"/>
    </font>
    <font>
      <b/>
      <sz val="16"/>
      <name val="Calibri"/>
    </font>
    <font>
      <i/>
      <sz val="10"/>
      <color rgb="FFB0B0B0"/>
      <name val="Calibri"/>
    </font>
    <font>
      <b/>
      <sz val="11"/>
      <name val="Calibri"/>
    </font>
    <font>
      <b/>
      <sz val="14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C3E50"/>
        <bgColor rgb="FF003366"/>
      </patternFill>
    </fill>
    <fill>
      <patternFill patternType="solid">
        <fgColor rgb="FFFFF9E6"/>
        <bgColor rgb="FFFCF3CF"/>
      </patternFill>
    </fill>
    <fill>
      <patternFill patternType="solid">
        <fgColor rgb="FFD6DBDF"/>
        <bgColor rgb="FFD1D5DB"/>
      </patternFill>
    </fill>
    <fill>
      <patternFill patternType="solid">
        <fgColor rgb="FFFFFF00"/>
        <bgColor rgb="FFF4D03F"/>
      </patternFill>
    </fill>
    <fill>
      <patternFill patternType="solid">
        <fgColor rgb="FFDBEAFE"/>
        <bgColor rgb="FFE0E7FF"/>
      </patternFill>
    </fill>
    <fill>
      <patternFill patternType="solid">
        <fgColor rgb="FFE0E7FF"/>
        <bgColor rgb="FFDBEAFE"/>
      </patternFill>
    </fill>
    <fill>
      <patternFill patternType="solid">
        <fgColor rgb="FFFEF3C7"/>
        <bgColor rgb="FFFCF3CF"/>
      </patternFill>
    </fill>
    <fill>
      <patternFill patternType="solid">
        <fgColor rgb="FFD1FAE5"/>
        <bgColor rgb="FFD5F5E3"/>
      </patternFill>
    </fill>
    <fill>
      <patternFill patternType="solid">
        <fgColor rgb="FF1F3A7B"/>
        <bgColor rgb="FF1F3A7B"/>
      </patternFill>
    </fill>
    <fill>
      <patternFill patternType="solid">
        <fgColor rgb="FF8B0000"/>
        <bgColor rgb="FF8B0000"/>
      </patternFill>
    </fill>
    <fill>
      <patternFill patternType="solid">
        <fgColor rgb="FFFFF8DC"/>
        <bgColor rgb="FFFFF8DC"/>
      </patternFill>
    </fill>
    <fill>
      <patternFill patternType="solid">
        <fgColor rgb="FF8B4513"/>
        <bgColor rgb="FF8B4513"/>
      </patternFill>
    </fill>
    <fill>
      <patternFill patternType="solid">
        <fgColor rgb="FF2A4158"/>
        <bgColor rgb="FF2A4158"/>
      </patternFill>
    </fill>
    <fill>
      <patternFill patternType="solid">
        <fgColor rgb="FF4A5F7F"/>
        <bgColor rgb="FF4A5F7F"/>
      </patternFill>
    </fill>
    <fill>
      <patternFill patternType="solid">
        <fgColor rgb="FFF5F5F5"/>
        <bgColor rgb="FFF5F5F5"/>
      </patternFill>
    </fill>
    <fill>
      <patternFill patternType="solid">
        <fgColor rgb="FFE8E8E8"/>
        <bgColor rgb="FFE8E8E8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0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5" fillId="4" borderId="0" xfId="0" applyFont="1" applyFill="1"/>
    <xf numFmtId="3" fontId="0" fillId="0" borderId="0" xfId="0" applyNumberFormat="1"/>
    <xf numFmtId="0" fontId="8" fillId="3" borderId="0" xfId="0" applyFont="1" applyFill="1"/>
    <xf numFmtId="3" fontId="8" fillId="3" borderId="0" xfId="0" applyNumberFormat="1" applyFont="1" applyFill="1"/>
    <xf numFmtId="0" fontId="9" fillId="0" borderId="0" xfId="0" applyFont="1"/>
    <xf numFmtId="3" fontId="5" fillId="0" borderId="0" xfId="0" applyNumberFormat="1" applyFont="1"/>
    <xf numFmtId="0" fontId="1" fillId="2" borderId="0" xfId="0" applyFont="1" applyFill="1"/>
    <xf numFmtId="0" fontId="11" fillId="0" borderId="0" xfId="0" applyFont="1"/>
    <xf numFmtId="0" fontId="12" fillId="5" borderId="0" xfId="0" applyFont="1" applyFill="1"/>
    <xf numFmtId="0" fontId="13" fillId="0" borderId="0" xfId="0" applyFont="1"/>
    <xf numFmtId="0" fontId="16" fillId="0" borderId="0" xfId="0" applyFont="1"/>
    <xf numFmtId="0" fontId="11" fillId="0" borderId="1" xfId="0" applyFont="1" applyBorder="1"/>
    <xf numFmtId="0" fontId="11" fillId="6" borderId="1" xfId="0" applyFont="1" applyFill="1" applyBorder="1"/>
    <xf numFmtId="0" fontId="12" fillId="0" borderId="1" xfId="0" applyFont="1" applyBorder="1"/>
    <xf numFmtId="164" fontId="12" fillId="0" borderId="1" xfId="0" applyNumberFormat="1" applyFont="1" applyBorder="1"/>
    <xf numFmtId="164" fontId="11" fillId="0" borderId="1" xfId="0" applyNumberFormat="1" applyFont="1" applyBorder="1"/>
    <xf numFmtId="2" fontId="11" fillId="0" borderId="1" xfId="0" applyNumberFormat="1" applyFont="1" applyBorder="1"/>
    <xf numFmtId="165" fontId="12" fillId="0" borderId="1" xfId="0" applyNumberFormat="1" applyFont="1" applyBorder="1"/>
    <xf numFmtId="3" fontId="11" fillId="0" borderId="1" xfId="0" applyNumberFormat="1" applyFont="1" applyBorder="1"/>
    <xf numFmtId="0" fontId="11" fillId="7" borderId="1" xfId="0" applyFont="1" applyFill="1" applyBorder="1"/>
    <xf numFmtId="0" fontId="0" fillId="0" borderId="1" xfId="0" applyBorder="1"/>
    <xf numFmtId="0" fontId="11" fillId="8" borderId="1" xfId="0" applyFont="1" applyFill="1" applyBorder="1"/>
    <xf numFmtId="3" fontId="12" fillId="0" borderId="1" xfId="0" applyNumberFormat="1" applyFont="1" applyBorder="1"/>
    <xf numFmtId="0" fontId="11" fillId="9" borderId="1" xfId="0" applyFont="1" applyFill="1" applyBorder="1"/>
    <xf numFmtId="0" fontId="17" fillId="0" borderId="1" xfId="0" applyFont="1" applyBorder="1"/>
    <xf numFmtId="0" fontId="3" fillId="0" borderId="0" xfId="0" applyFont="1"/>
    <xf numFmtId="0" fontId="18" fillId="10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10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11" borderId="0" xfId="0" applyFont="1" applyFill="1" applyAlignment="1">
      <alignment vertical="center" wrapText="1"/>
    </xf>
    <xf numFmtId="0" fontId="21" fillId="12" borderId="0" xfId="0" applyFont="1" applyFill="1" applyAlignment="1">
      <alignment vertical="center" wrapText="1"/>
    </xf>
    <xf numFmtId="0" fontId="20" fillId="13" borderId="0" xfId="0" applyFont="1" applyFill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4" fillId="10" borderId="0" xfId="0" applyFont="1" applyFill="1" applyAlignment="1">
      <alignment horizontal="left" vertical="top" wrapText="1"/>
    </xf>
    <xf numFmtId="0" fontId="23" fillId="10" borderId="0" xfId="0" applyFont="1" applyFill="1" applyAlignment="1">
      <alignment horizontal="left" vertical="top" wrapText="1"/>
    </xf>
    <xf numFmtId="0" fontId="19" fillId="14" borderId="0" xfId="0" applyFont="1" applyFill="1" applyAlignment="1">
      <alignment horizontal="left" vertical="top" wrapText="1"/>
    </xf>
    <xf numFmtId="0" fontId="25" fillId="1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6" fillId="15" borderId="0" xfId="0" applyFont="1" applyFill="1" applyAlignment="1">
      <alignment horizontal="left" vertical="top" wrapText="1"/>
    </xf>
    <xf numFmtId="0" fontId="18" fillId="15" borderId="0" xfId="0" applyFont="1" applyFill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16" borderId="0" xfId="0" applyFont="1" applyFill="1" applyAlignment="1">
      <alignment horizontal="left" vertical="top" wrapText="1"/>
    </xf>
    <xf numFmtId="0" fontId="0" fillId="16" borderId="0" xfId="0" applyFill="1" applyAlignment="1">
      <alignment horizontal="left" vertical="top" wrapText="1"/>
    </xf>
    <xf numFmtId="0" fontId="27" fillId="10" borderId="0" xfId="0" applyFont="1" applyFill="1" applyAlignment="1">
      <alignment vertical="top" wrapText="1"/>
    </xf>
    <xf numFmtId="0" fontId="21" fillId="1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8" fillId="15" borderId="0" xfId="0" applyFont="1" applyFill="1" applyAlignment="1">
      <alignment vertical="top" wrapText="1"/>
    </xf>
    <xf numFmtId="0" fontId="0" fillId="18" borderId="0" xfId="0" applyFill="1" applyAlignment="1">
      <alignment vertical="top" wrapText="1"/>
    </xf>
    <xf numFmtId="0" fontId="15" fillId="0" borderId="0" xfId="0" applyFont="1"/>
    <xf numFmtId="0" fontId="0" fillId="0" borderId="0" xfId="0"/>
    <xf numFmtId="0" fontId="14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30D0D"/>
      <rgbColor rgb="FF00FF00"/>
      <rgbColor rgb="FF0000FF"/>
      <rgbColor rgb="FFFFFF00"/>
      <rgbColor rgb="FFFF00FF"/>
      <rgbColor rgb="FF00FFFF"/>
      <rgbColor rgb="FF800000"/>
      <rgbColor rgb="FF147B16"/>
      <rgbColor rgb="FF231443"/>
      <rgbColor rgb="FF9A7D0A"/>
      <rgbColor rgb="FF800080"/>
      <rgbColor rgb="FF1E8449"/>
      <rgbColor rgb="FFAAB7B8"/>
      <rgbColor rgb="FF808080"/>
      <rgbColor rgb="FFEAEDED"/>
      <rgbColor rgb="FFB23488"/>
      <rgbColor rgb="FFFEF3C7"/>
      <rgbColor rgb="FFD5F5E3"/>
      <rgbColor rgb="FF66192B"/>
      <rgbColor rgb="FFFFF9E6"/>
      <rgbColor rgb="FF0066CC"/>
      <rgbColor rgb="FFD1D5DB"/>
      <rgbColor rgb="FF000080"/>
      <rgbColor rgb="FFFF00FF"/>
      <rgbColor rgb="FFFCF3CF"/>
      <rgbColor rgb="FF00FFFF"/>
      <rgbColor rgb="FF800080"/>
      <rgbColor rgb="FF800000"/>
      <rgbColor rgb="FF0E5C52"/>
      <rgbColor rgb="FF0000FF"/>
      <rgbColor rgb="FF00CCFF"/>
      <rgbColor rgb="FFDBEAFE"/>
      <rgbColor rgb="FFD1FAE5"/>
      <rgbColor rgb="FFE4F797"/>
      <rgbColor rgb="FFAED6F1"/>
      <rgbColor rgb="FFE0E7FF"/>
      <rgbColor rgb="FFD6DBDF"/>
      <rgbColor rgb="FFFADBD8"/>
      <rgbColor rgb="FF6B7280"/>
      <rgbColor rgb="FF4B9B90"/>
      <rgbColor rgb="FF99CC00"/>
      <rgbColor rgb="FFF4D03F"/>
      <rgbColor rgb="FFFF9900"/>
      <rgbColor rgb="FF8A6D00"/>
      <rgbColor rgb="FF5D6D7E"/>
      <rgbColor rgb="FFAFA88C"/>
      <rgbColor rgb="FF003366"/>
      <rgbColor rgb="FF27AE60"/>
      <rgbColor rgb="FF003300"/>
      <rgbColor rgb="FF333300"/>
      <rgbColor rgb="FF935116"/>
      <rgbColor rgb="FFC0392B"/>
      <rgbColor rgb="FF5B2C6F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35" customWidth="1"/>
    <col min="3" max="3" width="45" customWidth="1"/>
  </cols>
  <sheetData>
    <row r="1" spans="1:3" ht="42" x14ac:dyDescent="0.3">
      <c r="A1" s="44" t="s">
        <v>26</v>
      </c>
      <c r="B1" s="45"/>
      <c r="C1" s="45"/>
    </row>
    <row r="2" spans="1:3" ht="27.6" x14ac:dyDescent="0.3">
      <c r="A2" s="46" t="s">
        <v>27</v>
      </c>
      <c r="B2" s="47" t="s">
        <v>28</v>
      </c>
      <c r="C2" s="47" t="s">
        <v>29</v>
      </c>
    </row>
    <row r="3" spans="1:3" x14ac:dyDescent="0.3">
      <c r="A3" s="48"/>
      <c r="B3" s="48"/>
      <c r="C3" s="48"/>
    </row>
    <row r="4" spans="1:3" x14ac:dyDescent="0.3">
      <c r="A4" s="49" t="s">
        <v>30</v>
      </c>
      <c r="B4" s="50"/>
      <c r="C4" s="50"/>
    </row>
    <row r="5" spans="1:3" x14ac:dyDescent="0.3">
      <c r="A5" s="51" t="s">
        <v>31</v>
      </c>
      <c r="B5" s="48" t="s">
        <v>32</v>
      </c>
      <c r="C5" s="48" t="s">
        <v>33</v>
      </c>
    </row>
    <row r="6" spans="1:3" x14ac:dyDescent="0.3">
      <c r="A6" s="52" t="s">
        <v>34</v>
      </c>
      <c r="B6" s="53" t="s">
        <v>35</v>
      </c>
      <c r="C6" s="53" t="s">
        <v>36</v>
      </c>
    </row>
    <row r="7" spans="1:3" x14ac:dyDescent="0.3">
      <c r="A7" s="51" t="s">
        <v>37</v>
      </c>
      <c r="B7" s="48" t="s">
        <v>38</v>
      </c>
      <c r="C7" s="48" t="s">
        <v>39</v>
      </c>
    </row>
    <row r="8" spans="1:3" x14ac:dyDescent="0.3">
      <c r="A8" s="52" t="s">
        <v>40</v>
      </c>
      <c r="B8" s="53" t="s">
        <v>41</v>
      </c>
      <c r="C8" s="53" t="s">
        <v>42</v>
      </c>
    </row>
    <row r="9" spans="1:3" x14ac:dyDescent="0.3">
      <c r="A9" s="51" t="s">
        <v>43</v>
      </c>
      <c r="B9" s="48" t="s">
        <v>44</v>
      </c>
      <c r="C9" s="48" t="s">
        <v>45</v>
      </c>
    </row>
    <row r="10" spans="1:3" x14ac:dyDescent="0.3">
      <c r="A10" s="52" t="s">
        <v>46</v>
      </c>
      <c r="B10" s="53" t="s">
        <v>47</v>
      </c>
      <c r="C10" s="53" t="s">
        <v>48</v>
      </c>
    </row>
    <row r="11" spans="1:3" x14ac:dyDescent="0.3">
      <c r="A11" s="48"/>
      <c r="B11" s="48"/>
      <c r="C11" s="48"/>
    </row>
    <row r="12" spans="1:3" x14ac:dyDescent="0.3">
      <c r="A12" s="49" t="s">
        <v>49</v>
      </c>
      <c r="B12" s="50"/>
      <c r="C12" s="50"/>
    </row>
    <row r="13" spans="1:3" x14ac:dyDescent="0.3">
      <c r="A13" s="51" t="s">
        <v>5</v>
      </c>
      <c r="B13" s="48" t="s">
        <v>50</v>
      </c>
      <c r="C13" s="48" t="s">
        <v>51</v>
      </c>
    </row>
    <row r="14" spans="1:3" x14ac:dyDescent="0.3">
      <c r="A14" s="52" t="s">
        <v>7</v>
      </c>
      <c r="B14" s="53" t="s">
        <v>52</v>
      </c>
      <c r="C14" s="53" t="s">
        <v>53</v>
      </c>
    </row>
    <row r="15" spans="1:3" x14ac:dyDescent="0.3">
      <c r="A15" s="51" t="s">
        <v>8</v>
      </c>
      <c r="B15" s="48" t="s">
        <v>54</v>
      </c>
      <c r="C15" s="48" t="s">
        <v>55</v>
      </c>
    </row>
    <row r="16" spans="1:3" x14ac:dyDescent="0.3">
      <c r="A16" s="52" t="s">
        <v>9</v>
      </c>
      <c r="B16" s="53" t="s">
        <v>56</v>
      </c>
      <c r="C16" s="53" t="s">
        <v>57</v>
      </c>
    </row>
    <row r="17" spans="1:3" x14ac:dyDescent="0.3">
      <c r="A17" s="51" t="s">
        <v>10</v>
      </c>
      <c r="B17" s="48" t="s">
        <v>58</v>
      </c>
      <c r="C17" s="48" t="s">
        <v>59</v>
      </c>
    </row>
    <row r="18" spans="1:3" x14ac:dyDescent="0.3">
      <c r="A18" s="52" t="s">
        <v>11</v>
      </c>
      <c r="B18" s="53" t="s">
        <v>60</v>
      </c>
      <c r="C18" s="53" t="s">
        <v>61</v>
      </c>
    </row>
    <row r="19" spans="1:3" x14ac:dyDescent="0.3">
      <c r="A19" s="51" t="s">
        <v>12</v>
      </c>
      <c r="B19" s="48" t="s">
        <v>62</v>
      </c>
      <c r="C19" s="48" t="s">
        <v>63</v>
      </c>
    </row>
    <row r="20" spans="1:3" ht="28.8" x14ac:dyDescent="0.3">
      <c r="A20" s="52" t="s">
        <v>13</v>
      </c>
      <c r="B20" s="53" t="s">
        <v>64</v>
      </c>
      <c r="C20" s="53" t="s">
        <v>65</v>
      </c>
    </row>
    <row r="21" spans="1:3" x14ac:dyDescent="0.3">
      <c r="A21" s="48"/>
      <c r="B21" s="48"/>
      <c r="C21" s="48"/>
    </row>
    <row r="22" spans="1:3" x14ac:dyDescent="0.3">
      <c r="A22" s="49" t="s">
        <v>66</v>
      </c>
      <c r="B22" s="50"/>
      <c r="C22" s="50"/>
    </row>
    <row r="23" spans="1:3" x14ac:dyDescent="0.3">
      <c r="A23" s="51" t="s">
        <v>67</v>
      </c>
      <c r="B23" s="48" t="s">
        <v>68</v>
      </c>
      <c r="C23" s="48" t="s">
        <v>69</v>
      </c>
    </row>
    <row r="24" spans="1:3" x14ac:dyDescent="0.3">
      <c r="A24" s="52" t="s">
        <v>70</v>
      </c>
      <c r="B24" s="53" t="s">
        <v>71</v>
      </c>
      <c r="C24" s="53" t="s">
        <v>72</v>
      </c>
    </row>
    <row r="25" spans="1:3" x14ac:dyDescent="0.3">
      <c r="A25" s="51" t="s">
        <v>73</v>
      </c>
      <c r="B25" s="48" t="s">
        <v>71</v>
      </c>
      <c r="C25" s="48" t="s">
        <v>74</v>
      </c>
    </row>
    <row r="26" spans="1:3" x14ac:dyDescent="0.3">
      <c r="A26" s="48"/>
      <c r="B26" s="48"/>
      <c r="C26" s="48"/>
    </row>
    <row r="27" spans="1:3" x14ac:dyDescent="0.3">
      <c r="A27" s="49" t="s">
        <v>75</v>
      </c>
      <c r="B27" s="50"/>
      <c r="C27" s="50"/>
    </row>
    <row r="28" spans="1:3" ht="28.8" x14ac:dyDescent="0.3">
      <c r="A28" s="52" t="s">
        <v>76</v>
      </c>
      <c r="B28" s="53" t="s">
        <v>77</v>
      </c>
      <c r="C28" s="53" t="s">
        <v>78</v>
      </c>
    </row>
    <row r="29" spans="1:3" ht="28.8" x14ac:dyDescent="0.3">
      <c r="A29" s="51" t="s">
        <v>79</v>
      </c>
      <c r="B29" s="48" t="s">
        <v>80</v>
      </c>
      <c r="C29" s="48" t="s">
        <v>81</v>
      </c>
    </row>
    <row r="30" spans="1:3" ht="43.2" x14ac:dyDescent="0.3">
      <c r="A30" s="52" t="s">
        <v>82</v>
      </c>
      <c r="B30" s="53" t="s">
        <v>83</v>
      </c>
      <c r="C30" s="53"/>
    </row>
    <row r="31" spans="1:3" ht="28.8" x14ac:dyDescent="0.3">
      <c r="A31" s="51" t="s">
        <v>84</v>
      </c>
      <c r="B31" s="48" t="s">
        <v>85</v>
      </c>
      <c r="C31" s="48"/>
    </row>
    <row r="32" spans="1:3" ht="28.8" x14ac:dyDescent="0.3">
      <c r="A32" s="52" t="s">
        <v>86</v>
      </c>
      <c r="B32" s="53" t="s">
        <v>87</v>
      </c>
      <c r="C32" s="53" t="s">
        <v>88</v>
      </c>
    </row>
    <row r="33" spans="1:3" ht="28.8" x14ac:dyDescent="0.3">
      <c r="A33" s="51" t="s">
        <v>89</v>
      </c>
      <c r="B33" s="48" t="s">
        <v>90</v>
      </c>
      <c r="C33" s="48" t="s">
        <v>91</v>
      </c>
    </row>
    <row r="34" spans="1:3" ht="28.8" x14ac:dyDescent="0.3">
      <c r="A34" s="52" t="s">
        <v>92</v>
      </c>
      <c r="B34" s="53" t="s">
        <v>93</v>
      </c>
      <c r="C34" s="53" t="s">
        <v>94</v>
      </c>
    </row>
    <row r="35" spans="1:3" x14ac:dyDescent="0.3">
      <c r="A35" s="48"/>
      <c r="B35" s="48"/>
      <c r="C35" s="48"/>
    </row>
    <row r="36" spans="1:3" x14ac:dyDescent="0.3">
      <c r="A36" s="49" t="s">
        <v>95</v>
      </c>
      <c r="B36" s="50"/>
      <c r="C36" s="50"/>
    </row>
    <row r="37" spans="1:3" x14ac:dyDescent="0.3">
      <c r="A37" s="51" t="s">
        <v>96</v>
      </c>
      <c r="B37" s="48" t="s">
        <v>97</v>
      </c>
      <c r="C37" s="48" t="s">
        <v>98</v>
      </c>
    </row>
    <row r="38" spans="1:3" x14ac:dyDescent="0.3">
      <c r="A38" s="52" t="s">
        <v>99</v>
      </c>
      <c r="B38" s="53" t="s">
        <v>100</v>
      </c>
      <c r="C38" s="53" t="s">
        <v>101</v>
      </c>
    </row>
    <row r="39" spans="1:3" x14ac:dyDescent="0.3">
      <c r="A39" s="51" t="s">
        <v>102</v>
      </c>
      <c r="B39" s="48" t="s">
        <v>103</v>
      </c>
      <c r="C39" s="48" t="s">
        <v>104</v>
      </c>
    </row>
    <row r="40" spans="1:3" x14ac:dyDescent="0.3">
      <c r="A40" s="52" t="s">
        <v>105</v>
      </c>
      <c r="B40" s="53" t="s">
        <v>106</v>
      </c>
      <c r="C40" s="53" t="s">
        <v>107</v>
      </c>
    </row>
    <row r="41" spans="1:3" x14ac:dyDescent="0.3">
      <c r="A41" s="48"/>
      <c r="B41" s="48"/>
      <c r="C41" s="48"/>
    </row>
    <row r="42" spans="1:3" x14ac:dyDescent="0.3">
      <c r="A42" s="49" t="s">
        <v>108</v>
      </c>
      <c r="B42" s="50"/>
      <c r="C42" s="50"/>
    </row>
    <row r="43" spans="1:3" ht="28.8" x14ac:dyDescent="0.3">
      <c r="A43" s="51" t="s">
        <v>109</v>
      </c>
      <c r="B43" s="48" t="s">
        <v>110</v>
      </c>
      <c r="C43" s="48" t="s">
        <v>111</v>
      </c>
    </row>
    <row r="44" spans="1:3" ht="28.8" x14ac:dyDescent="0.3">
      <c r="A44" s="52" t="s">
        <v>112</v>
      </c>
      <c r="B44" s="53" t="s">
        <v>113</v>
      </c>
      <c r="C44" s="53" t="s">
        <v>114</v>
      </c>
    </row>
    <row r="45" spans="1:3" x14ac:dyDescent="0.3">
      <c r="A45" s="48"/>
      <c r="B45" s="48"/>
      <c r="C45" s="48"/>
    </row>
    <row r="46" spans="1:3" x14ac:dyDescent="0.3">
      <c r="A46" s="49" t="s">
        <v>115</v>
      </c>
      <c r="B46" s="50"/>
      <c r="C46" s="50"/>
    </row>
    <row r="47" spans="1:3" ht="43.2" x14ac:dyDescent="0.3">
      <c r="A47" s="49" t="s">
        <v>116</v>
      </c>
      <c r="B47" s="50" t="s">
        <v>117</v>
      </c>
      <c r="C47" s="50" t="s">
        <v>118</v>
      </c>
    </row>
    <row r="48" spans="1:3" ht="28.8" x14ac:dyDescent="0.3">
      <c r="A48" s="49" t="s">
        <v>119</v>
      </c>
      <c r="B48" s="50" t="s">
        <v>120</v>
      </c>
      <c r="C48" s="50" t="s">
        <v>121</v>
      </c>
    </row>
    <row r="49" spans="1:3" ht="28.8" x14ac:dyDescent="0.3">
      <c r="A49" s="49" t="s">
        <v>122</v>
      </c>
      <c r="B49" s="50" t="s">
        <v>123</v>
      </c>
      <c r="C49" s="50" t="s">
        <v>124</v>
      </c>
    </row>
    <row r="50" spans="1:3" ht="43.2" x14ac:dyDescent="0.3">
      <c r="A50" s="49" t="s">
        <v>125</v>
      </c>
      <c r="B50" s="50" t="s">
        <v>126</v>
      </c>
      <c r="C50" s="50" t="s">
        <v>127</v>
      </c>
    </row>
    <row r="51" spans="1:3" ht="28.8" x14ac:dyDescent="0.3">
      <c r="A51" s="49" t="s">
        <v>128</v>
      </c>
      <c r="B51" s="50" t="s">
        <v>129</v>
      </c>
      <c r="C51" s="50" t="s">
        <v>130</v>
      </c>
    </row>
    <row r="52" spans="1:3" ht="43.2" x14ac:dyDescent="0.3">
      <c r="A52" s="49" t="s">
        <v>131</v>
      </c>
      <c r="B52" s="50" t="s">
        <v>132</v>
      </c>
      <c r="C52" s="50" t="s">
        <v>133</v>
      </c>
    </row>
    <row r="53" spans="1:3" x14ac:dyDescent="0.3">
      <c r="A53" s="48"/>
      <c r="B53" s="48"/>
      <c r="C53" s="48"/>
    </row>
    <row r="54" spans="1:3" x14ac:dyDescent="0.3">
      <c r="A54" s="49" t="s">
        <v>134</v>
      </c>
      <c r="B54" s="50"/>
      <c r="C54" s="50"/>
    </row>
    <row r="55" spans="1:3" x14ac:dyDescent="0.3">
      <c r="A55" s="51" t="s">
        <v>135</v>
      </c>
      <c r="B55" s="48" t="s">
        <v>136</v>
      </c>
      <c r="C55" s="48" t="s">
        <v>137</v>
      </c>
    </row>
    <row r="56" spans="1:3" x14ac:dyDescent="0.3">
      <c r="A56" s="52" t="s">
        <v>138</v>
      </c>
      <c r="B56" s="53" t="s">
        <v>139</v>
      </c>
      <c r="C56" s="53" t="s">
        <v>140</v>
      </c>
    </row>
    <row r="57" spans="1:3" x14ac:dyDescent="0.3">
      <c r="A57" s="51" t="s">
        <v>141</v>
      </c>
      <c r="B57" s="48" t="s">
        <v>142</v>
      </c>
      <c r="C57" s="48" t="s">
        <v>143</v>
      </c>
    </row>
    <row r="58" spans="1:3" x14ac:dyDescent="0.3">
      <c r="A58" s="52" t="s">
        <v>144</v>
      </c>
      <c r="B58" s="53" t="s">
        <v>145</v>
      </c>
      <c r="C58" s="53" t="s">
        <v>146</v>
      </c>
    </row>
    <row r="59" spans="1:3" x14ac:dyDescent="0.3">
      <c r="A59" s="48"/>
      <c r="B59" s="48"/>
      <c r="C59" s="48"/>
    </row>
    <row r="60" spans="1:3" x14ac:dyDescent="0.3">
      <c r="A60" s="49" t="s">
        <v>147</v>
      </c>
      <c r="B60" s="50"/>
      <c r="C60" s="50"/>
    </row>
    <row r="61" spans="1:3" ht="28.8" x14ac:dyDescent="0.3">
      <c r="A61" s="51" t="s">
        <v>148</v>
      </c>
      <c r="B61" s="48" t="s">
        <v>149</v>
      </c>
      <c r="C61" s="48" t="s">
        <v>150</v>
      </c>
    </row>
    <row r="62" spans="1:3" ht="43.2" x14ac:dyDescent="0.3">
      <c r="A62" s="52" t="s">
        <v>151</v>
      </c>
      <c r="B62" s="53" t="s">
        <v>152</v>
      </c>
      <c r="C62" s="53"/>
    </row>
    <row r="63" spans="1:3" x14ac:dyDescent="0.3">
      <c r="A63" s="48"/>
      <c r="B63" s="48"/>
      <c r="C63" s="4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zoomScale="90" zoomScaleNormal="90" workbookViewId="0">
      <pane ySplit="1" topLeftCell="A2" activePane="bottomLeft" state="frozen"/>
      <selection pane="bottomLeft" activeCell="C16" sqref="C16"/>
    </sheetView>
  </sheetViews>
  <sheetFormatPr defaultColWidth="8.6640625" defaultRowHeight="14.4" x14ac:dyDescent="0.3"/>
  <cols>
    <col min="1" max="1" width="20" customWidth="1"/>
    <col min="2" max="2" width="15" customWidth="1"/>
    <col min="3" max="3" width="12" customWidth="1"/>
    <col min="4" max="4" width="50" customWidth="1"/>
  </cols>
  <sheetData>
    <row r="1" spans="1:4" ht="30" customHeight="1" x14ac:dyDescent="0.3">
      <c r="A1" s="36" t="s">
        <v>153</v>
      </c>
      <c r="B1" s="36" t="s">
        <v>154</v>
      </c>
      <c r="C1" s="36" t="s">
        <v>155</v>
      </c>
      <c r="D1" s="36" t="s">
        <v>156</v>
      </c>
    </row>
    <row r="2" spans="1:4" ht="26.25" customHeight="1" x14ac:dyDescent="0.3">
      <c r="A2" s="37" t="s">
        <v>157</v>
      </c>
      <c r="B2" s="37" t="s">
        <v>158</v>
      </c>
      <c r="C2" s="37" t="s">
        <v>159</v>
      </c>
      <c r="D2" s="37" t="s">
        <v>160</v>
      </c>
    </row>
    <row r="3" spans="1:4" ht="26.25" customHeight="1" x14ac:dyDescent="0.3">
      <c r="A3" s="37" t="s">
        <v>161</v>
      </c>
      <c r="B3" s="37" t="s">
        <v>162</v>
      </c>
      <c r="C3" s="37" t="s">
        <v>163</v>
      </c>
      <c r="D3" s="37" t="s">
        <v>164</v>
      </c>
    </row>
    <row r="4" spans="1:4" ht="26.25" customHeight="1" x14ac:dyDescent="0.3">
      <c r="A4" s="37" t="s">
        <v>165</v>
      </c>
      <c r="B4" s="37" t="s">
        <v>166</v>
      </c>
      <c r="C4" s="37" t="s">
        <v>167</v>
      </c>
      <c r="D4" s="37" t="s">
        <v>168</v>
      </c>
    </row>
    <row r="5" spans="1:4" ht="14.25" customHeight="1" x14ac:dyDescent="0.3">
      <c r="A5" s="37" t="s">
        <v>169</v>
      </c>
      <c r="B5" s="37" t="s">
        <v>170</v>
      </c>
      <c r="C5" s="37" t="s">
        <v>171</v>
      </c>
      <c r="D5" s="37" t="s">
        <v>172</v>
      </c>
    </row>
    <row r="6" spans="1:4" ht="26.25" customHeight="1" x14ac:dyDescent="0.3">
      <c r="A6" s="37" t="s">
        <v>173</v>
      </c>
      <c r="B6" s="37" t="s">
        <v>174</v>
      </c>
      <c r="C6" s="37" t="s">
        <v>175</v>
      </c>
      <c r="D6" s="37" t="s">
        <v>176</v>
      </c>
    </row>
    <row r="7" spans="1:4" ht="26.25" customHeight="1" x14ac:dyDescent="0.3">
      <c r="A7" s="37" t="s">
        <v>177</v>
      </c>
      <c r="B7" s="37" t="s">
        <v>178</v>
      </c>
      <c r="C7" s="37" t="s">
        <v>179</v>
      </c>
      <c r="D7" s="37" t="s">
        <v>180</v>
      </c>
    </row>
    <row r="8" spans="1:4" ht="26.25" customHeight="1" x14ac:dyDescent="0.3">
      <c r="A8" s="37" t="s">
        <v>181</v>
      </c>
      <c r="B8" s="37" t="s">
        <v>182</v>
      </c>
      <c r="C8" s="37" t="s">
        <v>183</v>
      </c>
      <c r="D8" s="37" t="s">
        <v>184</v>
      </c>
    </row>
    <row r="9" spans="1:4" ht="26.25" customHeight="1" x14ac:dyDescent="0.3">
      <c r="A9" s="37" t="s">
        <v>185</v>
      </c>
      <c r="B9" s="37" t="s">
        <v>186</v>
      </c>
      <c r="C9" s="37" t="s">
        <v>187</v>
      </c>
      <c r="D9" s="37" t="s">
        <v>188</v>
      </c>
    </row>
    <row r="10" spans="1:4" ht="26.25" customHeight="1" x14ac:dyDescent="0.3">
      <c r="A10" s="37" t="s">
        <v>189</v>
      </c>
      <c r="B10" s="37" t="s">
        <v>190</v>
      </c>
      <c r="C10" s="37" t="s">
        <v>191</v>
      </c>
      <c r="D10" s="37" t="s">
        <v>192</v>
      </c>
    </row>
    <row r="11" spans="1:4" ht="26.25" customHeight="1" x14ac:dyDescent="0.3">
      <c r="A11" s="37" t="s">
        <v>193</v>
      </c>
      <c r="B11" s="37" t="s">
        <v>194</v>
      </c>
      <c r="C11" s="37" t="s">
        <v>195</v>
      </c>
      <c r="D11" s="37" t="s">
        <v>196</v>
      </c>
    </row>
    <row r="12" spans="1:4" ht="26.25" customHeight="1" x14ac:dyDescent="0.3">
      <c r="A12" s="37" t="s">
        <v>197</v>
      </c>
      <c r="B12" s="37" t="s">
        <v>198</v>
      </c>
      <c r="C12" s="37" t="s">
        <v>199</v>
      </c>
      <c r="D12" s="37" t="s">
        <v>200</v>
      </c>
    </row>
    <row r="13" spans="1:4" ht="26.25" customHeight="1" x14ac:dyDescent="0.3">
      <c r="A13" s="37" t="s">
        <v>201</v>
      </c>
      <c r="B13" s="37" t="s">
        <v>202</v>
      </c>
      <c r="C13" s="37" t="s">
        <v>203</v>
      </c>
      <c r="D13" s="37" t="s">
        <v>204</v>
      </c>
    </row>
    <row r="14" spans="1:4" ht="26.25" customHeight="1" x14ac:dyDescent="0.3">
      <c r="A14" s="37" t="s">
        <v>205</v>
      </c>
      <c r="B14" s="37" t="s">
        <v>206</v>
      </c>
      <c r="C14" s="37" t="s">
        <v>207</v>
      </c>
      <c r="D14" s="37" t="s">
        <v>208</v>
      </c>
    </row>
    <row r="15" spans="1:4" ht="26.25" customHeight="1" x14ac:dyDescent="0.3">
      <c r="A15" s="37" t="s">
        <v>209</v>
      </c>
      <c r="B15" s="37" t="s">
        <v>210</v>
      </c>
      <c r="C15" s="37" t="s">
        <v>211</v>
      </c>
      <c r="D15" s="37" t="s">
        <v>212</v>
      </c>
    </row>
    <row r="16" spans="1:4" ht="26.25" customHeight="1" x14ac:dyDescent="0.3">
      <c r="A16" s="37" t="s">
        <v>213</v>
      </c>
      <c r="B16" s="37" t="s">
        <v>214</v>
      </c>
      <c r="C16" s="37" t="s">
        <v>215</v>
      </c>
      <c r="D16" s="37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"/>
  <sheetViews>
    <sheetView topLeftCell="D1" zoomScaleNormal="100" workbookViewId="0">
      <pane ySplit="1" topLeftCell="A2" activePane="bottomLeft" state="frozen"/>
      <selection pane="bottomLeft" activeCell="A182" sqref="A182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4" customWidth="1"/>
    <col min="4" max="4" width="39" customWidth="1"/>
    <col min="5" max="5" width="50" customWidth="1"/>
    <col min="6" max="6" width="55" customWidth="1"/>
    <col min="7" max="7" width="30" customWidth="1"/>
    <col min="8" max="8" width="21" customWidth="1"/>
    <col min="9" max="10" width="13" customWidth="1"/>
    <col min="11" max="11" width="10" customWidth="1"/>
  </cols>
  <sheetData>
    <row r="1" spans="1:11" ht="27" customHeight="1" x14ac:dyDescent="0.3">
      <c r="A1" s="2" t="s">
        <v>217</v>
      </c>
      <c r="B1" s="2" t="s">
        <v>153</v>
      </c>
      <c r="C1" s="2" t="s">
        <v>154</v>
      </c>
      <c r="D1" s="2" t="s">
        <v>218</v>
      </c>
      <c r="E1" s="2" t="s">
        <v>219</v>
      </c>
      <c r="F1" s="2" t="s">
        <v>220</v>
      </c>
      <c r="G1" s="2" t="s">
        <v>221</v>
      </c>
      <c r="H1" s="2" t="s">
        <v>222</v>
      </c>
      <c r="I1" s="2" t="s">
        <v>223</v>
      </c>
      <c r="J1" s="2" t="s">
        <v>224</v>
      </c>
      <c r="K1" s="2" t="s">
        <v>225</v>
      </c>
    </row>
    <row r="2" spans="1:11" ht="14.25" customHeight="1" x14ac:dyDescent="0.3">
      <c r="A2" s="4">
        <v>1</v>
      </c>
      <c r="B2" s="4" t="s">
        <v>157</v>
      </c>
      <c r="C2" s="4" t="s">
        <v>158</v>
      </c>
      <c r="D2" s="4" t="s">
        <v>226</v>
      </c>
      <c r="E2" s="4" t="s">
        <v>227</v>
      </c>
      <c r="F2" s="4" t="s">
        <v>228</v>
      </c>
      <c r="G2" s="4" t="s">
        <v>7</v>
      </c>
      <c r="H2" s="4">
        <v>10</v>
      </c>
      <c r="I2" s="4">
        <v>6</v>
      </c>
      <c r="J2" s="4">
        <v>5</v>
      </c>
      <c r="K2" s="4">
        <v>32</v>
      </c>
    </row>
    <row r="3" spans="1:11" ht="26.25" customHeight="1" x14ac:dyDescent="0.3">
      <c r="A3" s="4">
        <v>2</v>
      </c>
      <c r="B3" s="4" t="s">
        <v>157</v>
      </c>
      <c r="C3" s="4" t="s">
        <v>158</v>
      </c>
      <c r="D3" s="4" t="s">
        <v>229</v>
      </c>
      <c r="E3" s="4" t="s">
        <v>230</v>
      </c>
      <c r="F3" s="4" t="s">
        <v>231</v>
      </c>
      <c r="G3" s="4" t="s">
        <v>7</v>
      </c>
      <c r="H3" s="4">
        <v>12</v>
      </c>
      <c r="I3" s="4">
        <v>7</v>
      </c>
      <c r="J3" s="4">
        <v>6</v>
      </c>
      <c r="K3" s="4">
        <v>38</v>
      </c>
    </row>
    <row r="4" spans="1:11" ht="14.25" customHeight="1" x14ac:dyDescent="0.3">
      <c r="A4" s="4">
        <v>3</v>
      </c>
      <c r="B4" s="4" t="s">
        <v>157</v>
      </c>
      <c r="C4" s="4" t="s">
        <v>158</v>
      </c>
      <c r="D4" s="4" t="s">
        <v>232</v>
      </c>
      <c r="E4" s="4" t="s">
        <v>233</v>
      </c>
      <c r="F4" s="4" t="s">
        <v>234</v>
      </c>
      <c r="G4" s="4" t="s">
        <v>7</v>
      </c>
      <c r="H4" s="4">
        <v>14</v>
      </c>
      <c r="I4" s="4">
        <v>8</v>
      </c>
      <c r="J4" s="4">
        <v>7</v>
      </c>
      <c r="K4" s="4">
        <v>45</v>
      </c>
    </row>
    <row r="5" spans="1:11" ht="14.25" customHeight="1" x14ac:dyDescent="0.3">
      <c r="A5" s="4">
        <v>4</v>
      </c>
      <c r="B5" s="4" t="s">
        <v>157</v>
      </c>
      <c r="C5" s="4" t="s">
        <v>158</v>
      </c>
      <c r="D5" s="4" t="s">
        <v>235</v>
      </c>
      <c r="E5" s="4" t="s">
        <v>236</v>
      </c>
      <c r="F5" s="4" t="s">
        <v>237</v>
      </c>
      <c r="G5" s="4" t="s">
        <v>7</v>
      </c>
      <c r="H5" s="4">
        <v>16</v>
      </c>
      <c r="I5" s="4">
        <v>10</v>
      </c>
      <c r="J5" s="4">
        <v>8</v>
      </c>
      <c r="K5" s="4">
        <v>51</v>
      </c>
    </row>
    <row r="6" spans="1:11" ht="14.25" customHeight="1" x14ac:dyDescent="0.3">
      <c r="A6" s="4">
        <v>5</v>
      </c>
      <c r="B6" s="4" t="s">
        <v>157</v>
      </c>
      <c r="C6" s="4" t="s">
        <v>158</v>
      </c>
      <c r="D6" s="4" t="s">
        <v>238</v>
      </c>
      <c r="E6" s="4" t="s">
        <v>239</v>
      </c>
      <c r="F6" s="4" t="s">
        <v>240</v>
      </c>
      <c r="G6" s="4" t="s">
        <v>8</v>
      </c>
      <c r="H6" s="4">
        <v>16</v>
      </c>
      <c r="I6" s="4">
        <v>10</v>
      </c>
      <c r="J6" s="4">
        <v>8</v>
      </c>
      <c r="K6" s="4">
        <v>51</v>
      </c>
    </row>
    <row r="7" spans="1:11" ht="14.25" customHeight="1" x14ac:dyDescent="0.3">
      <c r="A7" s="4">
        <v>6</v>
      </c>
      <c r="B7" s="4" t="s">
        <v>157</v>
      </c>
      <c r="C7" s="4" t="s">
        <v>158</v>
      </c>
      <c r="D7" s="4" t="s">
        <v>241</v>
      </c>
      <c r="E7" s="4" t="s">
        <v>242</v>
      </c>
      <c r="F7" s="4" t="s">
        <v>243</v>
      </c>
      <c r="G7" s="4" t="s">
        <v>8</v>
      </c>
      <c r="H7" s="4">
        <v>18</v>
      </c>
      <c r="I7" s="4">
        <v>11</v>
      </c>
      <c r="J7" s="4">
        <v>9</v>
      </c>
      <c r="K7" s="4">
        <v>58</v>
      </c>
    </row>
    <row r="8" spans="1:11" ht="14.25" customHeight="1" x14ac:dyDescent="0.3">
      <c r="A8" s="4">
        <v>7</v>
      </c>
      <c r="B8" s="4" t="s">
        <v>157</v>
      </c>
      <c r="C8" s="4" t="s">
        <v>158</v>
      </c>
      <c r="D8" s="4" t="s">
        <v>244</v>
      </c>
      <c r="E8" s="4" t="s">
        <v>245</v>
      </c>
      <c r="F8" s="4" t="s">
        <v>246</v>
      </c>
      <c r="G8" s="4" t="s">
        <v>8</v>
      </c>
      <c r="H8" s="4">
        <v>20</v>
      </c>
      <c r="I8" s="4">
        <v>12</v>
      </c>
      <c r="J8" s="4">
        <v>10</v>
      </c>
      <c r="K8" s="4">
        <v>64</v>
      </c>
    </row>
    <row r="9" spans="1:11" ht="14.25" customHeight="1" x14ac:dyDescent="0.3">
      <c r="A9" s="4">
        <v>8</v>
      </c>
      <c r="B9" s="4" t="s">
        <v>157</v>
      </c>
      <c r="C9" s="4" t="s">
        <v>158</v>
      </c>
      <c r="D9" s="4" t="s">
        <v>247</v>
      </c>
      <c r="E9" s="4" t="s">
        <v>248</v>
      </c>
      <c r="F9" s="4" t="s">
        <v>249</v>
      </c>
      <c r="G9" s="4" t="s">
        <v>8</v>
      </c>
      <c r="H9" s="4">
        <v>22</v>
      </c>
      <c r="I9" s="4">
        <v>13</v>
      </c>
      <c r="J9" s="4">
        <v>11</v>
      </c>
      <c r="K9" s="4">
        <v>70</v>
      </c>
    </row>
    <row r="10" spans="1:11" ht="14.25" customHeight="1" x14ac:dyDescent="0.3">
      <c r="A10" s="4">
        <v>9</v>
      </c>
      <c r="B10" s="4" t="s">
        <v>157</v>
      </c>
      <c r="C10" s="4" t="s">
        <v>158</v>
      </c>
      <c r="D10" s="4" t="s">
        <v>250</v>
      </c>
      <c r="E10" s="4" t="s">
        <v>251</v>
      </c>
      <c r="F10" s="4" t="s">
        <v>252</v>
      </c>
      <c r="G10" s="4" t="s">
        <v>9</v>
      </c>
      <c r="H10" s="4">
        <v>24</v>
      </c>
      <c r="I10" s="4">
        <v>14</v>
      </c>
      <c r="J10" s="4">
        <v>12</v>
      </c>
      <c r="K10" s="4">
        <v>77</v>
      </c>
    </row>
    <row r="11" spans="1:11" ht="14.25" customHeight="1" x14ac:dyDescent="0.3">
      <c r="A11" s="4">
        <v>10</v>
      </c>
      <c r="B11" s="4" t="s">
        <v>157</v>
      </c>
      <c r="C11" s="4" t="s">
        <v>158</v>
      </c>
      <c r="D11" s="4" t="s">
        <v>253</v>
      </c>
      <c r="E11" s="4" t="s">
        <v>254</v>
      </c>
      <c r="F11" s="4" t="s">
        <v>255</v>
      </c>
      <c r="G11" s="4" t="s">
        <v>9</v>
      </c>
      <c r="H11" s="4">
        <v>26</v>
      </c>
      <c r="I11" s="4">
        <v>16</v>
      </c>
      <c r="J11" s="4">
        <v>13</v>
      </c>
      <c r="K11" s="4">
        <v>83</v>
      </c>
    </row>
    <row r="12" spans="1:11" ht="14.25" customHeight="1" x14ac:dyDescent="0.3">
      <c r="A12" s="4">
        <v>11</v>
      </c>
      <c r="B12" s="4" t="s">
        <v>157</v>
      </c>
      <c r="C12" s="4" t="s">
        <v>158</v>
      </c>
      <c r="D12" s="4" t="s">
        <v>256</v>
      </c>
      <c r="E12" s="4" t="s">
        <v>257</v>
      </c>
      <c r="F12" s="4" t="s">
        <v>258</v>
      </c>
      <c r="G12" s="4" t="s">
        <v>9</v>
      </c>
      <c r="H12" s="4">
        <v>28</v>
      </c>
      <c r="I12" s="4">
        <v>17</v>
      </c>
      <c r="J12" s="4">
        <v>14</v>
      </c>
      <c r="K12" s="4">
        <v>90</v>
      </c>
    </row>
    <row r="13" spans="1:11" ht="14.25" customHeight="1" x14ac:dyDescent="0.3">
      <c r="A13" s="4">
        <v>12</v>
      </c>
      <c r="B13" s="4" t="s">
        <v>157</v>
      </c>
      <c r="C13" s="4" t="s">
        <v>158</v>
      </c>
      <c r="D13" s="4" t="s">
        <v>259</v>
      </c>
      <c r="E13" s="4" t="s">
        <v>254</v>
      </c>
      <c r="F13" s="4" t="s">
        <v>260</v>
      </c>
      <c r="G13" s="4" t="s">
        <v>9</v>
      </c>
      <c r="H13" s="4">
        <v>30</v>
      </c>
      <c r="I13" s="4">
        <v>18</v>
      </c>
      <c r="J13" s="4">
        <v>15</v>
      </c>
      <c r="K13" s="4">
        <v>96</v>
      </c>
    </row>
    <row r="14" spans="1:11" ht="14.25" customHeight="1" x14ac:dyDescent="0.3">
      <c r="A14" s="4">
        <v>13</v>
      </c>
      <c r="B14" s="4" t="s">
        <v>157</v>
      </c>
      <c r="C14" s="4" t="s">
        <v>158</v>
      </c>
      <c r="D14" s="4" t="s">
        <v>261</v>
      </c>
      <c r="E14" s="4" t="s">
        <v>254</v>
      </c>
      <c r="F14" s="4" t="s">
        <v>262</v>
      </c>
      <c r="G14" s="4" t="s">
        <v>10</v>
      </c>
      <c r="H14" s="4">
        <v>34</v>
      </c>
      <c r="I14" s="4">
        <v>20</v>
      </c>
      <c r="J14" s="4">
        <v>17</v>
      </c>
      <c r="K14" s="4">
        <v>109</v>
      </c>
    </row>
    <row r="15" spans="1:11" ht="14.25" customHeight="1" x14ac:dyDescent="0.3">
      <c r="A15" s="4">
        <v>14</v>
      </c>
      <c r="B15" s="4" t="s">
        <v>157</v>
      </c>
      <c r="C15" s="4" t="s">
        <v>158</v>
      </c>
      <c r="D15" s="4" t="s">
        <v>263</v>
      </c>
      <c r="E15" s="4" t="s">
        <v>264</v>
      </c>
      <c r="F15" s="4" t="s">
        <v>265</v>
      </c>
      <c r="G15" s="4" t="s">
        <v>10</v>
      </c>
      <c r="H15" s="4">
        <v>36</v>
      </c>
      <c r="I15" s="4">
        <v>22</v>
      </c>
      <c r="J15" s="4">
        <v>18</v>
      </c>
      <c r="K15" s="4">
        <v>115</v>
      </c>
    </row>
    <row r="16" spans="1:11" ht="14.25" customHeight="1" x14ac:dyDescent="0.3">
      <c r="A16" s="4">
        <v>15</v>
      </c>
      <c r="B16" s="4" t="s">
        <v>157</v>
      </c>
      <c r="C16" s="4" t="s">
        <v>158</v>
      </c>
      <c r="D16" s="4" t="s">
        <v>266</v>
      </c>
      <c r="E16" s="4" t="s">
        <v>267</v>
      </c>
      <c r="F16" s="4" t="s">
        <v>268</v>
      </c>
      <c r="G16" s="4" t="s">
        <v>10</v>
      </c>
      <c r="H16" s="4">
        <v>38</v>
      </c>
      <c r="I16" s="4">
        <v>23</v>
      </c>
      <c r="J16" s="4">
        <v>19</v>
      </c>
      <c r="K16" s="4">
        <v>122</v>
      </c>
    </row>
    <row r="17" spans="1:11" ht="14.25" customHeight="1" x14ac:dyDescent="0.3">
      <c r="A17" s="4">
        <v>16</v>
      </c>
      <c r="B17" s="4" t="s">
        <v>157</v>
      </c>
      <c r="C17" s="4" t="s">
        <v>158</v>
      </c>
      <c r="D17" s="4" t="s">
        <v>269</v>
      </c>
      <c r="E17" s="4" t="s">
        <v>270</v>
      </c>
      <c r="F17" s="4" t="s">
        <v>271</v>
      </c>
      <c r="G17" s="4" t="s">
        <v>11</v>
      </c>
      <c r="H17" s="4">
        <v>54</v>
      </c>
      <c r="I17" s="4">
        <v>32</v>
      </c>
      <c r="J17" s="4">
        <v>27</v>
      </c>
      <c r="K17" s="4">
        <v>173</v>
      </c>
    </row>
    <row r="18" spans="1:11" ht="14.25" customHeight="1" x14ac:dyDescent="0.3">
      <c r="A18" s="4">
        <v>17</v>
      </c>
      <c r="B18" s="4" t="s">
        <v>157</v>
      </c>
      <c r="C18" s="4" t="s">
        <v>158</v>
      </c>
      <c r="D18" s="4" t="s">
        <v>272</v>
      </c>
      <c r="E18" s="4" t="s">
        <v>273</v>
      </c>
      <c r="F18" s="4" t="s">
        <v>274</v>
      </c>
      <c r="G18" s="4" t="s">
        <v>11</v>
      </c>
      <c r="H18" s="4">
        <v>48</v>
      </c>
      <c r="I18" s="4">
        <v>29</v>
      </c>
      <c r="J18" s="4">
        <v>24</v>
      </c>
      <c r="K18" s="4">
        <v>154</v>
      </c>
    </row>
    <row r="19" spans="1:11" ht="14.25" customHeight="1" x14ac:dyDescent="0.3">
      <c r="A19" s="4">
        <v>18</v>
      </c>
      <c r="B19" s="4" t="s">
        <v>157</v>
      </c>
      <c r="C19" s="4" t="s">
        <v>158</v>
      </c>
      <c r="D19" s="4" t="s">
        <v>275</v>
      </c>
      <c r="E19" s="4" t="s">
        <v>233</v>
      </c>
      <c r="F19" s="4" t="s">
        <v>276</v>
      </c>
      <c r="G19" s="4" t="s">
        <v>11</v>
      </c>
      <c r="H19" s="4">
        <v>50</v>
      </c>
      <c r="I19" s="4">
        <v>30</v>
      </c>
      <c r="J19" s="4">
        <v>25</v>
      </c>
      <c r="K19" s="4">
        <v>160</v>
      </c>
    </row>
    <row r="20" spans="1:11" ht="14.25" customHeight="1" x14ac:dyDescent="0.3">
      <c r="A20" s="4">
        <v>19</v>
      </c>
      <c r="B20" s="4" t="s">
        <v>157</v>
      </c>
      <c r="C20" s="4" t="s">
        <v>158</v>
      </c>
      <c r="D20" s="4" t="s">
        <v>277</v>
      </c>
      <c r="E20" s="4" t="s">
        <v>264</v>
      </c>
      <c r="F20" s="4" t="s">
        <v>278</v>
      </c>
      <c r="G20" s="4" t="s">
        <v>12</v>
      </c>
      <c r="H20" s="4">
        <v>69</v>
      </c>
      <c r="I20" s="4">
        <v>41</v>
      </c>
      <c r="J20" s="4">
        <v>34</v>
      </c>
      <c r="K20" s="4">
        <v>221</v>
      </c>
    </row>
    <row r="21" spans="1:11" ht="14.25" customHeight="1" x14ac:dyDescent="0.3">
      <c r="A21" s="4">
        <v>20</v>
      </c>
      <c r="B21" s="4" t="s">
        <v>157</v>
      </c>
      <c r="C21" s="4" t="s">
        <v>158</v>
      </c>
      <c r="D21" s="4" t="s">
        <v>279</v>
      </c>
      <c r="E21" s="4" t="s">
        <v>280</v>
      </c>
      <c r="F21" s="4" t="s">
        <v>281</v>
      </c>
      <c r="G21" s="4" t="s">
        <v>12</v>
      </c>
      <c r="H21" s="4">
        <v>71</v>
      </c>
      <c r="I21" s="4">
        <v>43</v>
      </c>
      <c r="J21" s="4">
        <v>36</v>
      </c>
      <c r="K21" s="4">
        <v>227</v>
      </c>
    </row>
    <row r="22" spans="1:11" ht="14.25" customHeight="1" x14ac:dyDescent="0.3">
      <c r="A22" s="4">
        <v>21</v>
      </c>
      <c r="B22" s="4" t="s">
        <v>161</v>
      </c>
      <c r="C22" s="4" t="s">
        <v>162</v>
      </c>
      <c r="D22" s="4" t="s">
        <v>282</v>
      </c>
      <c r="E22" s="4" t="s">
        <v>283</v>
      </c>
      <c r="F22" s="4" t="s">
        <v>284</v>
      </c>
      <c r="G22" s="4" t="s">
        <v>7</v>
      </c>
      <c r="H22" s="4">
        <v>10</v>
      </c>
      <c r="I22" s="4">
        <v>6</v>
      </c>
      <c r="J22" s="4">
        <v>5</v>
      </c>
      <c r="K22" s="4">
        <v>32</v>
      </c>
    </row>
    <row r="23" spans="1:11" ht="14.25" customHeight="1" x14ac:dyDescent="0.3">
      <c r="A23" s="4">
        <v>22</v>
      </c>
      <c r="B23" s="4" t="s">
        <v>161</v>
      </c>
      <c r="C23" s="4" t="s">
        <v>162</v>
      </c>
      <c r="D23" s="4" t="s">
        <v>285</v>
      </c>
      <c r="E23" s="4" t="s">
        <v>283</v>
      </c>
      <c r="F23" s="4" t="s">
        <v>286</v>
      </c>
      <c r="G23" s="4" t="s">
        <v>7</v>
      </c>
      <c r="H23" s="4">
        <v>12</v>
      </c>
      <c r="I23" s="4">
        <v>7</v>
      </c>
      <c r="J23" s="4">
        <v>6</v>
      </c>
      <c r="K23" s="4">
        <v>38</v>
      </c>
    </row>
    <row r="24" spans="1:11" ht="14.25" customHeight="1" x14ac:dyDescent="0.3">
      <c r="A24" s="4">
        <v>23</v>
      </c>
      <c r="B24" s="4" t="s">
        <v>161</v>
      </c>
      <c r="C24" s="4" t="s">
        <v>162</v>
      </c>
      <c r="D24" s="4" t="s">
        <v>287</v>
      </c>
      <c r="E24" s="4" t="s">
        <v>288</v>
      </c>
      <c r="F24" s="4" t="s">
        <v>289</v>
      </c>
      <c r="G24" s="4" t="s">
        <v>7</v>
      </c>
      <c r="H24" s="4">
        <v>14</v>
      </c>
      <c r="I24" s="4">
        <v>8</v>
      </c>
      <c r="J24" s="4">
        <v>7</v>
      </c>
      <c r="K24" s="4">
        <v>45</v>
      </c>
    </row>
    <row r="25" spans="1:11" ht="14.25" customHeight="1" x14ac:dyDescent="0.3">
      <c r="A25" s="4">
        <v>24</v>
      </c>
      <c r="B25" s="4" t="s">
        <v>161</v>
      </c>
      <c r="C25" s="4" t="s">
        <v>162</v>
      </c>
      <c r="D25" s="4" t="s">
        <v>290</v>
      </c>
      <c r="E25" s="4" t="s">
        <v>283</v>
      </c>
      <c r="F25" s="4" t="s">
        <v>291</v>
      </c>
      <c r="G25" s="4" t="s">
        <v>7</v>
      </c>
      <c r="H25" s="4">
        <v>16</v>
      </c>
      <c r="I25" s="4">
        <v>10</v>
      </c>
      <c r="J25" s="4">
        <v>8</v>
      </c>
      <c r="K25" s="4">
        <v>51</v>
      </c>
    </row>
    <row r="26" spans="1:11" ht="14.25" customHeight="1" x14ac:dyDescent="0.3">
      <c r="A26" s="4">
        <v>25</v>
      </c>
      <c r="B26" s="4" t="s">
        <v>161</v>
      </c>
      <c r="C26" s="4" t="s">
        <v>162</v>
      </c>
      <c r="D26" s="4" t="s">
        <v>292</v>
      </c>
      <c r="E26" s="4" t="s">
        <v>293</v>
      </c>
      <c r="F26" s="4" t="s">
        <v>294</v>
      </c>
      <c r="G26" s="4" t="s">
        <v>8</v>
      </c>
      <c r="H26" s="4">
        <v>16</v>
      </c>
      <c r="I26" s="4">
        <v>10</v>
      </c>
      <c r="J26" s="4">
        <v>8</v>
      </c>
      <c r="K26" s="4">
        <v>51</v>
      </c>
    </row>
    <row r="27" spans="1:11" ht="14.25" customHeight="1" x14ac:dyDescent="0.3">
      <c r="A27" s="4">
        <v>26</v>
      </c>
      <c r="B27" s="4" t="s">
        <v>161</v>
      </c>
      <c r="C27" s="4" t="s">
        <v>162</v>
      </c>
      <c r="D27" s="4" t="s">
        <v>295</v>
      </c>
      <c r="E27" s="4" t="s">
        <v>283</v>
      </c>
      <c r="F27" s="4" t="s">
        <v>296</v>
      </c>
      <c r="G27" s="4" t="s">
        <v>8</v>
      </c>
      <c r="H27" s="4">
        <v>18</v>
      </c>
      <c r="I27" s="4">
        <v>11</v>
      </c>
      <c r="J27" s="4">
        <v>9</v>
      </c>
      <c r="K27" s="4">
        <v>58</v>
      </c>
    </row>
    <row r="28" spans="1:11" ht="14.25" customHeight="1" x14ac:dyDescent="0.3">
      <c r="A28" s="4">
        <v>27</v>
      </c>
      <c r="B28" s="4" t="s">
        <v>161</v>
      </c>
      <c r="C28" s="4" t="s">
        <v>162</v>
      </c>
      <c r="D28" s="4" t="s">
        <v>297</v>
      </c>
      <c r="E28" s="4" t="s">
        <v>298</v>
      </c>
      <c r="F28" s="4" t="s">
        <v>299</v>
      </c>
      <c r="G28" s="4" t="s">
        <v>8</v>
      </c>
      <c r="H28" s="4">
        <v>20</v>
      </c>
      <c r="I28" s="4">
        <v>12</v>
      </c>
      <c r="J28" s="4">
        <v>10</v>
      </c>
      <c r="K28" s="4">
        <v>64</v>
      </c>
    </row>
    <row r="29" spans="1:11" ht="14.25" customHeight="1" x14ac:dyDescent="0.3">
      <c r="A29" s="4">
        <v>28</v>
      </c>
      <c r="B29" s="4" t="s">
        <v>161</v>
      </c>
      <c r="C29" s="4" t="s">
        <v>162</v>
      </c>
      <c r="D29" s="4" t="s">
        <v>300</v>
      </c>
      <c r="E29" s="4" t="s">
        <v>301</v>
      </c>
      <c r="F29" s="4" t="s">
        <v>302</v>
      </c>
      <c r="G29" s="4" t="s">
        <v>8</v>
      </c>
      <c r="H29" s="4">
        <v>22</v>
      </c>
      <c r="I29" s="4">
        <v>13</v>
      </c>
      <c r="J29" s="4">
        <v>11</v>
      </c>
      <c r="K29" s="4">
        <v>70</v>
      </c>
    </row>
    <row r="30" spans="1:11" ht="14.25" customHeight="1" x14ac:dyDescent="0.3">
      <c r="A30" s="4">
        <v>29</v>
      </c>
      <c r="B30" s="4" t="s">
        <v>161</v>
      </c>
      <c r="C30" s="4" t="s">
        <v>162</v>
      </c>
      <c r="D30" s="4" t="s">
        <v>303</v>
      </c>
      <c r="E30" s="4" t="s">
        <v>304</v>
      </c>
      <c r="F30" s="4" t="s">
        <v>305</v>
      </c>
      <c r="G30" s="4" t="s">
        <v>9</v>
      </c>
      <c r="H30" s="4">
        <v>24</v>
      </c>
      <c r="I30" s="4">
        <v>14</v>
      </c>
      <c r="J30" s="4">
        <v>12</v>
      </c>
      <c r="K30" s="4">
        <v>77</v>
      </c>
    </row>
    <row r="31" spans="1:11" ht="14.25" customHeight="1" x14ac:dyDescent="0.3">
      <c r="A31" s="4">
        <v>30</v>
      </c>
      <c r="B31" s="4" t="s">
        <v>161</v>
      </c>
      <c r="C31" s="4" t="s">
        <v>162</v>
      </c>
      <c r="D31" s="4" t="s">
        <v>306</v>
      </c>
      <c r="E31" s="4" t="s">
        <v>307</v>
      </c>
      <c r="F31" s="4" t="s">
        <v>308</v>
      </c>
      <c r="G31" s="4" t="s">
        <v>9</v>
      </c>
      <c r="H31" s="4">
        <v>26</v>
      </c>
      <c r="I31" s="4">
        <v>16</v>
      </c>
      <c r="J31" s="4">
        <v>13</v>
      </c>
      <c r="K31" s="4">
        <v>83</v>
      </c>
    </row>
    <row r="32" spans="1:11" ht="14.25" customHeight="1" x14ac:dyDescent="0.3">
      <c r="A32" s="4">
        <v>31</v>
      </c>
      <c r="B32" s="4" t="s">
        <v>161</v>
      </c>
      <c r="C32" s="4" t="s">
        <v>162</v>
      </c>
      <c r="D32" s="4" t="s">
        <v>309</v>
      </c>
      <c r="E32" s="4" t="s">
        <v>310</v>
      </c>
      <c r="F32" s="4" t="s">
        <v>311</v>
      </c>
      <c r="G32" s="4" t="s">
        <v>9</v>
      </c>
      <c r="H32" s="4">
        <v>28</v>
      </c>
      <c r="I32" s="4">
        <v>17</v>
      </c>
      <c r="J32" s="4">
        <v>14</v>
      </c>
      <c r="K32" s="4">
        <v>90</v>
      </c>
    </row>
    <row r="33" spans="1:11" ht="14.25" customHeight="1" x14ac:dyDescent="0.3">
      <c r="A33" s="4">
        <v>32</v>
      </c>
      <c r="B33" s="4" t="s">
        <v>161</v>
      </c>
      <c r="C33" s="4" t="s">
        <v>162</v>
      </c>
      <c r="D33" s="4" t="s">
        <v>312</v>
      </c>
      <c r="E33" s="4" t="s">
        <v>233</v>
      </c>
      <c r="F33" s="4" t="s">
        <v>313</v>
      </c>
      <c r="G33" s="4" t="s">
        <v>9</v>
      </c>
      <c r="H33" s="4">
        <v>30</v>
      </c>
      <c r="I33" s="4">
        <v>18</v>
      </c>
      <c r="J33" s="4">
        <v>15</v>
      </c>
      <c r="K33" s="4">
        <v>96</v>
      </c>
    </row>
    <row r="34" spans="1:11" ht="14.25" customHeight="1" x14ac:dyDescent="0.3">
      <c r="A34" s="4">
        <v>33</v>
      </c>
      <c r="B34" s="4" t="s">
        <v>161</v>
      </c>
      <c r="C34" s="4" t="s">
        <v>162</v>
      </c>
      <c r="D34" s="4" t="s">
        <v>314</v>
      </c>
      <c r="E34" s="4" t="s">
        <v>283</v>
      </c>
      <c r="F34" s="4" t="s">
        <v>315</v>
      </c>
      <c r="G34" s="4" t="s">
        <v>10</v>
      </c>
      <c r="H34" s="4">
        <v>34</v>
      </c>
      <c r="I34" s="4">
        <v>20</v>
      </c>
      <c r="J34" s="4">
        <v>17</v>
      </c>
      <c r="K34" s="4">
        <v>109</v>
      </c>
    </row>
    <row r="35" spans="1:11" ht="14.25" customHeight="1" x14ac:dyDescent="0.3">
      <c r="A35" s="4">
        <v>34</v>
      </c>
      <c r="B35" s="4" t="s">
        <v>161</v>
      </c>
      <c r="C35" s="4" t="s">
        <v>162</v>
      </c>
      <c r="D35" s="4" t="s">
        <v>316</v>
      </c>
      <c r="E35" s="4" t="s">
        <v>283</v>
      </c>
      <c r="F35" s="4" t="s">
        <v>317</v>
      </c>
      <c r="G35" s="4" t="s">
        <v>10</v>
      </c>
      <c r="H35" s="4">
        <v>36</v>
      </c>
      <c r="I35" s="4">
        <v>22</v>
      </c>
      <c r="J35" s="4">
        <v>18</v>
      </c>
      <c r="K35" s="4">
        <v>115</v>
      </c>
    </row>
    <row r="36" spans="1:11" ht="14.25" customHeight="1" x14ac:dyDescent="0.3">
      <c r="A36" s="4">
        <v>35</v>
      </c>
      <c r="B36" s="4" t="s">
        <v>161</v>
      </c>
      <c r="C36" s="4" t="s">
        <v>162</v>
      </c>
      <c r="D36" s="4" t="s">
        <v>318</v>
      </c>
      <c r="E36" s="4" t="s">
        <v>283</v>
      </c>
      <c r="F36" s="4" t="s">
        <v>319</v>
      </c>
      <c r="G36" s="4" t="s">
        <v>10</v>
      </c>
      <c r="H36" s="4">
        <v>38</v>
      </c>
      <c r="I36" s="4">
        <v>23</v>
      </c>
      <c r="J36" s="4">
        <v>19</v>
      </c>
      <c r="K36" s="4">
        <v>122</v>
      </c>
    </row>
    <row r="37" spans="1:11" ht="14.25" customHeight="1" x14ac:dyDescent="0.3">
      <c r="A37" s="4">
        <v>36</v>
      </c>
      <c r="B37" s="4" t="s">
        <v>161</v>
      </c>
      <c r="C37" s="4" t="s">
        <v>162</v>
      </c>
      <c r="D37" s="4" t="s">
        <v>320</v>
      </c>
      <c r="E37" s="4" t="s">
        <v>280</v>
      </c>
      <c r="F37" s="4" t="s">
        <v>321</v>
      </c>
      <c r="G37" s="4" t="s">
        <v>11</v>
      </c>
      <c r="H37" s="4">
        <v>54</v>
      </c>
      <c r="I37" s="4">
        <v>32</v>
      </c>
      <c r="J37" s="4">
        <v>27</v>
      </c>
      <c r="K37" s="4">
        <v>173</v>
      </c>
    </row>
    <row r="38" spans="1:11" ht="14.25" customHeight="1" x14ac:dyDescent="0.3">
      <c r="A38" s="4">
        <v>37</v>
      </c>
      <c r="B38" s="4" t="s">
        <v>161</v>
      </c>
      <c r="C38" s="4" t="s">
        <v>162</v>
      </c>
      <c r="D38" s="4" t="s">
        <v>322</v>
      </c>
      <c r="E38" s="4" t="s">
        <v>273</v>
      </c>
      <c r="F38" s="4" t="s">
        <v>323</v>
      </c>
      <c r="G38" s="4" t="s">
        <v>11</v>
      </c>
      <c r="H38" s="4">
        <v>48</v>
      </c>
      <c r="I38" s="4">
        <v>29</v>
      </c>
      <c r="J38" s="4">
        <v>24</v>
      </c>
      <c r="K38" s="4">
        <v>154</v>
      </c>
    </row>
    <row r="39" spans="1:11" ht="14.25" customHeight="1" x14ac:dyDescent="0.3">
      <c r="A39" s="4">
        <v>38</v>
      </c>
      <c r="B39" s="4" t="s">
        <v>161</v>
      </c>
      <c r="C39" s="4" t="s">
        <v>162</v>
      </c>
      <c r="D39" s="4" t="s">
        <v>324</v>
      </c>
      <c r="E39" s="4" t="s">
        <v>325</v>
      </c>
      <c r="F39" s="4" t="s">
        <v>326</v>
      </c>
      <c r="G39" s="4" t="s">
        <v>11</v>
      </c>
      <c r="H39" s="4">
        <v>50</v>
      </c>
      <c r="I39" s="4">
        <v>30</v>
      </c>
      <c r="J39" s="4">
        <v>25</v>
      </c>
      <c r="K39" s="4">
        <v>160</v>
      </c>
    </row>
    <row r="40" spans="1:11" ht="14.25" customHeight="1" x14ac:dyDescent="0.3">
      <c r="A40" s="4">
        <v>39</v>
      </c>
      <c r="B40" s="4" t="s">
        <v>161</v>
      </c>
      <c r="C40" s="4" t="s">
        <v>162</v>
      </c>
      <c r="D40" s="4" t="s">
        <v>327</v>
      </c>
      <c r="E40" s="4" t="s">
        <v>245</v>
      </c>
      <c r="F40" s="4" t="s">
        <v>328</v>
      </c>
      <c r="G40" s="4" t="s">
        <v>12</v>
      </c>
      <c r="H40" s="4">
        <v>69</v>
      </c>
      <c r="I40" s="4">
        <v>41</v>
      </c>
      <c r="J40" s="4">
        <v>34</v>
      </c>
      <c r="K40" s="4">
        <v>221</v>
      </c>
    </row>
    <row r="41" spans="1:11" ht="14.25" customHeight="1" x14ac:dyDescent="0.3">
      <c r="A41" s="4">
        <v>40</v>
      </c>
      <c r="B41" s="4" t="s">
        <v>161</v>
      </c>
      <c r="C41" s="4" t="s">
        <v>162</v>
      </c>
      <c r="D41" s="4" t="s">
        <v>329</v>
      </c>
      <c r="E41" s="4" t="s">
        <v>330</v>
      </c>
      <c r="F41" s="4" t="s">
        <v>331</v>
      </c>
      <c r="G41" s="4" t="s">
        <v>12</v>
      </c>
      <c r="H41" s="4">
        <v>71</v>
      </c>
      <c r="I41" s="4">
        <v>43</v>
      </c>
      <c r="J41" s="4">
        <v>36</v>
      </c>
      <c r="K41" s="4">
        <v>227</v>
      </c>
    </row>
    <row r="42" spans="1:11" ht="14.25" customHeight="1" x14ac:dyDescent="0.3">
      <c r="A42" s="4">
        <v>41</v>
      </c>
      <c r="B42" s="4" t="s">
        <v>165</v>
      </c>
      <c r="C42" s="4" t="s">
        <v>166</v>
      </c>
      <c r="D42" s="4" t="s">
        <v>332</v>
      </c>
      <c r="E42" s="4" t="s">
        <v>233</v>
      </c>
      <c r="F42" s="4" t="s">
        <v>333</v>
      </c>
      <c r="G42" s="4" t="s">
        <v>7</v>
      </c>
      <c r="H42" s="4">
        <v>10</v>
      </c>
      <c r="I42" s="4">
        <v>6</v>
      </c>
      <c r="J42" s="4">
        <v>5</v>
      </c>
      <c r="K42" s="4">
        <v>32</v>
      </c>
    </row>
    <row r="43" spans="1:11" ht="14.25" customHeight="1" x14ac:dyDescent="0.3">
      <c r="A43" s="4">
        <v>42</v>
      </c>
      <c r="B43" s="4" t="s">
        <v>165</v>
      </c>
      <c r="C43" s="4" t="s">
        <v>166</v>
      </c>
      <c r="D43" s="4" t="s">
        <v>334</v>
      </c>
      <c r="E43" s="4" t="s">
        <v>233</v>
      </c>
      <c r="F43" s="4" t="s">
        <v>335</v>
      </c>
      <c r="G43" s="4" t="s">
        <v>7</v>
      </c>
      <c r="H43" s="4">
        <v>12</v>
      </c>
      <c r="I43" s="4">
        <v>7</v>
      </c>
      <c r="J43" s="4">
        <v>6</v>
      </c>
      <c r="K43" s="4">
        <v>38</v>
      </c>
    </row>
    <row r="44" spans="1:11" ht="14.25" customHeight="1" x14ac:dyDescent="0.3">
      <c r="A44" s="4">
        <v>43</v>
      </c>
      <c r="B44" s="4" t="s">
        <v>165</v>
      </c>
      <c r="C44" s="4" t="s">
        <v>166</v>
      </c>
      <c r="D44" s="4" t="s">
        <v>336</v>
      </c>
      <c r="E44" s="4" t="s">
        <v>337</v>
      </c>
      <c r="F44" s="4" t="s">
        <v>338</v>
      </c>
      <c r="G44" s="4" t="s">
        <v>7</v>
      </c>
      <c r="H44" s="4">
        <v>14</v>
      </c>
      <c r="I44" s="4">
        <v>8</v>
      </c>
      <c r="J44" s="4">
        <v>7</v>
      </c>
      <c r="K44" s="4">
        <v>45</v>
      </c>
    </row>
    <row r="45" spans="1:11" ht="14.25" customHeight="1" x14ac:dyDescent="0.3">
      <c r="A45" s="4">
        <v>44</v>
      </c>
      <c r="B45" s="4" t="s">
        <v>165</v>
      </c>
      <c r="C45" s="4" t="s">
        <v>166</v>
      </c>
      <c r="D45" s="4" t="s">
        <v>339</v>
      </c>
      <c r="E45" s="4" t="s">
        <v>340</v>
      </c>
      <c r="F45" s="4" t="s">
        <v>341</v>
      </c>
      <c r="G45" s="4" t="s">
        <v>7</v>
      </c>
      <c r="H45" s="4">
        <v>16</v>
      </c>
      <c r="I45" s="4">
        <v>10</v>
      </c>
      <c r="J45" s="4">
        <v>8</v>
      </c>
      <c r="K45" s="4">
        <v>51</v>
      </c>
    </row>
    <row r="46" spans="1:11" ht="14.25" customHeight="1" x14ac:dyDescent="0.3">
      <c r="A46" s="4">
        <v>45</v>
      </c>
      <c r="B46" s="4" t="s">
        <v>165</v>
      </c>
      <c r="C46" s="4" t="s">
        <v>166</v>
      </c>
      <c r="D46" s="4" t="s">
        <v>342</v>
      </c>
      <c r="E46" s="4" t="s">
        <v>325</v>
      </c>
      <c r="F46" s="4" t="s">
        <v>343</v>
      </c>
      <c r="G46" s="4" t="s">
        <v>8</v>
      </c>
      <c r="H46" s="4">
        <v>16</v>
      </c>
      <c r="I46" s="4">
        <v>10</v>
      </c>
      <c r="J46" s="4">
        <v>8</v>
      </c>
      <c r="K46" s="4">
        <v>51</v>
      </c>
    </row>
    <row r="47" spans="1:11" ht="14.25" customHeight="1" x14ac:dyDescent="0.3">
      <c r="A47" s="4">
        <v>46</v>
      </c>
      <c r="B47" s="4" t="s">
        <v>165</v>
      </c>
      <c r="C47" s="4" t="s">
        <v>166</v>
      </c>
      <c r="D47" s="4" t="s">
        <v>344</v>
      </c>
      <c r="E47" s="4" t="s">
        <v>345</v>
      </c>
      <c r="F47" s="4" t="s">
        <v>346</v>
      </c>
      <c r="G47" s="4" t="s">
        <v>8</v>
      </c>
      <c r="H47" s="4">
        <v>18</v>
      </c>
      <c r="I47" s="4">
        <v>11</v>
      </c>
      <c r="J47" s="4">
        <v>9</v>
      </c>
      <c r="K47" s="4">
        <v>58</v>
      </c>
    </row>
    <row r="48" spans="1:11" ht="14.25" customHeight="1" x14ac:dyDescent="0.3">
      <c r="A48" s="4">
        <v>47</v>
      </c>
      <c r="B48" s="4" t="s">
        <v>165</v>
      </c>
      <c r="C48" s="4" t="s">
        <v>166</v>
      </c>
      <c r="D48" s="4" t="s">
        <v>347</v>
      </c>
      <c r="E48" s="4" t="s">
        <v>348</v>
      </c>
      <c r="F48" s="4" t="s">
        <v>349</v>
      </c>
      <c r="G48" s="4" t="s">
        <v>8</v>
      </c>
      <c r="H48" s="4">
        <v>20</v>
      </c>
      <c r="I48" s="4">
        <v>12</v>
      </c>
      <c r="J48" s="4">
        <v>10</v>
      </c>
      <c r="K48" s="4">
        <v>64</v>
      </c>
    </row>
    <row r="49" spans="1:11" ht="14.25" customHeight="1" x14ac:dyDescent="0.3">
      <c r="A49" s="4">
        <v>48</v>
      </c>
      <c r="B49" s="4" t="s">
        <v>165</v>
      </c>
      <c r="C49" s="4" t="s">
        <v>166</v>
      </c>
      <c r="D49" s="4" t="s">
        <v>350</v>
      </c>
      <c r="E49" s="4" t="s">
        <v>233</v>
      </c>
      <c r="F49" s="4" t="s">
        <v>351</v>
      </c>
      <c r="G49" s="4" t="s">
        <v>8</v>
      </c>
      <c r="H49" s="4">
        <v>22</v>
      </c>
      <c r="I49" s="4">
        <v>13</v>
      </c>
      <c r="J49" s="4">
        <v>11</v>
      </c>
      <c r="K49" s="4">
        <v>70</v>
      </c>
    </row>
    <row r="50" spans="1:11" ht="14.25" customHeight="1" x14ac:dyDescent="0.3">
      <c r="A50" s="4">
        <v>49</v>
      </c>
      <c r="B50" s="4" t="s">
        <v>165</v>
      </c>
      <c r="C50" s="4" t="s">
        <v>166</v>
      </c>
      <c r="D50" s="4" t="s">
        <v>352</v>
      </c>
      <c r="E50" s="4" t="s">
        <v>233</v>
      </c>
      <c r="F50" s="4" t="s">
        <v>353</v>
      </c>
      <c r="G50" s="4" t="s">
        <v>9</v>
      </c>
      <c r="H50" s="4">
        <v>24</v>
      </c>
      <c r="I50" s="4">
        <v>14</v>
      </c>
      <c r="J50" s="4">
        <v>12</v>
      </c>
      <c r="K50" s="4">
        <v>77</v>
      </c>
    </row>
    <row r="51" spans="1:11" ht="14.25" customHeight="1" x14ac:dyDescent="0.3">
      <c r="A51" s="4">
        <v>50</v>
      </c>
      <c r="B51" s="4" t="s">
        <v>165</v>
      </c>
      <c r="C51" s="4" t="s">
        <v>166</v>
      </c>
      <c r="D51" s="4" t="s">
        <v>354</v>
      </c>
      <c r="E51" s="4" t="s">
        <v>273</v>
      </c>
      <c r="F51" s="4" t="s">
        <v>355</v>
      </c>
      <c r="G51" s="4" t="s">
        <v>9</v>
      </c>
      <c r="H51" s="4">
        <v>26</v>
      </c>
      <c r="I51" s="4">
        <v>16</v>
      </c>
      <c r="J51" s="4">
        <v>13</v>
      </c>
      <c r="K51" s="4">
        <v>83</v>
      </c>
    </row>
    <row r="52" spans="1:11" ht="14.25" customHeight="1" x14ac:dyDescent="0.3">
      <c r="A52" s="4">
        <v>51</v>
      </c>
      <c r="B52" s="4" t="s">
        <v>165</v>
      </c>
      <c r="C52" s="4" t="s">
        <v>166</v>
      </c>
      <c r="D52" s="4" t="s">
        <v>356</v>
      </c>
      <c r="E52" s="4" t="s">
        <v>233</v>
      </c>
      <c r="F52" s="4" t="s">
        <v>357</v>
      </c>
      <c r="G52" s="4" t="s">
        <v>9</v>
      </c>
      <c r="H52" s="4">
        <v>28</v>
      </c>
      <c r="I52" s="4">
        <v>17</v>
      </c>
      <c r="J52" s="4">
        <v>14</v>
      </c>
      <c r="K52" s="4">
        <v>90</v>
      </c>
    </row>
    <row r="53" spans="1:11" ht="14.25" customHeight="1" x14ac:dyDescent="0.3">
      <c r="A53" s="4">
        <v>52</v>
      </c>
      <c r="B53" s="4" t="s">
        <v>165</v>
      </c>
      <c r="C53" s="4" t="s">
        <v>166</v>
      </c>
      <c r="D53" s="4" t="s">
        <v>358</v>
      </c>
      <c r="E53" s="4" t="s">
        <v>359</v>
      </c>
      <c r="F53" s="4" t="s">
        <v>360</v>
      </c>
      <c r="G53" s="4" t="s">
        <v>9</v>
      </c>
      <c r="H53" s="4">
        <v>30</v>
      </c>
      <c r="I53" s="4">
        <v>18</v>
      </c>
      <c r="J53" s="4">
        <v>15</v>
      </c>
      <c r="K53" s="4">
        <v>96</v>
      </c>
    </row>
    <row r="54" spans="1:11" ht="14.25" customHeight="1" x14ac:dyDescent="0.3">
      <c r="A54" s="4">
        <v>53</v>
      </c>
      <c r="B54" s="4" t="s">
        <v>165</v>
      </c>
      <c r="C54" s="4" t="s">
        <v>166</v>
      </c>
      <c r="D54" s="4" t="s">
        <v>361</v>
      </c>
      <c r="E54" s="4" t="s">
        <v>233</v>
      </c>
      <c r="F54" s="4" t="s">
        <v>362</v>
      </c>
      <c r="G54" s="4" t="s">
        <v>10</v>
      </c>
      <c r="H54" s="4">
        <v>34</v>
      </c>
      <c r="I54" s="4">
        <v>20</v>
      </c>
      <c r="J54" s="4">
        <v>17</v>
      </c>
      <c r="K54" s="4">
        <v>109</v>
      </c>
    </row>
    <row r="55" spans="1:11" ht="14.25" customHeight="1" x14ac:dyDescent="0.3">
      <c r="A55" s="4">
        <v>54</v>
      </c>
      <c r="B55" s="4" t="s">
        <v>165</v>
      </c>
      <c r="C55" s="4" t="s">
        <v>166</v>
      </c>
      <c r="D55" s="4" t="s">
        <v>363</v>
      </c>
      <c r="E55" s="4" t="s">
        <v>233</v>
      </c>
      <c r="F55" s="4" t="s">
        <v>364</v>
      </c>
      <c r="G55" s="4" t="s">
        <v>10</v>
      </c>
      <c r="H55" s="4">
        <v>36</v>
      </c>
      <c r="I55" s="4">
        <v>22</v>
      </c>
      <c r="J55" s="4">
        <v>18</v>
      </c>
      <c r="K55" s="4">
        <v>115</v>
      </c>
    </row>
    <row r="56" spans="1:11" ht="14.25" customHeight="1" x14ac:dyDescent="0.3">
      <c r="A56" s="4">
        <v>55</v>
      </c>
      <c r="B56" s="4" t="s">
        <v>165</v>
      </c>
      <c r="C56" s="4" t="s">
        <v>166</v>
      </c>
      <c r="D56" s="4" t="s">
        <v>365</v>
      </c>
      <c r="E56" s="4" t="s">
        <v>280</v>
      </c>
      <c r="F56" s="4" t="s">
        <v>366</v>
      </c>
      <c r="G56" s="4" t="s">
        <v>10</v>
      </c>
      <c r="H56" s="4">
        <v>38</v>
      </c>
      <c r="I56" s="4">
        <v>23</v>
      </c>
      <c r="J56" s="4">
        <v>19</v>
      </c>
      <c r="K56" s="4">
        <v>122</v>
      </c>
    </row>
    <row r="57" spans="1:11" ht="14.25" customHeight="1" x14ac:dyDescent="0.3">
      <c r="A57" s="4">
        <v>56</v>
      </c>
      <c r="B57" s="4" t="s">
        <v>165</v>
      </c>
      <c r="C57" s="4" t="s">
        <v>166</v>
      </c>
      <c r="D57" s="4" t="s">
        <v>367</v>
      </c>
      <c r="E57" s="4" t="s">
        <v>368</v>
      </c>
      <c r="F57" s="4" t="s">
        <v>369</v>
      </c>
      <c r="G57" s="4" t="s">
        <v>11</v>
      </c>
      <c r="H57" s="4">
        <v>54</v>
      </c>
      <c r="I57" s="4">
        <v>32</v>
      </c>
      <c r="J57" s="4">
        <v>27</v>
      </c>
      <c r="K57" s="4">
        <v>173</v>
      </c>
    </row>
    <row r="58" spans="1:11" ht="14.25" customHeight="1" x14ac:dyDescent="0.3">
      <c r="A58" s="4">
        <v>57</v>
      </c>
      <c r="B58" s="4" t="s">
        <v>165</v>
      </c>
      <c r="C58" s="4" t="s">
        <v>166</v>
      </c>
      <c r="D58" s="4" t="s">
        <v>370</v>
      </c>
      <c r="E58" s="4" t="s">
        <v>371</v>
      </c>
      <c r="F58" s="4" t="s">
        <v>372</v>
      </c>
      <c r="G58" s="4" t="s">
        <v>11</v>
      </c>
      <c r="H58" s="4">
        <v>48</v>
      </c>
      <c r="I58" s="4">
        <v>29</v>
      </c>
      <c r="J58" s="4">
        <v>24</v>
      </c>
      <c r="K58" s="4">
        <v>154</v>
      </c>
    </row>
    <row r="59" spans="1:11" ht="14.25" customHeight="1" x14ac:dyDescent="0.3">
      <c r="A59" s="4">
        <v>58</v>
      </c>
      <c r="B59" s="4" t="s">
        <v>165</v>
      </c>
      <c r="C59" s="4" t="s">
        <v>166</v>
      </c>
      <c r="D59" s="4" t="s">
        <v>373</v>
      </c>
      <c r="E59" s="4" t="s">
        <v>374</v>
      </c>
      <c r="F59" s="4" t="s">
        <v>375</v>
      </c>
      <c r="G59" s="4" t="s">
        <v>11</v>
      </c>
      <c r="H59" s="4">
        <v>50</v>
      </c>
      <c r="I59" s="4">
        <v>30</v>
      </c>
      <c r="J59" s="4">
        <v>25</v>
      </c>
      <c r="K59" s="4">
        <v>160</v>
      </c>
    </row>
    <row r="60" spans="1:11" ht="14.25" customHeight="1" x14ac:dyDescent="0.3">
      <c r="A60" s="4">
        <v>59</v>
      </c>
      <c r="B60" s="4" t="s">
        <v>165</v>
      </c>
      <c r="C60" s="4" t="s">
        <v>166</v>
      </c>
      <c r="D60" s="4" t="s">
        <v>376</v>
      </c>
      <c r="E60" s="4" t="s">
        <v>377</v>
      </c>
      <c r="F60" s="4" t="s">
        <v>378</v>
      </c>
      <c r="G60" s="4" t="s">
        <v>12</v>
      </c>
      <c r="H60" s="4">
        <v>69</v>
      </c>
      <c r="I60" s="4">
        <v>41</v>
      </c>
      <c r="J60" s="4">
        <v>34</v>
      </c>
      <c r="K60" s="4">
        <v>221</v>
      </c>
    </row>
    <row r="61" spans="1:11" ht="14.25" customHeight="1" x14ac:dyDescent="0.3">
      <c r="A61" s="4">
        <v>60</v>
      </c>
      <c r="B61" s="4" t="s">
        <v>165</v>
      </c>
      <c r="C61" s="4" t="s">
        <v>166</v>
      </c>
      <c r="D61" s="4" t="s">
        <v>379</v>
      </c>
      <c r="E61" s="4" t="s">
        <v>380</v>
      </c>
      <c r="F61" s="4" t="s">
        <v>381</v>
      </c>
      <c r="G61" s="4" t="s">
        <v>12</v>
      </c>
      <c r="H61" s="4">
        <v>71</v>
      </c>
      <c r="I61" s="4">
        <v>43</v>
      </c>
      <c r="J61" s="4">
        <v>36</v>
      </c>
      <c r="K61" s="4">
        <v>227</v>
      </c>
    </row>
    <row r="62" spans="1:11" ht="14.25" customHeight="1" x14ac:dyDescent="0.3">
      <c r="A62" s="4">
        <v>61</v>
      </c>
      <c r="B62" s="4" t="s">
        <v>169</v>
      </c>
      <c r="C62" s="4" t="s">
        <v>170</v>
      </c>
      <c r="D62" s="4" t="s">
        <v>382</v>
      </c>
      <c r="E62" s="4" t="s">
        <v>283</v>
      </c>
      <c r="F62" s="4" t="s">
        <v>383</v>
      </c>
      <c r="G62" s="4" t="s">
        <v>7</v>
      </c>
      <c r="H62" s="4">
        <v>10</v>
      </c>
      <c r="I62" s="4">
        <v>6</v>
      </c>
      <c r="J62" s="4">
        <v>5</v>
      </c>
      <c r="K62" s="4">
        <v>32</v>
      </c>
    </row>
    <row r="63" spans="1:11" ht="14.25" customHeight="1" x14ac:dyDescent="0.3">
      <c r="A63" s="4">
        <v>62</v>
      </c>
      <c r="B63" s="4" t="s">
        <v>169</v>
      </c>
      <c r="C63" s="4" t="s">
        <v>170</v>
      </c>
      <c r="D63" s="4" t="s">
        <v>384</v>
      </c>
      <c r="E63" s="4" t="s">
        <v>368</v>
      </c>
      <c r="F63" s="4" t="s">
        <v>385</v>
      </c>
      <c r="G63" s="4" t="s">
        <v>7</v>
      </c>
      <c r="H63" s="4">
        <v>12</v>
      </c>
      <c r="I63" s="4">
        <v>7</v>
      </c>
      <c r="J63" s="4">
        <v>6</v>
      </c>
      <c r="K63" s="4">
        <v>38</v>
      </c>
    </row>
    <row r="64" spans="1:11" ht="14.25" customHeight="1" x14ac:dyDescent="0.3">
      <c r="A64" s="4">
        <v>63</v>
      </c>
      <c r="B64" s="4" t="s">
        <v>169</v>
      </c>
      <c r="C64" s="4" t="s">
        <v>170</v>
      </c>
      <c r="D64" s="4" t="s">
        <v>386</v>
      </c>
      <c r="E64" s="4" t="s">
        <v>374</v>
      </c>
      <c r="F64" s="4" t="s">
        <v>387</v>
      </c>
      <c r="G64" s="4" t="s">
        <v>7</v>
      </c>
      <c r="H64" s="4">
        <v>14</v>
      </c>
      <c r="I64" s="4">
        <v>8</v>
      </c>
      <c r="J64" s="4">
        <v>7</v>
      </c>
      <c r="K64" s="4">
        <v>45</v>
      </c>
    </row>
    <row r="65" spans="1:11" ht="14.25" customHeight="1" x14ac:dyDescent="0.3">
      <c r="A65" s="4">
        <v>64</v>
      </c>
      <c r="B65" s="4" t="s">
        <v>169</v>
      </c>
      <c r="C65" s="4" t="s">
        <v>170</v>
      </c>
      <c r="D65" s="4" t="s">
        <v>388</v>
      </c>
      <c r="E65" s="4" t="s">
        <v>273</v>
      </c>
      <c r="F65" s="4" t="s">
        <v>389</v>
      </c>
      <c r="G65" s="4" t="s">
        <v>7</v>
      </c>
      <c r="H65" s="4">
        <v>16</v>
      </c>
      <c r="I65" s="4">
        <v>10</v>
      </c>
      <c r="J65" s="4">
        <v>8</v>
      </c>
      <c r="K65" s="4">
        <v>51</v>
      </c>
    </row>
    <row r="66" spans="1:11" ht="14.25" customHeight="1" x14ac:dyDescent="0.3">
      <c r="A66" s="4">
        <v>65</v>
      </c>
      <c r="B66" s="4" t="s">
        <v>169</v>
      </c>
      <c r="C66" s="4" t="s">
        <v>170</v>
      </c>
      <c r="D66" s="4" t="s">
        <v>390</v>
      </c>
      <c r="E66" s="4" t="s">
        <v>273</v>
      </c>
      <c r="F66" s="4" t="s">
        <v>391</v>
      </c>
      <c r="G66" s="4" t="s">
        <v>8</v>
      </c>
      <c r="H66" s="4">
        <v>16</v>
      </c>
      <c r="I66" s="4">
        <v>10</v>
      </c>
      <c r="J66" s="4">
        <v>8</v>
      </c>
      <c r="K66" s="4">
        <v>51</v>
      </c>
    </row>
    <row r="67" spans="1:11" ht="14.25" customHeight="1" x14ac:dyDescent="0.3">
      <c r="A67" s="4">
        <v>66</v>
      </c>
      <c r="B67" s="4" t="s">
        <v>169</v>
      </c>
      <c r="C67" s="4" t="s">
        <v>170</v>
      </c>
      <c r="D67" s="4" t="s">
        <v>392</v>
      </c>
      <c r="E67" s="4" t="s">
        <v>273</v>
      </c>
      <c r="F67" s="4" t="s">
        <v>393</v>
      </c>
      <c r="G67" s="4" t="s">
        <v>8</v>
      </c>
      <c r="H67" s="4">
        <v>18</v>
      </c>
      <c r="I67" s="4">
        <v>11</v>
      </c>
      <c r="J67" s="4">
        <v>9</v>
      </c>
      <c r="K67" s="4">
        <v>58</v>
      </c>
    </row>
    <row r="68" spans="1:11" ht="14.25" customHeight="1" x14ac:dyDescent="0.3">
      <c r="A68" s="4">
        <v>67</v>
      </c>
      <c r="B68" s="4" t="s">
        <v>169</v>
      </c>
      <c r="C68" s="4" t="s">
        <v>170</v>
      </c>
      <c r="D68" s="4" t="s">
        <v>394</v>
      </c>
      <c r="E68" s="4" t="s">
        <v>325</v>
      </c>
      <c r="F68" s="4" t="s">
        <v>395</v>
      </c>
      <c r="G68" s="4" t="s">
        <v>8</v>
      </c>
      <c r="H68" s="4">
        <v>20</v>
      </c>
      <c r="I68" s="4">
        <v>12</v>
      </c>
      <c r="J68" s="4">
        <v>10</v>
      </c>
      <c r="K68" s="4">
        <v>64</v>
      </c>
    </row>
    <row r="69" spans="1:11" ht="14.25" customHeight="1" x14ac:dyDescent="0.3">
      <c r="A69" s="4">
        <v>68</v>
      </c>
      <c r="B69" s="4" t="s">
        <v>169</v>
      </c>
      <c r="C69" s="4" t="s">
        <v>170</v>
      </c>
      <c r="D69" s="4" t="s">
        <v>396</v>
      </c>
      <c r="E69" s="4" t="s">
        <v>380</v>
      </c>
      <c r="F69" s="4" t="s">
        <v>397</v>
      </c>
      <c r="G69" s="4" t="s">
        <v>8</v>
      </c>
      <c r="H69" s="4">
        <v>22</v>
      </c>
      <c r="I69" s="4">
        <v>13</v>
      </c>
      <c r="J69" s="4">
        <v>11</v>
      </c>
      <c r="K69" s="4">
        <v>70</v>
      </c>
    </row>
    <row r="70" spans="1:11" ht="14.25" customHeight="1" x14ac:dyDescent="0.3">
      <c r="A70" s="4">
        <v>69</v>
      </c>
      <c r="B70" s="4" t="s">
        <v>169</v>
      </c>
      <c r="C70" s="4" t="s">
        <v>170</v>
      </c>
      <c r="D70" s="4" t="s">
        <v>398</v>
      </c>
      <c r="E70" s="4" t="s">
        <v>368</v>
      </c>
      <c r="F70" s="4" t="s">
        <v>399</v>
      </c>
      <c r="G70" s="4" t="s">
        <v>9</v>
      </c>
      <c r="H70" s="4">
        <v>24</v>
      </c>
      <c r="I70" s="4">
        <v>14</v>
      </c>
      <c r="J70" s="4">
        <v>12</v>
      </c>
      <c r="K70" s="4">
        <v>77</v>
      </c>
    </row>
    <row r="71" spans="1:11" ht="14.25" customHeight="1" x14ac:dyDescent="0.3">
      <c r="A71" s="4">
        <v>70</v>
      </c>
      <c r="B71" s="4" t="s">
        <v>169</v>
      </c>
      <c r="C71" s="4" t="s">
        <v>170</v>
      </c>
      <c r="D71" s="4" t="s">
        <v>400</v>
      </c>
      <c r="E71" s="4" t="s">
        <v>401</v>
      </c>
      <c r="F71" s="4" t="s">
        <v>402</v>
      </c>
      <c r="G71" s="4" t="s">
        <v>9</v>
      </c>
      <c r="H71" s="4">
        <v>26</v>
      </c>
      <c r="I71" s="4">
        <v>16</v>
      </c>
      <c r="J71" s="4">
        <v>13</v>
      </c>
      <c r="K71" s="4">
        <v>83</v>
      </c>
    </row>
    <row r="72" spans="1:11" ht="14.25" customHeight="1" x14ac:dyDescent="0.3">
      <c r="A72" s="4">
        <v>71</v>
      </c>
      <c r="B72" s="4" t="s">
        <v>169</v>
      </c>
      <c r="C72" s="4" t="s">
        <v>170</v>
      </c>
      <c r="D72" s="4" t="s">
        <v>403</v>
      </c>
      <c r="E72" s="4" t="s">
        <v>273</v>
      </c>
      <c r="F72" s="4" t="s">
        <v>404</v>
      </c>
      <c r="G72" s="4" t="s">
        <v>9</v>
      </c>
      <c r="H72" s="4">
        <v>28</v>
      </c>
      <c r="I72" s="4">
        <v>17</v>
      </c>
      <c r="J72" s="4">
        <v>14</v>
      </c>
      <c r="K72" s="4">
        <v>90</v>
      </c>
    </row>
    <row r="73" spans="1:11" ht="14.25" customHeight="1" x14ac:dyDescent="0.3">
      <c r="A73" s="4">
        <v>72</v>
      </c>
      <c r="B73" s="4" t="s">
        <v>169</v>
      </c>
      <c r="C73" s="4" t="s">
        <v>170</v>
      </c>
      <c r="D73" s="4" t="s">
        <v>405</v>
      </c>
      <c r="E73" s="4" t="s">
        <v>280</v>
      </c>
      <c r="F73" s="4" t="s">
        <v>406</v>
      </c>
      <c r="G73" s="4" t="s">
        <v>9</v>
      </c>
      <c r="H73" s="4">
        <v>30</v>
      </c>
      <c r="I73" s="4">
        <v>18</v>
      </c>
      <c r="J73" s="4">
        <v>15</v>
      </c>
      <c r="K73" s="4">
        <v>96</v>
      </c>
    </row>
    <row r="74" spans="1:11" ht="14.25" customHeight="1" x14ac:dyDescent="0.3">
      <c r="A74" s="4">
        <v>73</v>
      </c>
      <c r="B74" s="4" t="s">
        <v>169</v>
      </c>
      <c r="C74" s="4" t="s">
        <v>170</v>
      </c>
      <c r="D74" s="4" t="s">
        <v>407</v>
      </c>
      <c r="E74" s="4" t="s">
        <v>408</v>
      </c>
      <c r="F74" s="4" t="s">
        <v>409</v>
      </c>
      <c r="G74" s="4" t="s">
        <v>10</v>
      </c>
      <c r="H74" s="4">
        <v>34</v>
      </c>
      <c r="I74" s="4">
        <v>20</v>
      </c>
      <c r="J74" s="4">
        <v>17</v>
      </c>
      <c r="K74" s="4">
        <v>109</v>
      </c>
    </row>
    <row r="75" spans="1:11" ht="14.25" customHeight="1" x14ac:dyDescent="0.3">
      <c r="A75" s="4">
        <v>74</v>
      </c>
      <c r="B75" s="4" t="s">
        <v>169</v>
      </c>
      <c r="C75" s="4" t="s">
        <v>170</v>
      </c>
      <c r="D75" s="4" t="s">
        <v>410</v>
      </c>
      <c r="E75" s="4" t="s">
        <v>408</v>
      </c>
      <c r="F75" s="4" t="s">
        <v>411</v>
      </c>
      <c r="G75" s="4" t="s">
        <v>10</v>
      </c>
      <c r="H75" s="4">
        <v>36</v>
      </c>
      <c r="I75" s="4">
        <v>22</v>
      </c>
      <c r="J75" s="4">
        <v>18</v>
      </c>
      <c r="K75" s="4">
        <v>115</v>
      </c>
    </row>
    <row r="76" spans="1:11" ht="14.25" customHeight="1" x14ac:dyDescent="0.3">
      <c r="A76" s="4">
        <v>75</v>
      </c>
      <c r="B76" s="4" t="s">
        <v>169</v>
      </c>
      <c r="C76" s="4" t="s">
        <v>170</v>
      </c>
      <c r="D76" s="4" t="s">
        <v>412</v>
      </c>
      <c r="E76" s="4" t="s">
        <v>408</v>
      </c>
      <c r="F76" s="4" t="s">
        <v>413</v>
      </c>
      <c r="G76" s="4" t="s">
        <v>10</v>
      </c>
      <c r="H76" s="4">
        <v>38</v>
      </c>
      <c r="I76" s="4">
        <v>23</v>
      </c>
      <c r="J76" s="4">
        <v>19</v>
      </c>
      <c r="K76" s="4">
        <v>122</v>
      </c>
    </row>
    <row r="77" spans="1:11" ht="14.25" customHeight="1" x14ac:dyDescent="0.3">
      <c r="A77" s="4">
        <v>76</v>
      </c>
      <c r="B77" s="4" t="s">
        <v>169</v>
      </c>
      <c r="C77" s="4" t="s">
        <v>170</v>
      </c>
      <c r="D77" s="4" t="s">
        <v>414</v>
      </c>
      <c r="E77" s="4" t="s">
        <v>415</v>
      </c>
      <c r="F77" s="4" t="s">
        <v>416</v>
      </c>
      <c r="G77" s="4" t="s">
        <v>11</v>
      </c>
      <c r="H77" s="4">
        <v>54</v>
      </c>
      <c r="I77" s="4">
        <v>32</v>
      </c>
      <c r="J77" s="4">
        <v>27</v>
      </c>
      <c r="K77" s="4">
        <v>173</v>
      </c>
    </row>
    <row r="78" spans="1:11" ht="14.25" customHeight="1" x14ac:dyDescent="0.3">
      <c r="A78" s="4">
        <v>77</v>
      </c>
      <c r="B78" s="4" t="s">
        <v>169</v>
      </c>
      <c r="C78" s="4" t="s">
        <v>170</v>
      </c>
      <c r="D78" s="4" t="s">
        <v>417</v>
      </c>
      <c r="E78" s="4" t="s">
        <v>325</v>
      </c>
      <c r="F78" s="4" t="s">
        <v>418</v>
      </c>
      <c r="G78" s="4" t="s">
        <v>11</v>
      </c>
      <c r="H78" s="4">
        <v>48</v>
      </c>
      <c r="I78" s="4">
        <v>29</v>
      </c>
      <c r="J78" s="4">
        <v>24</v>
      </c>
      <c r="K78" s="4">
        <v>154</v>
      </c>
    </row>
    <row r="79" spans="1:11" ht="14.25" customHeight="1" x14ac:dyDescent="0.3">
      <c r="A79" s="4">
        <v>78</v>
      </c>
      <c r="B79" s="4" t="s">
        <v>169</v>
      </c>
      <c r="C79" s="4" t="s">
        <v>170</v>
      </c>
      <c r="D79" s="4" t="s">
        <v>419</v>
      </c>
      <c r="E79" s="4" t="s">
        <v>307</v>
      </c>
      <c r="F79" s="4" t="s">
        <v>420</v>
      </c>
      <c r="G79" s="4" t="s">
        <v>11</v>
      </c>
      <c r="H79" s="4">
        <v>50</v>
      </c>
      <c r="I79" s="4">
        <v>30</v>
      </c>
      <c r="J79" s="4">
        <v>25</v>
      </c>
      <c r="K79" s="4">
        <v>160</v>
      </c>
    </row>
    <row r="80" spans="1:11" ht="14.25" customHeight="1" x14ac:dyDescent="0.3">
      <c r="A80" s="4">
        <v>79</v>
      </c>
      <c r="B80" s="4" t="s">
        <v>169</v>
      </c>
      <c r="C80" s="4" t="s">
        <v>170</v>
      </c>
      <c r="D80" s="4" t="s">
        <v>421</v>
      </c>
      <c r="E80" s="4" t="s">
        <v>422</v>
      </c>
      <c r="F80" s="4" t="s">
        <v>423</v>
      </c>
      <c r="G80" s="4" t="s">
        <v>12</v>
      </c>
      <c r="H80" s="4">
        <v>69</v>
      </c>
      <c r="I80" s="4">
        <v>41</v>
      </c>
      <c r="J80" s="4">
        <v>34</v>
      </c>
      <c r="K80" s="4">
        <v>221</v>
      </c>
    </row>
    <row r="81" spans="1:11" ht="14.25" customHeight="1" x14ac:dyDescent="0.3">
      <c r="A81" s="4">
        <v>80</v>
      </c>
      <c r="B81" s="4" t="s">
        <v>169</v>
      </c>
      <c r="C81" s="4" t="s">
        <v>170</v>
      </c>
      <c r="D81" s="4" t="s">
        <v>424</v>
      </c>
      <c r="E81" s="4" t="s">
        <v>425</v>
      </c>
      <c r="F81" s="4" t="s">
        <v>426</v>
      </c>
      <c r="G81" s="4" t="s">
        <v>12</v>
      </c>
      <c r="H81" s="4">
        <v>71</v>
      </c>
      <c r="I81" s="4">
        <v>43</v>
      </c>
      <c r="J81" s="4">
        <v>36</v>
      </c>
      <c r="K81" s="4">
        <v>227</v>
      </c>
    </row>
    <row r="82" spans="1:11" ht="26.25" customHeight="1" x14ac:dyDescent="0.3">
      <c r="A82" s="4">
        <v>81</v>
      </c>
      <c r="B82" s="4" t="s">
        <v>173</v>
      </c>
      <c r="C82" s="4" t="s">
        <v>174</v>
      </c>
      <c r="D82" s="4" t="s">
        <v>427</v>
      </c>
      <c r="E82" s="4" t="s">
        <v>428</v>
      </c>
      <c r="F82" s="4" t="s">
        <v>429</v>
      </c>
      <c r="G82" s="4" t="s">
        <v>7</v>
      </c>
      <c r="H82" s="4">
        <v>10</v>
      </c>
      <c r="I82" s="4">
        <v>6</v>
      </c>
      <c r="J82" s="4">
        <v>5</v>
      </c>
      <c r="K82" s="4">
        <v>32</v>
      </c>
    </row>
    <row r="83" spans="1:11" ht="14.25" customHeight="1" x14ac:dyDescent="0.3">
      <c r="A83" s="4">
        <v>82</v>
      </c>
      <c r="B83" s="4" t="s">
        <v>173</v>
      </c>
      <c r="C83" s="4" t="s">
        <v>174</v>
      </c>
      <c r="D83" s="4" t="s">
        <v>430</v>
      </c>
      <c r="E83" s="4" t="s">
        <v>283</v>
      </c>
      <c r="F83" s="4" t="s">
        <v>431</v>
      </c>
      <c r="G83" s="4" t="s">
        <v>7</v>
      </c>
      <c r="H83" s="4">
        <v>12</v>
      </c>
      <c r="I83" s="4">
        <v>7</v>
      </c>
      <c r="J83" s="4">
        <v>6</v>
      </c>
      <c r="K83" s="4">
        <v>38</v>
      </c>
    </row>
    <row r="84" spans="1:11" ht="14.25" customHeight="1" x14ac:dyDescent="0.3">
      <c r="A84" s="4">
        <v>83</v>
      </c>
      <c r="B84" s="4" t="s">
        <v>173</v>
      </c>
      <c r="C84" s="4" t="s">
        <v>174</v>
      </c>
      <c r="D84" s="4" t="s">
        <v>432</v>
      </c>
      <c r="E84" s="4" t="s">
        <v>283</v>
      </c>
      <c r="F84" s="4" t="s">
        <v>433</v>
      </c>
      <c r="G84" s="4" t="s">
        <v>7</v>
      </c>
      <c r="H84" s="4">
        <v>14</v>
      </c>
      <c r="I84" s="4">
        <v>8</v>
      </c>
      <c r="J84" s="4">
        <v>7</v>
      </c>
      <c r="K84" s="4">
        <v>45</v>
      </c>
    </row>
    <row r="85" spans="1:11" ht="14.25" customHeight="1" x14ac:dyDescent="0.3">
      <c r="A85" s="4">
        <v>84</v>
      </c>
      <c r="B85" s="4" t="s">
        <v>173</v>
      </c>
      <c r="C85" s="4" t="s">
        <v>174</v>
      </c>
      <c r="D85" s="4" t="s">
        <v>434</v>
      </c>
      <c r="E85" s="4" t="s">
        <v>401</v>
      </c>
      <c r="F85" s="4" t="s">
        <v>435</v>
      </c>
      <c r="G85" s="4" t="s">
        <v>7</v>
      </c>
      <c r="H85" s="4">
        <v>16</v>
      </c>
      <c r="I85" s="4">
        <v>10</v>
      </c>
      <c r="J85" s="4">
        <v>8</v>
      </c>
      <c r="K85" s="4">
        <v>51</v>
      </c>
    </row>
    <row r="86" spans="1:11" ht="14.25" customHeight="1" x14ac:dyDescent="0.3">
      <c r="A86" s="4">
        <v>85</v>
      </c>
      <c r="B86" s="4" t="s">
        <v>173</v>
      </c>
      <c r="C86" s="4" t="s">
        <v>174</v>
      </c>
      <c r="D86" s="4" t="s">
        <v>436</v>
      </c>
      <c r="E86" s="4" t="s">
        <v>233</v>
      </c>
      <c r="F86" s="4" t="s">
        <v>437</v>
      </c>
      <c r="G86" s="4" t="s">
        <v>8</v>
      </c>
      <c r="H86" s="4">
        <v>16</v>
      </c>
      <c r="I86" s="4">
        <v>10</v>
      </c>
      <c r="J86" s="4">
        <v>8</v>
      </c>
      <c r="K86" s="4">
        <v>51</v>
      </c>
    </row>
    <row r="87" spans="1:11" ht="14.25" customHeight="1" x14ac:dyDescent="0.3">
      <c r="A87" s="4">
        <v>86</v>
      </c>
      <c r="B87" s="4" t="s">
        <v>173</v>
      </c>
      <c r="C87" s="4" t="s">
        <v>174</v>
      </c>
      <c r="D87" s="4" t="s">
        <v>438</v>
      </c>
      <c r="E87" s="4" t="s">
        <v>233</v>
      </c>
      <c r="F87" s="4" t="s">
        <v>439</v>
      </c>
      <c r="G87" s="4" t="s">
        <v>8</v>
      </c>
      <c r="H87" s="4">
        <v>18</v>
      </c>
      <c r="I87" s="4">
        <v>11</v>
      </c>
      <c r="J87" s="4">
        <v>9</v>
      </c>
      <c r="K87" s="4">
        <v>58</v>
      </c>
    </row>
    <row r="88" spans="1:11" ht="14.25" customHeight="1" x14ac:dyDescent="0.3">
      <c r="A88" s="4">
        <v>87</v>
      </c>
      <c r="B88" s="4" t="s">
        <v>173</v>
      </c>
      <c r="C88" s="4" t="s">
        <v>174</v>
      </c>
      <c r="D88" s="4" t="s">
        <v>440</v>
      </c>
      <c r="E88" s="4" t="s">
        <v>233</v>
      </c>
      <c r="F88" s="4" t="s">
        <v>441</v>
      </c>
      <c r="G88" s="4" t="s">
        <v>8</v>
      </c>
      <c r="H88" s="4">
        <v>20</v>
      </c>
      <c r="I88" s="4">
        <v>12</v>
      </c>
      <c r="J88" s="4">
        <v>10</v>
      </c>
      <c r="K88" s="4">
        <v>64</v>
      </c>
    </row>
    <row r="89" spans="1:11" ht="14.25" customHeight="1" x14ac:dyDescent="0.3">
      <c r="A89" s="4">
        <v>88</v>
      </c>
      <c r="B89" s="4" t="s">
        <v>173</v>
      </c>
      <c r="C89" s="4" t="s">
        <v>174</v>
      </c>
      <c r="D89" s="4" t="s">
        <v>442</v>
      </c>
      <c r="E89" s="4" t="s">
        <v>293</v>
      </c>
      <c r="F89" s="4" t="s">
        <v>443</v>
      </c>
      <c r="G89" s="4" t="s">
        <v>8</v>
      </c>
      <c r="H89" s="4">
        <v>22</v>
      </c>
      <c r="I89" s="4">
        <v>13</v>
      </c>
      <c r="J89" s="4">
        <v>11</v>
      </c>
      <c r="K89" s="4">
        <v>70</v>
      </c>
    </row>
    <row r="90" spans="1:11" ht="14.25" customHeight="1" x14ac:dyDescent="0.3">
      <c r="A90" s="4">
        <v>89</v>
      </c>
      <c r="B90" s="4" t="s">
        <v>173</v>
      </c>
      <c r="C90" s="4" t="s">
        <v>174</v>
      </c>
      <c r="D90" s="4" t="s">
        <v>444</v>
      </c>
      <c r="E90" s="4" t="s">
        <v>325</v>
      </c>
      <c r="F90" s="4" t="s">
        <v>445</v>
      </c>
      <c r="G90" s="4" t="s">
        <v>9</v>
      </c>
      <c r="H90" s="4">
        <v>24</v>
      </c>
      <c r="I90" s="4">
        <v>14</v>
      </c>
      <c r="J90" s="4">
        <v>12</v>
      </c>
      <c r="K90" s="4">
        <v>77</v>
      </c>
    </row>
    <row r="91" spans="1:11" ht="14.25" customHeight="1" x14ac:dyDescent="0.3">
      <c r="A91" s="4">
        <v>90</v>
      </c>
      <c r="B91" s="4" t="s">
        <v>173</v>
      </c>
      <c r="C91" s="4" t="s">
        <v>174</v>
      </c>
      <c r="D91" s="4" t="s">
        <v>446</v>
      </c>
      <c r="E91" s="4" t="s">
        <v>280</v>
      </c>
      <c r="F91" s="4" t="s">
        <v>447</v>
      </c>
      <c r="G91" s="4" t="s">
        <v>9</v>
      </c>
      <c r="H91" s="4">
        <v>26</v>
      </c>
      <c r="I91" s="4">
        <v>16</v>
      </c>
      <c r="J91" s="4">
        <v>13</v>
      </c>
      <c r="K91" s="4">
        <v>83</v>
      </c>
    </row>
    <row r="92" spans="1:11" ht="14.25" customHeight="1" x14ac:dyDescent="0.3">
      <c r="A92" s="4">
        <v>91</v>
      </c>
      <c r="B92" s="4" t="s">
        <v>173</v>
      </c>
      <c r="C92" s="4" t="s">
        <v>174</v>
      </c>
      <c r="D92" s="4" t="s">
        <v>448</v>
      </c>
      <c r="E92" s="4" t="s">
        <v>280</v>
      </c>
      <c r="F92" s="4" t="s">
        <v>449</v>
      </c>
      <c r="G92" s="4" t="s">
        <v>9</v>
      </c>
      <c r="H92" s="4">
        <v>28</v>
      </c>
      <c r="I92" s="4">
        <v>17</v>
      </c>
      <c r="J92" s="4">
        <v>14</v>
      </c>
      <c r="K92" s="4">
        <v>90</v>
      </c>
    </row>
    <row r="93" spans="1:11" ht="14.25" customHeight="1" x14ac:dyDescent="0.3">
      <c r="A93" s="4">
        <v>92</v>
      </c>
      <c r="B93" s="4" t="s">
        <v>173</v>
      </c>
      <c r="C93" s="4" t="s">
        <v>174</v>
      </c>
      <c r="D93" s="4" t="s">
        <v>450</v>
      </c>
      <c r="E93" s="4" t="s">
        <v>451</v>
      </c>
      <c r="F93" s="4" t="s">
        <v>452</v>
      </c>
      <c r="G93" s="4" t="s">
        <v>9</v>
      </c>
      <c r="H93" s="4">
        <v>30</v>
      </c>
      <c r="I93" s="4">
        <v>18</v>
      </c>
      <c r="J93" s="4">
        <v>15</v>
      </c>
      <c r="K93" s="4">
        <v>96</v>
      </c>
    </row>
    <row r="94" spans="1:11" ht="26.25" customHeight="1" x14ac:dyDescent="0.3">
      <c r="A94" s="4">
        <v>93</v>
      </c>
      <c r="B94" s="4" t="s">
        <v>173</v>
      </c>
      <c r="C94" s="4" t="s">
        <v>174</v>
      </c>
      <c r="D94" s="4" t="s">
        <v>453</v>
      </c>
      <c r="E94" s="4" t="s">
        <v>377</v>
      </c>
      <c r="F94" s="4" t="s">
        <v>454</v>
      </c>
      <c r="G94" s="4" t="s">
        <v>10</v>
      </c>
      <c r="H94" s="4">
        <v>34</v>
      </c>
      <c r="I94" s="4">
        <v>20</v>
      </c>
      <c r="J94" s="4">
        <v>17</v>
      </c>
      <c r="K94" s="4">
        <v>109</v>
      </c>
    </row>
    <row r="95" spans="1:11" ht="14.25" customHeight="1" x14ac:dyDescent="0.3">
      <c r="A95" s="4">
        <v>94</v>
      </c>
      <c r="B95" s="4" t="s">
        <v>173</v>
      </c>
      <c r="C95" s="4" t="s">
        <v>174</v>
      </c>
      <c r="D95" s="4" t="s">
        <v>455</v>
      </c>
      <c r="E95" s="4" t="s">
        <v>456</v>
      </c>
      <c r="F95" s="4" t="s">
        <v>457</v>
      </c>
      <c r="G95" s="4" t="s">
        <v>10</v>
      </c>
      <c r="H95" s="4">
        <v>36</v>
      </c>
      <c r="I95" s="4">
        <v>22</v>
      </c>
      <c r="J95" s="4">
        <v>18</v>
      </c>
      <c r="K95" s="4">
        <v>115</v>
      </c>
    </row>
    <row r="96" spans="1:11" ht="14.25" customHeight="1" x14ac:dyDescent="0.3">
      <c r="A96" s="4">
        <v>95</v>
      </c>
      <c r="B96" s="4" t="s">
        <v>173</v>
      </c>
      <c r="C96" s="4" t="s">
        <v>174</v>
      </c>
      <c r="D96" s="4" t="s">
        <v>458</v>
      </c>
      <c r="E96" s="4" t="s">
        <v>459</v>
      </c>
      <c r="F96" s="4" t="s">
        <v>460</v>
      </c>
      <c r="G96" s="4" t="s">
        <v>10</v>
      </c>
      <c r="H96" s="4">
        <v>38</v>
      </c>
      <c r="I96" s="4">
        <v>23</v>
      </c>
      <c r="J96" s="4">
        <v>19</v>
      </c>
      <c r="K96" s="4">
        <v>122</v>
      </c>
    </row>
    <row r="97" spans="1:11" ht="14.25" customHeight="1" x14ac:dyDescent="0.3">
      <c r="A97" s="4">
        <v>96</v>
      </c>
      <c r="B97" s="4" t="s">
        <v>173</v>
      </c>
      <c r="C97" s="4" t="s">
        <v>174</v>
      </c>
      <c r="D97" s="4" t="s">
        <v>461</v>
      </c>
      <c r="E97" s="4" t="s">
        <v>233</v>
      </c>
      <c r="F97" s="4" t="s">
        <v>462</v>
      </c>
      <c r="G97" s="4" t="s">
        <v>11</v>
      </c>
      <c r="H97" s="4">
        <v>54</v>
      </c>
      <c r="I97" s="4">
        <v>32</v>
      </c>
      <c r="J97" s="4">
        <v>27</v>
      </c>
      <c r="K97" s="4">
        <v>173</v>
      </c>
    </row>
    <row r="98" spans="1:11" ht="14.25" customHeight="1" x14ac:dyDescent="0.3">
      <c r="A98" s="4">
        <v>97</v>
      </c>
      <c r="B98" s="4" t="s">
        <v>173</v>
      </c>
      <c r="C98" s="4" t="s">
        <v>174</v>
      </c>
      <c r="D98" s="4" t="s">
        <v>463</v>
      </c>
      <c r="E98" s="4" t="s">
        <v>301</v>
      </c>
      <c r="F98" s="4" t="s">
        <v>464</v>
      </c>
      <c r="G98" s="4" t="s">
        <v>11</v>
      </c>
      <c r="H98" s="4">
        <v>48</v>
      </c>
      <c r="I98" s="4">
        <v>29</v>
      </c>
      <c r="J98" s="4">
        <v>24</v>
      </c>
      <c r="K98" s="4">
        <v>154</v>
      </c>
    </row>
    <row r="99" spans="1:11" ht="14.25" customHeight="1" x14ac:dyDescent="0.3">
      <c r="A99" s="4">
        <v>98</v>
      </c>
      <c r="B99" s="4" t="s">
        <v>173</v>
      </c>
      <c r="C99" s="4" t="s">
        <v>174</v>
      </c>
      <c r="D99" s="4" t="s">
        <v>465</v>
      </c>
      <c r="E99" s="4" t="s">
        <v>233</v>
      </c>
      <c r="F99" s="4" t="s">
        <v>466</v>
      </c>
      <c r="G99" s="4" t="s">
        <v>11</v>
      </c>
      <c r="H99" s="4">
        <v>50</v>
      </c>
      <c r="I99" s="4">
        <v>30</v>
      </c>
      <c r="J99" s="4">
        <v>25</v>
      </c>
      <c r="K99" s="4">
        <v>160</v>
      </c>
    </row>
    <row r="100" spans="1:11" ht="14.25" customHeight="1" x14ac:dyDescent="0.3">
      <c r="A100" s="4">
        <v>99</v>
      </c>
      <c r="B100" s="4" t="s">
        <v>173</v>
      </c>
      <c r="C100" s="4" t="s">
        <v>174</v>
      </c>
      <c r="D100" s="4" t="s">
        <v>467</v>
      </c>
      <c r="E100" s="4" t="s">
        <v>233</v>
      </c>
      <c r="F100" s="4" t="s">
        <v>468</v>
      </c>
      <c r="G100" s="4" t="s">
        <v>12</v>
      </c>
      <c r="H100" s="4">
        <v>69</v>
      </c>
      <c r="I100" s="4">
        <v>41</v>
      </c>
      <c r="J100" s="4">
        <v>34</v>
      </c>
      <c r="K100" s="4">
        <v>221</v>
      </c>
    </row>
    <row r="101" spans="1:11" ht="14.25" customHeight="1" x14ac:dyDescent="0.3">
      <c r="A101" s="4">
        <v>100</v>
      </c>
      <c r="B101" s="4" t="s">
        <v>173</v>
      </c>
      <c r="C101" s="4" t="s">
        <v>174</v>
      </c>
      <c r="D101" s="4" t="s">
        <v>469</v>
      </c>
      <c r="E101" s="4" t="s">
        <v>307</v>
      </c>
      <c r="F101" s="4" t="s">
        <v>470</v>
      </c>
      <c r="G101" s="4" t="s">
        <v>12</v>
      </c>
      <c r="H101" s="4">
        <v>71</v>
      </c>
      <c r="I101" s="4">
        <v>43</v>
      </c>
      <c r="J101" s="4">
        <v>36</v>
      </c>
      <c r="K101" s="4">
        <v>227</v>
      </c>
    </row>
    <row r="102" spans="1:11" ht="14.25" customHeight="1" x14ac:dyDescent="0.3">
      <c r="A102" s="4">
        <v>101</v>
      </c>
      <c r="B102" s="4" t="s">
        <v>177</v>
      </c>
      <c r="C102" s="4" t="s">
        <v>178</v>
      </c>
      <c r="D102" s="4" t="s">
        <v>471</v>
      </c>
      <c r="E102" s="4" t="s">
        <v>330</v>
      </c>
      <c r="F102" s="4" t="s">
        <v>472</v>
      </c>
      <c r="G102" s="4" t="s">
        <v>7</v>
      </c>
      <c r="H102" s="4">
        <v>10</v>
      </c>
      <c r="I102" s="4">
        <v>6</v>
      </c>
      <c r="J102" s="4">
        <v>5</v>
      </c>
      <c r="K102" s="4">
        <v>32</v>
      </c>
    </row>
    <row r="103" spans="1:11" ht="14.25" customHeight="1" x14ac:dyDescent="0.3">
      <c r="A103" s="4">
        <v>102</v>
      </c>
      <c r="B103" s="4" t="s">
        <v>177</v>
      </c>
      <c r="C103" s="4" t="s">
        <v>178</v>
      </c>
      <c r="D103" s="4" t="s">
        <v>473</v>
      </c>
      <c r="E103" s="4" t="s">
        <v>325</v>
      </c>
      <c r="F103" s="4" t="s">
        <v>474</v>
      </c>
      <c r="G103" s="4" t="s">
        <v>7</v>
      </c>
      <c r="H103" s="4">
        <v>12</v>
      </c>
      <c r="I103" s="4">
        <v>7</v>
      </c>
      <c r="J103" s="4">
        <v>6</v>
      </c>
      <c r="K103" s="4">
        <v>38</v>
      </c>
    </row>
    <row r="104" spans="1:11" ht="14.25" customHeight="1" x14ac:dyDescent="0.3">
      <c r="A104" s="4">
        <v>103</v>
      </c>
      <c r="B104" s="4" t="s">
        <v>177</v>
      </c>
      <c r="C104" s="4" t="s">
        <v>178</v>
      </c>
      <c r="D104" s="4" t="s">
        <v>475</v>
      </c>
      <c r="E104" s="4" t="s">
        <v>476</v>
      </c>
      <c r="F104" s="4" t="s">
        <v>477</v>
      </c>
      <c r="G104" s="4" t="s">
        <v>7</v>
      </c>
      <c r="H104" s="4">
        <v>14</v>
      </c>
      <c r="I104" s="4">
        <v>8</v>
      </c>
      <c r="J104" s="4">
        <v>7</v>
      </c>
      <c r="K104" s="4">
        <v>45</v>
      </c>
    </row>
    <row r="105" spans="1:11" ht="14.25" customHeight="1" x14ac:dyDescent="0.3">
      <c r="A105" s="4">
        <v>104</v>
      </c>
      <c r="B105" s="4" t="s">
        <v>177</v>
      </c>
      <c r="C105" s="4" t="s">
        <v>178</v>
      </c>
      <c r="D105" s="4" t="s">
        <v>478</v>
      </c>
      <c r="E105" s="4" t="s">
        <v>233</v>
      </c>
      <c r="F105" s="4" t="s">
        <v>479</v>
      </c>
      <c r="G105" s="4" t="s">
        <v>7</v>
      </c>
      <c r="H105" s="4">
        <v>16</v>
      </c>
      <c r="I105" s="4">
        <v>10</v>
      </c>
      <c r="J105" s="4">
        <v>8</v>
      </c>
      <c r="K105" s="4">
        <v>51</v>
      </c>
    </row>
    <row r="106" spans="1:11" ht="14.25" customHeight="1" x14ac:dyDescent="0.3">
      <c r="A106" s="4">
        <v>105</v>
      </c>
      <c r="B106" s="4" t="s">
        <v>177</v>
      </c>
      <c r="C106" s="4" t="s">
        <v>178</v>
      </c>
      <c r="D106" s="4" t="s">
        <v>480</v>
      </c>
      <c r="E106" s="4" t="s">
        <v>325</v>
      </c>
      <c r="F106" s="4" t="s">
        <v>481</v>
      </c>
      <c r="G106" s="4" t="s">
        <v>8</v>
      </c>
      <c r="H106" s="4">
        <v>16</v>
      </c>
      <c r="I106" s="4">
        <v>10</v>
      </c>
      <c r="J106" s="4">
        <v>8</v>
      </c>
      <c r="K106" s="4">
        <v>51</v>
      </c>
    </row>
    <row r="107" spans="1:11" ht="14.25" customHeight="1" x14ac:dyDescent="0.3">
      <c r="A107" s="4">
        <v>106</v>
      </c>
      <c r="B107" s="4" t="s">
        <v>177</v>
      </c>
      <c r="C107" s="4" t="s">
        <v>178</v>
      </c>
      <c r="D107" s="4" t="s">
        <v>482</v>
      </c>
      <c r="E107" s="4" t="s">
        <v>425</v>
      </c>
      <c r="F107" s="4" t="s">
        <v>483</v>
      </c>
      <c r="G107" s="4" t="s">
        <v>8</v>
      </c>
      <c r="H107" s="4">
        <v>18</v>
      </c>
      <c r="I107" s="4">
        <v>11</v>
      </c>
      <c r="J107" s="4">
        <v>9</v>
      </c>
      <c r="K107" s="4">
        <v>58</v>
      </c>
    </row>
    <row r="108" spans="1:11" ht="14.25" customHeight="1" x14ac:dyDescent="0.3">
      <c r="A108" s="4">
        <v>107</v>
      </c>
      <c r="B108" s="4" t="s">
        <v>177</v>
      </c>
      <c r="C108" s="4" t="s">
        <v>178</v>
      </c>
      <c r="D108" s="4" t="s">
        <v>484</v>
      </c>
      <c r="E108" s="4" t="s">
        <v>233</v>
      </c>
      <c r="F108" s="4" t="s">
        <v>485</v>
      </c>
      <c r="G108" s="4" t="s">
        <v>8</v>
      </c>
      <c r="H108" s="4">
        <v>20</v>
      </c>
      <c r="I108" s="4">
        <v>12</v>
      </c>
      <c r="J108" s="4">
        <v>10</v>
      </c>
      <c r="K108" s="4">
        <v>64</v>
      </c>
    </row>
    <row r="109" spans="1:11" ht="26.25" customHeight="1" x14ac:dyDescent="0.3">
      <c r="A109" s="4">
        <v>108</v>
      </c>
      <c r="B109" s="4" t="s">
        <v>177</v>
      </c>
      <c r="C109" s="4" t="s">
        <v>178</v>
      </c>
      <c r="D109" s="4" t="s">
        <v>486</v>
      </c>
      <c r="E109" s="4" t="s">
        <v>487</v>
      </c>
      <c r="F109" s="4" t="s">
        <v>488</v>
      </c>
      <c r="G109" s="4" t="s">
        <v>8</v>
      </c>
      <c r="H109" s="4">
        <v>22</v>
      </c>
      <c r="I109" s="4">
        <v>13</v>
      </c>
      <c r="J109" s="4">
        <v>11</v>
      </c>
      <c r="K109" s="4">
        <v>70</v>
      </c>
    </row>
    <row r="110" spans="1:11" ht="14.25" customHeight="1" x14ac:dyDescent="0.3">
      <c r="A110" s="4">
        <v>109</v>
      </c>
      <c r="B110" s="4" t="s">
        <v>177</v>
      </c>
      <c r="C110" s="4" t="s">
        <v>178</v>
      </c>
      <c r="D110" s="4" t="s">
        <v>489</v>
      </c>
      <c r="E110" s="4" t="s">
        <v>425</v>
      </c>
      <c r="F110" s="4" t="s">
        <v>490</v>
      </c>
      <c r="G110" s="4" t="s">
        <v>9</v>
      </c>
      <c r="H110" s="4">
        <v>24</v>
      </c>
      <c r="I110" s="4">
        <v>14</v>
      </c>
      <c r="J110" s="4">
        <v>12</v>
      </c>
      <c r="K110" s="4">
        <v>77</v>
      </c>
    </row>
    <row r="111" spans="1:11" ht="26.25" customHeight="1" x14ac:dyDescent="0.3">
      <c r="A111" s="4">
        <v>110</v>
      </c>
      <c r="B111" s="4" t="s">
        <v>177</v>
      </c>
      <c r="C111" s="4" t="s">
        <v>178</v>
      </c>
      <c r="D111" s="4" t="s">
        <v>491</v>
      </c>
      <c r="E111" s="4" t="s">
        <v>492</v>
      </c>
      <c r="F111" s="4" t="s">
        <v>493</v>
      </c>
      <c r="G111" s="4" t="s">
        <v>9</v>
      </c>
      <c r="H111" s="4">
        <v>26</v>
      </c>
      <c r="I111" s="4">
        <v>16</v>
      </c>
      <c r="J111" s="4">
        <v>13</v>
      </c>
      <c r="K111" s="4">
        <v>83</v>
      </c>
    </row>
    <row r="112" spans="1:11" ht="14.25" customHeight="1" x14ac:dyDescent="0.3">
      <c r="A112" s="4">
        <v>111</v>
      </c>
      <c r="B112" s="4" t="s">
        <v>177</v>
      </c>
      <c r="C112" s="4" t="s">
        <v>178</v>
      </c>
      <c r="D112" s="4" t="s">
        <v>494</v>
      </c>
      <c r="E112" s="4" t="s">
        <v>330</v>
      </c>
      <c r="F112" s="4" t="s">
        <v>495</v>
      </c>
      <c r="G112" s="4" t="s">
        <v>9</v>
      </c>
      <c r="H112" s="4">
        <v>28</v>
      </c>
      <c r="I112" s="4">
        <v>17</v>
      </c>
      <c r="J112" s="4">
        <v>14</v>
      </c>
      <c r="K112" s="4">
        <v>90</v>
      </c>
    </row>
    <row r="113" spans="1:11" ht="26.25" customHeight="1" x14ac:dyDescent="0.3">
      <c r="A113" s="4">
        <v>112</v>
      </c>
      <c r="B113" s="4" t="s">
        <v>177</v>
      </c>
      <c r="C113" s="4" t="s">
        <v>178</v>
      </c>
      <c r="D113" s="4" t="s">
        <v>496</v>
      </c>
      <c r="E113" s="4" t="s">
        <v>304</v>
      </c>
      <c r="F113" s="4" t="s">
        <v>497</v>
      </c>
      <c r="G113" s="4" t="s">
        <v>9</v>
      </c>
      <c r="H113" s="4">
        <v>30</v>
      </c>
      <c r="I113" s="4">
        <v>18</v>
      </c>
      <c r="J113" s="4">
        <v>15</v>
      </c>
      <c r="K113" s="4">
        <v>96</v>
      </c>
    </row>
    <row r="114" spans="1:11" ht="14.25" customHeight="1" x14ac:dyDescent="0.3">
      <c r="A114" s="4">
        <v>113</v>
      </c>
      <c r="B114" s="4" t="s">
        <v>177</v>
      </c>
      <c r="C114" s="4" t="s">
        <v>178</v>
      </c>
      <c r="D114" s="4" t="s">
        <v>498</v>
      </c>
      <c r="E114" s="4" t="s">
        <v>459</v>
      </c>
      <c r="F114" s="4" t="s">
        <v>499</v>
      </c>
      <c r="G114" s="4" t="s">
        <v>10</v>
      </c>
      <c r="H114" s="4">
        <v>34</v>
      </c>
      <c r="I114" s="4">
        <v>20</v>
      </c>
      <c r="J114" s="4">
        <v>17</v>
      </c>
      <c r="K114" s="4">
        <v>109</v>
      </c>
    </row>
    <row r="115" spans="1:11" ht="14.25" customHeight="1" x14ac:dyDescent="0.3">
      <c r="A115" s="4">
        <v>114</v>
      </c>
      <c r="B115" s="4" t="s">
        <v>177</v>
      </c>
      <c r="C115" s="4" t="s">
        <v>178</v>
      </c>
      <c r="D115" s="4" t="s">
        <v>500</v>
      </c>
      <c r="E115" s="4" t="s">
        <v>425</v>
      </c>
      <c r="F115" s="4" t="s">
        <v>501</v>
      </c>
      <c r="G115" s="4" t="s">
        <v>10</v>
      </c>
      <c r="H115" s="4">
        <v>36</v>
      </c>
      <c r="I115" s="4">
        <v>22</v>
      </c>
      <c r="J115" s="4">
        <v>18</v>
      </c>
      <c r="K115" s="4">
        <v>115</v>
      </c>
    </row>
    <row r="116" spans="1:11" ht="14.25" customHeight="1" x14ac:dyDescent="0.3">
      <c r="A116" s="4">
        <v>115</v>
      </c>
      <c r="B116" s="4" t="s">
        <v>177</v>
      </c>
      <c r="C116" s="4" t="s">
        <v>178</v>
      </c>
      <c r="D116" s="4" t="s">
        <v>502</v>
      </c>
      <c r="E116" s="4" t="s">
        <v>425</v>
      </c>
      <c r="F116" s="4" t="s">
        <v>503</v>
      </c>
      <c r="G116" s="4" t="s">
        <v>10</v>
      </c>
      <c r="H116" s="4">
        <v>38</v>
      </c>
      <c r="I116" s="4">
        <v>23</v>
      </c>
      <c r="J116" s="4">
        <v>19</v>
      </c>
      <c r="K116" s="4">
        <v>122</v>
      </c>
    </row>
    <row r="117" spans="1:11" ht="14.25" customHeight="1" x14ac:dyDescent="0.3">
      <c r="A117" s="4">
        <v>116</v>
      </c>
      <c r="B117" s="4" t="s">
        <v>177</v>
      </c>
      <c r="C117" s="4" t="s">
        <v>178</v>
      </c>
      <c r="D117" s="4" t="s">
        <v>504</v>
      </c>
      <c r="E117" s="4" t="s">
        <v>505</v>
      </c>
      <c r="F117" s="4" t="s">
        <v>506</v>
      </c>
      <c r="G117" s="4" t="s">
        <v>11</v>
      </c>
      <c r="H117" s="4">
        <v>54</v>
      </c>
      <c r="I117" s="4">
        <v>32</v>
      </c>
      <c r="J117" s="4">
        <v>27</v>
      </c>
      <c r="K117" s="4">
        <v>173</v>
      </c>
    </row>
    <row r="118" spans="1:11" ht="14.25" customHeight="1" x14ac:dyDescent="0.3">
      <c r="A118" s="4">
        <v>117</v>
      </c>
      <c r="B118" s="4" t="s">
        <v>177</v>
      </c>
      <c r="C118" s="4" t="s">
        <v>178</v>
      </c>
      <c r="D118" s="4" t="s">
        <v>507</v>
      </c>
      <c r="E118" s="4" t="s">
        <v>459</v>
      </c>
      <c r="F118" s="4" t="s">
        <v>508</v>
      </c>
      <c r="G118" s="4" t="s">
        <v>11</v>
      </c>
      <c r="H118" s="4">
        <v>48</v>
      </c>
      <c r="I118" s="4">
        <v>29</v>
      </c>
      <c r="J118" s="4">
        <v>24</v>
      </c>
      <c r="K118" s="4">
        <v>154</v>
      </c>
    </row>
    <row r="119" spans="1:11" ht="14.25" customHeight="1" x14ac:dyDescent="0.3">
      <c r="A119" s="4">
        <v>118</v>
      </c>
      <c r="B119" s="4" t="s">
        <v>177</v>
      </c>
      <c r="C119" s="4" t="s">
        <v>178</v>
      </c>
      <c r="D119" s="4" t="s">
        <v>509</v>
      </c>
      <c r="E119" s="4" t="s">
        <v>325</v>
      </c>
      <c r="F119" s="4" t="s">
        <v>510</v>
      </c>
      <c r="G119" s="4" t="s">
        <v>11</v>
      </c>
      <c r="H119" s="4">
        <v>50</v>
      </c>
      <c r="I119" s="4">
        <v>30</v>
      </c>
      <c r="J119" s="4">
        <v>25</v>
      </c>
      <c r="K119" s="4">
        <v>160</v>
      </c>
    </row>
    <row r="120" spans="1:11" ht="14.25" customHeight="1" x14ac:dyDescent="0.3">
      <c r="A120" s="4">
        <v>119</v>
      </c>
      <c r="B120" s="4" t="s">
        <v>177</v>
      </c>
      <c r="C120" s="4" t="s">
        <v>178</v>
      </c>
      <c r="D120" s="4" t="s">
        <v>511</v>
      </c>
      <c r="E120" s="4" t="s">
        <v>425</v>
      </c>
      <c r="F120" s="4" t="s">
        <v>512</v>
      </c>
      <c r="G120" s="4" t="s">
        <v>12</v>
      </c>
      <c r="H120" s="4">
        <v>69</v>
      </c>
      <c r="I120" s="4">
        <v>41</v>
      </c>
      <c r="J120" s="4">
        <v>34</v>
      </c>
      <c r="K120" s="4">
        <v>221</v>
      </c>
    </row>
    <row r="121" spans="1:11" ht="14.25" customHeight="1" x14ac:dyDescent="0.3">
      <c r="A121" s="4">
        <v>120</v>
      </c>
      <c r="B121" s="4" t="s">
        <v>177</v>
      </c>
      <c r="C121" s="4" t="s">
        <v>178</v>
      </c>
      <c r="D121" s="4" t="s">
        <v>513</v>
      </c>
      <c r="E121" s="4" t="s">
        <v>425</v>
      </c>
      <c r="F121" s="4" t="s">
        <v>514</v>
      </c>
      <c r="G121" s="4" t="s">
        <v>12</v>
      </c>
      <c r="H121" s="4">
        <v>71</v>
      </c>
      <c r="I121" s="4">
        <v>43</v>
      </c>
      <c r="J121" s="4">
        <v>36</v>
      </c>
      <c r="K121" s="4">
        <v>227</v>
      </c>
    </row>
    <row r="122" spans="1:11" ht="14.25" customHeight="1" x14ac:dyDescent="0.3">
      <c r="A122" s="4">
        <v>121</v>
      </c>
      <c r="B122" s="4" t="s">
        <v>181</v>
      </c>
      <c r="C122" s="4" t="s">
        <v>182</v>
      </c>
      <c r="D122" s="4" t="s">
        <v>515</v>
      </c>
      <c r="E122" s="4" t="s">
        <v>516</v>
      </c>
      <c r="F122" s="4" t="s">
        <v>517</v>
      </c>
      <c r="G122" s="4" t="s">
        <v>7</v>
      </c>
      <c r="H122" s="4">
        <v>10</v>
      </c>
      <c r="I122" s="4">
        <v>6</v>
      </c>
      <c r="J122" s="4">
        <v>5</v>
      </c>
      <c r="K122" s="4">
        <v>32</v>
      </c>
    </row>
    <row r="123" spans="1:11" ht="14.25" customHeight="1" x14ac:dyDescent="0.3">
      <c r="A123" s="4">
        <v>122</v>
      </c>
      <c r="B123" s="4" t="s">
        <v>181</v>
      </c>
      <c r="C123" s="4" t="s">
        <v>182</v>
      </c>
      <c r="D123" s="4" t="s">
        <v>518</v>
      </c>
      <c r="E123" s="4" t="s">
        <v>283</v>
      </c>
      <c r="F123" s="4" t="s">
        <v>519</v>
      </c>
      <c r="G123" s="4" t="s">
        <v>7</v>
      </c>
      <c r="H123" s="4">
        <v>12</v>
      </c>
      <c r="I123" s="4">
        <v>7</v>
      </c>
      <c r="J123" s="4">
        <v>6</v>
      </c>
      <c r="K123" s="4">
        <v>38</v>
      </c>
    </row>
    <row r="124" spans="1:11" ht="14.25" customHeight="1" x14ac:dyDescent="0.3">
      <c r="A124" s="4">
        <v>123</v>
      </c>
      <c r="B124" s="4" t="s">
        <v>181</v>
      </c>
      <c r="C124" s="4" t="s">
        <v>182</v>
      </c>
      <c r="D124" s="4" t="s">
        <v>520</v>
      </c>
      <c r="E124" s="4" t="s">
        <v>267</v>
      </c>
      <c r="F124" s="4" t="s">
        <v>521</v>
      </c>
      <c r="G124" s="4" t="s">
        <v>7</v>
      </c>
      <c r="H124" s="4">
        <v>14</v>
      </c>
      <c r="I124" s="4">
        <v>8</v>
      </c>
      <c r="J124" s="4">
        <v>7</v>
      </c>
      <c r="K124" s="4">
        <v>45</v>
      </c>
    </row>
    <row r="125" spans="1:11" ht="14.25" customHeight="1" x14ac:dyDescent="0.3">
      <c r="A125" s="4">
        <v>124</v>
      </c>
      <c r="B125" s="4" t="s">
        <v>181</v>
      </c>
      <c r="C125" s="4" t="s">
        <v>182</v>
      </c>
      <c r="D125" s="4" t="s">
        <v>522</v>
      </c>
      <c r="E125" s="4" t="s">
        <v>233</v>
      </c>
      <c r="F125" s="4" t="s">
        <v>523</v>
      </c>
      <c r="G125" s="4" t="s">
        <v>7</v>
      </c>
      <c r="H125" s="4">
        <v>16</v>
      </c>
      <c r="I125" s="4">
        <v>10</v>
      </c>
      <c r="J125" s="4">
        <v>8</v>
      </c>
      <c r="K125" s="4">
        <v>51</v>
      </c>
    </row>
    <row r="126" spans="1:11" ht="14.25" customHeight="1" x14ac:dyDescent="0.3">
      <c r="A126" s="4">
        <v>125</v>
      </c>
      <c r="B126" s="4" t="s">
        <v>181</v>
      </c>
      <c r="C126" s="4" t="s">
        <v>182</v>
      </c>
      <c r="D126" s="4" t="s">
        <v>524</v>
      </c>
      <c r="E126" s="4" t="s">
        <v>459</v>
      </c>
      <c r="F126" s="4" t="s">
        <v>525</v>
      </c>
      <c r="G126" s="4" t="s">
        <v>8</v>
      </c>
      <c r="H126" s="4">
        <v>16</v>
      </c>
      <c r="I126" s="4">
        <v>10</v>
      </c>
      <c r="J126" s="4">
        <v>8</v>
      </c>
      <c r="K126" s="4">
        <v>51</v>
      </c>
    </row>
    <row r="127" spans="1:11" ht="14.25" customHeight="1" x14ac:dyDescent="0.3">
      <c r="A127" s="4">
        <v>126</v>
      </c>
      <c r="B127" s="4" t="s">
        <v>181</v>
      </c>
      <c r="C127" s="4" t="s">
        <v>182</v>
      </c>
      <c r="D127" s="4" t="s">
        <v>526</v>
      </c>
      <c r="E127" s="4" t="s">
        <v>425</v>
      </c>
      <c r="F127" s="4" t="s">
        <v>527</v>
      </c>
      <c r="G127" s="4" t="s">
        <v>8</v>
      </c>
      <c r="H127" s="4">
        <v>18</v>
      </c>
      <c r="I127" s="4">
        <v>11</v>
      </c>
      <c r="J127" s="4">
        <v>9</v>
      </c>
      <c r="K127" s="4">
        <v>58</v>
      </c>
    </row>
    <row r="128" spans="1:11" ht="14.25" customHeight="1" x14ac:dyDescent="0.3">
      <c r="A128" s="4">
        <v>127</v>
      </c>
      <c r="B128" s="4" t="s">
        <v>181</v>
      </c>
      <c r="C128" s="4" t="s">
        <v>182</v>
      </c>
      <c r="D128" s="4" t="s">
        <v>528</v>
      </c>
      <c r="E128" s="4" t="s">
        <v>422</v>
      </c>
      <c r="F128" s="4" t="s">
        <v>529</v>
      </c>
      <c r="G128" s="4" t="s">
        <v>8</v>
      </c>
      <c r="H128" s="4">
        <v>20</v>
      </c>
      <c r="I128" s="4">
        <v>12</v>
      </c>
      <c r="J128" s="4">
        <v>10</v>
      </c>
      <c r="K128" s="4">
        <v>64</v>
      </c>
    </row>
    <row r="129" spans="1:11" ht="14.25" customHeight="1" x14ac:dyDescent="0.3">
      <c r="A129" s="4">
        <v>128</v>
      </c>
      <c r="B129" s="4" t="s">
        <v>181</v>
      </c>
      <c r="C129" s="4" t="s">
        <v>182</v>
      </c>
      <c r="D129" s="4" t="s">
        <v>530</v>
      </c>
      <c r="E129" s="4" t="s">
        <v>283</v>
      </c>
      <c r="F129" s="4" t="s">
        <v>531</v>
      </c>
      <c r="G129" s="4" t="s">
        <v>8</v>
      </c>
      <c r="H129" s="4">
        <v>22</v>
      </c>
      <c r="I129" s="4">
        <v>13</v>
      </c>
      <c r="J129" s="4">
        <v>11</v>
      </c>
      <c r="K129" s="4">
        <v>70</v>
      </c>
    </row>
    <row r="130" spans="1:11" ht="14.25" customHeight="1" x14ac:dyDescent="0.3">
      <c r="A130" s="4">
        <v>129</v>
      </c>
      <c r="B130" s="4" t="s">
        <v>181</v>
      </c>
      <c r="C130" s="4" t="s">
        <v>182</v>
      </c>
      <c r="D130" s="4" t="s">
        <v>532</v>
      </c>
      <c r="E130" s="4" t="s">
        <v>425</v>
      </c>
      <c r="F130" s="4" t="s">
        <v>533</v>
      </c>
      <c r="G130" s="4" t="s">
        <v>9</v>
      </c>
      <c r="H130" s="4">
        <v>24</v>
      </c>
      <c r="I130" s="4">
        <v>14</v>
      </c>
      <c r="J130" s="4">
        <v>12</v>
      </c>
      <c r="K130" s="4">
        <v>77</v>
      </c>
    </row>
    <row r="131" spans="1:11" ht="14.25" customHeight="1" x14ac:dyDescent="0.3">
      <c r="A131" s="4">
        <v>130</v>
      </c>
      <c r="B131" s="4" t="s">
        <v>181</v>
      </c>
      <c r="C131" s="4" t="s">
        <v>182</v>
      </c>
      <c r="D131" s="4" t="s">
        <v>534</v>
      </c>
      <c r="E131" s="4" t="s">
        <v>325</v>
      </c>
      <c r="F131" s="4" t="s">
        <v>535</v>
      </c>
      <c r="G131" s="4" t="s">
        <v>9</v>
      </c>
      <c r="H131" s="4">
        <v>26</v>
      </c>
      <c r="I131" s="4">
        <v>16</v>
      </c>
      <c r="J131" s="4">
        <v>13</v>
      </c>
      <c r="K131" s="4">
        <v>83</v>
      </c>
    </row>
    <row r="132" spans="1:11" ht="14.25" customHeight="1" x14ac:dyDescent="0.3">
      <c r="A132" s="4">
        <v>131</v>
      </c>
      <c r="B132" s="4" t="s">
        <v>181</v>
      </c>
      <c r="C132" s="4" t="s">
        <v>182</v>
      </c>
      <c r="D132" s="4" t="s">
        <v>536</v>
      </c>
      <c r="E132" s="4" t="s">
        <v>537</v>
      </c>
      <c r="F132" s="4" t="s">
        <v>538</v>
      </c>
      <c r="G132" s="4" t="s">
        <v>9</v>
      </c>
      <c r="H132" s="4">
        <v>28</v>
      </c>
      <c r="I132" s="4">
        <v>17</v>
      </c>
      <c r="J132" s="4">
        <v>14</v>
      </c>
      <c r="K132" s="4">
        <v>90</v>
      </c>
    </row>
    <row r="133" spans="1:11" ht="14.25" customHeight="1" x14ac:dyDescent="0.3">
      <c r="A133" s="4">
        <v>132</v>
      </c>
      <c r="B133" s="4" t="s">
        <v>181</v>
      </c>
      <c r="C133" s="4" t="s">
        <v>182</v>
      </c>
      <c r="D133" s="4" t="s">
        <v>539</v>
      </c>
      <c r="E133" s="4" t="s">
        <v>540</v>
      </c>
      <c r="F133" s="4" t="s">
        <v>541</v>
      </c>
      <c r="G133" s="4" t="s">
        <v>9</v>
      </c>
      <c r="H133" s="4">
        <v>30</v>
      </c>
      <c r="I133" s="4">
        <v>18</v>
      </c>
      <c r="J133" s="4">
        <v>15</v>
      </c>
      <c r="K133" s="4">
        <v>96</v>
      </c>
    </row>
    <row r="134" spans="1:11" ht="14.25" customHeight="1" x14ac:dyDescent="0.3">
      <c r="A134" s="4">
        <v>133</v>
      </c>
      <c r="B134" s="4" t="s">
        <v>181</v>
      </c>
      <c r="C134" s="4" t="s">
        <v>182</v>
      </c>
      <c r="D134" s="4" t="s">
        <v>542</v>
      </c>
      <c r="E134" s="4" t="s">
        <v>330</v>
      </c>
      <c r="F134" s="4" t="s">
        <v>543</v>
      </c>
      <c r="G134" s="4" t="s">
        <v>10</v>
      </c>
      <c r="H134" s="4">
        <v>34</v>
      </c>
      <c r="I134" s="4">
        <v>20</v>
      </c>
      <c r="J134" s="4">
        <v>17</v>
      </c>
      <c r="K134" s="4">
        <v>109</v>
      </c>
    </row>
    <row r="135" spans="1:11" ht="14.25" customHeight="1" x14ac:dyDescent="0.3">
      <c r="A135" s="4">
        <v>134</v>
      </c>
      <c r="B135" s="4" t="s">
        <v>181</v>
      </c>
      <c r="C135" s="4" t="s">
        <v>182</v>
      </c>
      <c r="D135" s="4" t="s">
        <v>544</v>
      </c>
      <c r="E135" s="4" t="s">
        <v>545</v>
      </c>
      <c r="F135" s="4" t="s">
        <v>546</v>
      </c>
      <c r="G135" s="4" t="s">
        <v>10</v>
      </c>
      <c r="H135" s="4">
        <v>36</v>
      </c>
      <c r="I135" s="4">
        <v>22</v>
      </c>
      <c r="J135" s="4">
        <v>18</v>
      </c>
      <c r="K135" s="4">
        <v>115</v>
      </c>
    </row>
    <row r="136" spans="1:11" ht="14.25" customHeight="1" x14ac:dyDescent="0.3">
      <c r="A136" s="4">
        <v>135</v>
      </c>
      <c r="B136" s="4" t="s">
        <v>181</v>
      </c>
      <c r="C136" s="4" t="s">
        <v>182</v>
      </c>
      <c r="D136" s="4" t="s">
        <v>547</v>
      </c>
      <c r="E136" s="4" t="s">
        <v>548</v>
      </c>
      <c r="F136" s="4" t="s">
        <v>549</v>
      </c>
      <c r="G136" s="4" t="s">
        <v>10</v>
      </c>
      <c r="H136" s="4">
        <v>38</v>
      </c>
      <c r="I136" s="4">
        <v>23</v>
      </c>
      <c r="J136" s="4">
        <v>19</v>
      </c>
      <c r="K136" s="4">
        <v>122</v>
      </c>
    </row>
    <row r="137" spans="1:11" ht="26.25" customHeight="1" x14ac:dyDescent="0.3">
      <c r="A137" s="4">
        <v>136</v>
      </c>
      <c r="B137" s="4" t="s">
        <v>181</v>
      </c>
      <c r="C137" s="4" t="s">
        <v>182</v>
      </c>
      <c r="D137" s="4" t="s">
        <v>550</v>
      </c>
      <c r="E137" s="4" t="s">
        <v>425</v>
      </c>
      <c r="F137" s="4" t="s">
        <v>551</v>
      </c>
      <c r="G137" s="4" t="s">
        <v>11</v>
      </c>
      <c r="H137" s="4">
        <v>54</v>
      </c>
      <c r="I137" s="4">
        <v>32</v>
      </c>
      <c r="J137" s="4">
        <v>27</v>
      </c>
      <c r="K137" s="4">
        <v>173</v>
      </c>
    </row>
    <row r="138" spans="1:11" ht="14.25" customHeight="1" x14ac:dyDescent="0.3">
      <c r="A138" s="4">
        <v>137</v>
      </c>
      <c r="B138" s="4" t="s">
        <v>181</v>
      </c>
      <c r="C138" s="4" t="s">
        <v>182</v>
      </c>
      <c r="D138" s="4" t="s">
        <v>552</v>
      </c>
      <c r="E138" s="4" t="s">
        <v>425</v>
      </c>
      <c r="F138" s="4" t="s">
        <v>553</v>
      </c>
      <c r="G138" s="4" t="s">
        <v>11</v>
      </c>
      <c r="H138" s="4">
        <v>48</v>
      </c>
      <c r="I138" s="4">
        <v>29</v>
      </c>
      <c r="J138" s="4">
        <v>24</v>
      </c>
      <c r="K138" s="4">
        <v>154</v>
      </c>
    </row>
    <row r="139" spans="1:11" ht="14.25" customHeight="1" x14ac:dyDescent="0.3">
      <c r="A139" s="4">
        <v>138</v>
      </c>
      <c r="B139" s="4" t="s">
        <v>181</v>
      </c>
      <c r="C139" s="4" t="s">
        <v>182</v>
      </c>
      <c r="D139" s="4" t="s">
        <v>554</v>
      </c>
      <c r="E139" s="4" t="s">
        <v>325</v>
      </c>
      <c r="F139" s="4" t="s">
        <v>555</v>
      </c>
      <c r="G139" s="4" t="s">
        <v>11</v>
      </c>
      <c r="H139" s="4">
        <v>50</v>
      </c>
      <c r="I139" s="4">
        <v>30</v>
      </c>
      <c r="J139" s="4">
        <v>25</v>
      </c>
      <c r="K139" s="4">
        <v>160</v>
      </c>
    </row>
    <row r="140" spans="1:11" ht="14.25" customHeight="1" x14ac:dyDescent="0.3">
      <c r="A140" s="4">
        <v>139</v>
      </c>
      <c r="B140" s="4" t="s">
        <v>181</v>
      </c>
      <c r="C140" s="4" t="s">
        <v>182</v>
      </c>
      <c r="D140" s="4" t="s">
        <v>556</v>
      </c>
      <c r="E140" s="4" t="s">
        <v>425</v>
      </c>
      <c r="F140" s="4" t="s">
        <v>557</v>
      </c>
      <c r="G140" s="4" t="s">
        <v>12</v>
      </c>
      <c r="H140" s="4">
        <v>69</v>
      </c>
      <c r="I140" s="4">
        <v>41</v>
      </c>
      <c r="J140" s="4">
        <v>34</v>
      </c>
      <c r="K140" s="4">
        <v>221</v>
      </c>
    </row>
    <row r="141" spans="1:11" ht="14.25" customHeight="1" x14ac:dyDescent="0.3">
      <c r="A141" s="4">
        <v>140</v>
      </c>
      <c r="B141" s="4" t="s">
        <v>181</v>
      </c>
      <c r="C141" s="4" t="s">
        <v>182</v>
      </c>
      <c r="D141" s="4" t="s">
        <v>558</v>
      </c>
      <c r="E141" s="4" t="s">
        <v>425</v>
      </c>
      <c r="F141" s="4" t="s">
        <v>559</v>
      </c>
      <c r="G141" s="4" t="s">
        <v>12</v>
      </c>
      <c r="H141" s="4">
        <v>71</v>
      </c>
      <c r="I141" s="4">
        <v>43</v>
      </c>
      <c r="J141" s="4">
        <v>36</v>
      </c>
      <c r="K141" s="4">
        <v>227</v>
      </c>
    </row>
    <row r="142" spans="1:11" ht="14.25" customHeight="1" x14ac:dyDescent="0.3">
      <c r="A142" s="4">
        <v>141</v>
      </c>
      <c r="B142" s="4" t="s">
        <v>185</v>
      </c>
      <c r="C142" s="4" t="s">
        <v>186</v>
      </c>
      <c r="D142" s="4" t="s">
        <v>560</v>
      </c>
      <c r="E142" s="4" t="s">
        <v>505</v>
      </c>
      <c r="F142" s="4" t="s">
        <v>561</v>
      </c>
      <c r="G142" s="4" t="s">
        <v>7</v>
      </c>
      <c r="H142" s="4">
        <v>10</v>
      </c>
      <c r="I142" s="4">
        <v>6</v>
      </c>
      <c r="J142" s="4">
        <v>5</v>
      </c>
      <c r="K142" s="4">
        <v>32</v>
      </c>
    </row>
    <row r="143" spans="1:11" ht="14.25" customHeight="1" x14ac:dyDescent="0.3">
      <c r="A143" s="4">
        <v>142</v>
      </c>
      <c r="B143" s="4" t="s">
        <v>185</v>
      </c>
      <c r="C143" s="4" t="s">
        <v>186</v>
      </c>
      <c r="D143" s="4" t="s">
        <v>562</v>
      </c>
      <c r="E143" s="4" t="s">
        <v>368</v>
      </c>
      <c r="F143" s="4" t="s">
        <v>563</v>
      </c>
      <c r="G143" s="4" t="s">
        <v>7</v>
      </c>
      <c r="H143" s="4">
        <v>12</v>
      </c>
      <c r="I143" s="4">
        <v>7</v>
      </c>
      <c r="J143" s="4">
        <v>6</v>
      </c>
      <c r="K143" s="4">
        <v>38</v>
      </c>
    </row>
    <row r="144" spans="1:11" ht="14.25" customHeight="1" x14ac:dyDescent="0.3">
      <c r="A144" s="4">
        <v>143</v>
      </c>
      <c r="B144" s="4" t="s">
        <v>185</v>
      </c>
      <c r="C144" s="4" t="s">
        <v>186</v>
      </c>
      <c r="D144" s="4" t="s">
        <v>564</v>
      </c>
      <c r="E144" s="4" t="s">
        <v>233</v>
      </c>
      <c r="F144" s="4" t="s">
        <v>565</v>
      </c>
      <c r="G144" s="4" t="s">
        <v>7</v>
      </c>
      <c r="H144" s="4">
        <v>14</v>
      </c>
      <c r="I144" s="4">
        <v>8</v>
      </c>
      <c r="J144" s="4">
        <v>7</v>
      </c>
      <c r="K144" s="4">
        <v>45</v>
      </c>
    </row>
    <row r="145" spans="1:11" ht="14.25" customHeight="1" x14ac:dyDescent="0.3">
      <c r="A145" s="4">
        <v>144</v>
      </c>
      <c r="B145" s="4" t="s">
        <v>185</v>
      </c>
      <c r="C145" s="4" t="s">
        <v>186</v>
      </c>
      <c r="D145" s="4" t="s">
        <v>566</v>
      </c>
      <c r="E145" s="4" t="s">
        <v>325</v>
      </c>
      <c r="F145" s="4" t="s">
        <v>567</v>
      </c>
      <c r="G145" s="4" t="s">
        <v>7</v>
      </c>
      <c r="H145" s="4">
        <v>16</v>
      </c>
      <c r="I145" s="4">
        <v>10</v>
      </c>
      <c r="J145" s="4">
        <v>8</v>
      </c>
      <c r="K145" s="4">
        <v>51</v>
      </c>
    </row>
    <row r="146" spans="1:11" ht="14.25" customHeight="1" x14ac:dyDescent="0.3">
      <c r="A146" s="4">
        <v>145</v>
      </c>
      <c r="B146" s="4" t="s">
        <v>185</v>
      </c>
      <c r="C146" s="4" t="s">
        <v>186</v>
      </c>
      <c r="D146" s="4" t="s">
        <v>568</v>
      </c>
      <c r="E146" s="4" t="s">
        <v>569</v>
      </c>
      <c r="F146" s="4" t="s">
        <v>570</v>
      </c>
      <c r="G146" s="4" t="s">
        <v>8</v>
      </c>
      <c r="H146" s="4">
        <v>16</v>
      </c>
      <c r="I146" s="4">
        <v>10</v>
      </c>
      <c r="J146" s="4">
        <v>8</v>
      </c>
      <c r="K146" s="4">
        <v>51</v>
      </c>
    </row>
    <row r="147" spans="1:11" ht="14.25" customHeight="1" x14ac:dyDescent="0.3">
      <c r="A147" s="4">
        <v>146</v>
      </c>
      <c r="B147" s="4" t="s">
        <v>185</v>
      </c>
      <c r="C147" s="4" t="s">
        <v>186</v>
      </c>
      <c r="D147" s="4" t="s">
        <v>571</v>
      </c>
      <c r="E147" s="4" t="s">
        <v>325</v>
      </c>
      <c r="F147" s="4" t="s">
        <v>572</v>
      </c>
      <c r="G147" s="4" t="s">
        <v>8</v>
      </c>
      <c r="H147" s="4">
        <v>18</v>
      </c>
      <c r="I147" s="4">
        <v>11</v>
      </c>
      <c r="J147" s="4">
        <v>9</v>
      </c>
      <c r="K147" s="4">
        <v>58</v>
      </c>
    </row>
    <row r="148" spans="1:11" ht="14.25" customHeight="1" x14ac:dyDescent="0.3">
      <c r="A148" s="4">
        <v>147</v>
      </c>
      <c r="B148" s="4" t="s">
        <v>185</v>
      </c>
      <c r="C148" s="4" t="s">
        <v>186</v>
      </c>
      <c r="D148" s="4" t="s">
        <v>573</v>
      </c>
      <c r="E148" s="4" t="s">
        <v>273</v>
      </c>
      <c r="F148" s="4" t="s">
        <v>574</v>
      </c>
      <c r="G148" s="4" t="s">
        <v>8</v>
      </c>
      <c r="H148" s="4">
        <v>20</v>
      </c>
      <c r="I148" s="4">
        <v>12</v>
      </c>
      <c r="J148" s="4">
        <v>10</v>
      </c>
      <c r="K148" s="4">
        <v>64</v>
      </c>
    </row>
    <row r="149" spans="1:11" ht="14.25" customHeight="1" x14ac:dyDescent="0.3">
      <c r="A149" s="4">
        <v>148</v>
      </c>
      <c r="B149" s="4" t="s">
        <v>185</v>
      </c>
      <c r="C149" s="4" t="s">
        <v>186</v>
      </c>
      <c r="D149" s="4" t="s">
        <v>575</v>
      </c>
      <c r="E149" s="4" t="s">
        <v>576</v>
      </c>
      <c r="F149" s="4" t="s">
        <v>577</v>
      </c>
      <c r="G149" s="4" t="s">
        <v>8</v>
      </c>
      <c r="H149" s="4">
        <v>22</v>
      </c>
      <c r="I149" s="4">
        <v>13</v>
      </c>
      <c r="J149" s="4">
        <v>11</v>
      </c>
      <c r="K149" s="4">
        <v>70</v>
      </c>
    </row>
    <row r="150" spans="1:11" ht="14.25" customHeight="1" x14ac:dyDescent="0.3">
      <c r="A150" s="4">
        <v>149</v>
      </c>
      <c r="B150" s="4" t="s">
        <v>185</v>
      </c>
      <c r="C150" s="4" t="s">
        <v>186</v>
      </c>
      <c r="D150" s="4" t="s">
        <v>578</v>
      </c>
      <c r="E150" s="4" t="s">
        <v>233</v>
      </c>
      <c r="F150" s="4" t="s">
        <v>579</v>
      </c>
      <c r="G150" s="4" t="s">
        <v>9</v>
      </c>
      <c r="H150" s="4">
        <v>24</v>
      </c>
      <c r="I150" s="4">
        <v>14</v>
      </c>
      <c r="J150" s="4">
        <v>12</v>
      </c>
      <c r="K150" s="4">
        <v>77</v>
      </c>
    </row>
    <row r="151" spans="1:11" ht="26.25" customHeight="1" x14ac:dyDescent="0.3">
      <c r="A151" s="4">
        <v>150</v>
      </c>
      <c r="B151" s="4" t="s">
        <v>185</v>
      </c>
      <c r="C151" s="4" t="s">
        <v>186</v>
      </c>
      <c r="D151" s="4" t="s">
        <v>580</v>
      </c>
      <c r="E151" s="4" t="s">
        <v>537</v>
      </c>
      <c r="F151" s="4" t="s">
        <v>581</v>
      </c>
      <c r="G151" s="4" t="s">
        <v>9</v>
      </c>
      <c r="H151" s="4">
        <v>26</v>
      </c>
      <c r="I151" s="4">
        <v>16</v>
      </c>
      <c r="J151" s="4">
        <v>13</v>
      </c>
      <c r="K151" s="4">
        <v>83</v>
      </c>
    </row>
    <row r="152" spans="1:11" ht="14.25" customHeight="1" x14ac:dyDescent="0.3">
      <c r="A152" s="4">
        <v>151</v>
      </c>
      <c r="B152" s="4" t="s">
        <v>185</v>
      </c>
      <c r="C152" s="4" t="s">
        <v>186</v>
      </c>
      <c r="D152" s="4" t="s">
        <v>582</v>
      </c>
      <c r="E152" s="4" t="s">
        <v>537</v>
      </c>
      <c r="F152" s="4" t="s">
        <v>583</v>
      </c>
      <c r="G152" s="4" t="s">
        <v>9</v>
      </c>
      <c r="H152" s="4">
        <v>28</v>
      </c>
      <c r="I152" s="4">
        <v>17</v>
      </c>
      <c r="J152" s="4">
        <v>14</v>
      </c>
      <c r="K152" s="4">
        <v>90</v>
      </c>
    </row>
    <row r="153" spans="1:11" ht="14.25" customHeight="1" x14ac:dyDescent="0.3">
      <c r="A153" s="4">
        <v>152</v>
      </c>
      <c r="B153" s="4" t="s">
        <v>185</v>
      </c>
      <c r="C153" s="4" t="s">
        <v>186</v>
      </c>
      <c r="D153" s="4" t="s">
        <v>584</v>
      </c>
      <c r="E153" s="4" t="s">
        <v>585</v>
      </c>
      <c r="F153" s="4" t="s">
        <v>586</v>
      </c>
      <c r="G153" s="4" t="s">
        <v>9</v>
      </c>
      <c r="H153" s="4">
        <v>30</v>
      </c>
      <c r="I153" s="4">
        <v>18</v>
      </c>
      <c r="J153" s="4">
        <v>15</v>
      </c>
      <c r="K153" s="4">
        <v>96</v>
      </c>
    </row>
    <row r="154" spans="1:11" ht="14.25" customHeight="1" x14ac:dyDescent="0.3">
      <c r="A154" s="4">
        <v>153</v>
      </c>
      <c r="B154" s="4" t="s">
        <v>185</v>
      </c>
      <c r="C154" s="4" t="s">
        <v>186</v>
      </c>
      <c r="D154" s="4" t="s">
        <v>587</v>
      </c>
      <c r="E154" s="4" t="s">
        <v>588</v>
      </c>
      <c r="F154" s="4" t="s">
        <v>589</v>
      </c>
      <c r="G154" s="4" t="s">
        <v>10</v>
      </c>
      <c r="H154" s="4">
        <v>34</v>
      </c>
      <c r="I154" s="4">
        <v>20</v>
      </c>
      <c r="J154" s="4">
        <v>17</v>
      </c>
      <c r="K154" s="4">
        <v>109</v>
      </c>
    </row>
    <row r="155" spans="1:11" ht="14.25" customHeight="1" x14ac:dyDescent="0.3">
      <c r="A155" s="4">
        <v>154</v>
      </c>
      <c r="B155" s="4" t="s">
        <v>185</v>
      </c>
      <c r="C155" s="4" t="s">
        <v>186</v>
      </c>
      <c r="D155" s="4" t="s">
        <v>590</v>
      </c>
      <c r="E155" s="4" t="s">
        <v>233</v>
      </c>
      <c r="F155" s="4" t="s">
        <v>591</v>
      </c>
      <c r="G155" s="4" t="s">
        <v>10</v>
      </c>
      <c r="H155" s="4">
        <v>36</v>
      </c>
      <c r="I155" s="4">
        <v>22</v>
      </c>
      <c r="J155" s="4">
        <v>18</v>
      </c>
      <c r="K155" s="4">
        <v>115</v>
      </c>
    </row>
    <row r="156" spans="1:11" ht="14.25" customHeight="1" x14ac:dyDescent="0.3">
      <c r="A156" s="4">
        <v>155</v>
      </c>
      <c r="B156" s="4" t="s">
        <v>185</v>
      </c>
      <c r="C156" s="4" t="s">
        <v>186</v>
      </c>
      <c r="D156" s="4" t="s">
        <v>592</v>
      </c>
      <c r="E156" s="4" t="s">
        <v>425</v>
      </c>
      <c r="F156" s="4" t="s">
        <v>593</v>
      </c>
      <c r="G156" s="4" t="s">
        <v>10</v>
      </c>
      <c r="H156" s="4">
        <v>38</v>
      </c>
      <c r="I156" s="4">
        <v>23</v>
      </c>
      <c r="J156" s="4">
        <v>19</v>
      </c>
      <c r="K156" s="4">
        <v>122</v>
      </c>
    </row>
    <row r="157" spans="1:11" ht="14.25" customHeight="1" x14ac:dyDescent="0.3">
      <c r="A157" s="4">
        <v>156</v>
      </c>
      <c r="B157" s="4" t="s">
        <v>185</v>
      </c>
      <c r="C157" s="4" t="s">
        <v>186</v>
      </c>
      <c r="D157" s="4" t="s">
        <v>594</v>
      </c>
      <c r="E157" s="4" t="s">
        <v>595</v>
      </c>
      <c r="F157" s="4" t="s">
        <v>596</v>
      </c>
      <c r="G157" s="4" t="s">
        <v>11</v>
      </c>
      <c r="H157" s="4">
        <v>54</v>
      </c>
      <c r="I157" s="4">
        <v>32</v>
      </c>
      <c r="J157" s="4">
        <v>27</v>
      </c>
      <c r="K157" s="4">
        <v>173</v>
      </c>
    </row>
    <row r="158" spans="1:11" ht="14.25" customHeight="1" x14ac:dyDescent="0.3">
      <c r="A158" s="4">
        <v>157</v>
      </c>
      <c r="B158" s="4" t="s">
        <v>185</v>
      </c>
      <c r="C158" s="4" t="s">
        <v>186</v>
      </c>
      <c r="D158" s="4" t="s">
        <v>597</v>
      </c>
      <c r="E158" s="4" t="s">
        <v>283</v>
      </c>
      <c r="F158" s="4" t="s">
        <v>598</v>
      </c>
      <c r="G158" s="4" t="s">
        <v>11</v>
      </c>
      <c r="H158" s="4">
        <v>48</v>
      </c>
      <c r="I158" s="4">
        <v>29</v>
      </c>
      <c r="J158" s="4">
        <v>24</v>
      </c>
      <c r="K158" s="4">
        <v>154</v>
      </c>
    </row>
    <row r="159" spans="1:11" ht="14.25" customHeight="1" x14ac:dyDescent="0.3">
      <c r="A159" s="4">
        <v>158</v>
      </c>
      <c r="B159" s="4" t="s">
        <v>185</v>
      </c>
      <c r="C159" s="4" t="s">
        <v>186</v>
      </c>
      <c r="D159" s="4" t="s">
        <v>599</v>
      </c>
      <c r="E159" s="4" t="s">
        <v>600</v>
      </c>
      <c r="F159" s="4" t="s">
        <v>601</v>
      </c>
      <c r="G159" s="4" t="s">
        <v>11</v>
      </c>
      <c r="H159" s="4">
        <v>50</v>
      </c>
      <c r="I159" s="4">
        <v>30</v>
      </c>
      <c r="J159" s="4">
        <v>25</v>
      </c>
      <c r="K159" s="4">
        <v>160</v>
      </c>
    </row>
    <row r="160" spans="1:11" ht="14.25" customHeight="1" x14ac:dyDescent="0.3">
      <c r="A160" s="4">
        <v>159</v>
      </c>
      <c r="B160" s="4" t="s">
        <v>185</v>
      </c>
      <c r="C160" s="4" t="s">
        <v>186</v>
      </c>
      <c r="D160" s="4" t="s">
        <v>602</v>
      </c>
      <c r="E160" s="4" t="s">
        <v>233</v>
      </c>
      <c r="F160" s="4" t="s">
        <v>603</v>
      </c>
      <c r="G160" s="4" t="s">
        <v>12</v>
      </c>
      <c r="H160" s="4">
        <v>69</v>
      </c>
      <c r="I160" s="4">
        <v>41</v>
      </c>
      <c r="J160" s="4">
        <v>34</v>
      </c>
      <c r="K160" s="4">
        <v>221</v>
      </c>
    </row>
    <row r="161" spans="1:11" ht="14.25" customHeight="1" x14ac:dyDescent="0.3">
      <c r="A161" s="4">
        <v>160</v>
      </c>
      <c r="B161" s="4" t="s">
        <v>185</v>
      </c>
      <c r="C161" s="4" t="s">
        <v>186</v>
      </c>
      <c r="D161" s="4" t="s">
        <v>604</v>
      </c>
      <c r="E161" s="4" t="s">
        <v>425</v>
      </c>
      <c r="F161" s="4" t="s">
        <v>605</v>
      </c>
      <c r="G161" s="4" t="s">
        <v>12</v>
      </c>
      <c r="H161" s="4">
        <v>71</v>
      </c>
      <c r="I161" s="4">
        <v>43</v>
      </c>
      <c r="J161" s="4">
        <v>36</v>
      </c>
      <c r="K161" s="4">
        <v>227</v>
      </c>
    </row>
    <row r="162" spans="1:11" ht="14.25" customHeight="1" x14ac:dyDescent="0.3">
      <c r="A162" s="4">
        <v>161</v>
      </c>
      <c r="B162" s="4" t="s">
        <v>189</v>
      </c>
      <c r="C162" s="4" t="s">
        <v>190</v>
      </c>
      <c r="D162" s="4" t="s">
        <v>606</v>
      </c>
      <c r="E162" s="4" t="s">
        <v>248</v>
      </c>
      <c r="F162" s="4" t="s">
        <v>607</v>
      </c>
      <c r="G162" s="4" t="s">
        <v>7</v>
      </c>
      <c r="H162" s="4">
        <v>10</v>
      </c>
      <c r="I162" s="4">
        <v>6</v>
      </c>
      <c r="J162" s="4">
        <v>5</v>
      </c>
      <c r="K162" s="4">
        <v>32</v>
      </c>
    </row>
    <row r="163" spans="1:11" ht="14.25" customHeight="1" x14ac:dyDescent="0.3">
      <c r="A163" s="4">
        <v>162</v>
      </c>
      <c r="B163" s="4" t="s">
        <v>189</v>
      </c>
      <c r="C163" s="4" t="s">
        <v>190</v>
      </c>
      <c r="D163" s="4" t="s">
        <v>608</v>
      </c>
      <c r="E163" s="4" t="s">
        <v>609</v>
      </c>
      <c r="F163" s="4" t="s">
        <v>610</v>
      </c>
      <c r="G163" s="4" t="s">
        <v>7</v>
      </c>
      <c r="H163" s="4">
        <v>12</v>
      </c>
      <c r="I163" s="4">
        <v>7</v>
      </c>
      <c r="J163" s="4">
        <v>6</v>
      </c>
      <c r="K163" s="4">
        <v>38</v>
      </c>
    </row>
    <row r="164" spans="1:11" ht="14.25" customHeight="1" x14ac:dyDescent="0.3">
      <c r="A164" s="4">
        <v>163</v>
      </c>
      <c r="B164" s="4" t="s">
        <v>189</v>
      </c>
      <c r="C164" s="4" t="s">
        <v>190</v>
      </c>
      <c r="D164" s="4" t="s">
        <v>611</v>
      </c>
      <c r="E164" s="4" t="s">
        <v>612</v>
      </c>
      <c r="F164" s="4" t="s">
        <v>613</v>
      </c>
      <c r="G164" s="4" t="s">
        <v>7</v>
      </c>
      <c r="H164" s="4">
        <v>14</v>
      </c>
      <c r="I164" s="4">
        <v>8</v>
      </c>
      <c r="J164" s="4">
        <v>7</v>
      </c>
      <c r="K164" s="4">
        <v>45</v>
      </c>
    </row>
    <row r="165" spans="1:11" ht="14.25" customHeight="1" x14ac:dyDescent="0.3">
      <c r="A165" s="4">
        <v>164</v>
      </c>
      <c r="B165" s="4" t="s">
        <v>189</v>
      </c>
      <c r="C165" s="4" t="s">
        <v>190</v>
      </c>
      <c r="D165" s="4" t="s">
        <v>614</v>
      </c>
      <c r="E165" s="4" t="s">
        <v>248</v>
      </c>
      <c r="F165" s="4" t="s">
        <v>615</v>
      </c>
      <c r="G165" s="4" t="s">
        <v>7</v>
      </c>
      <c r="H165" s="4">
        <v>16</v>
      </c>
      <c r="I165" s="4">
        <v>10</v>
      </c>
      <c r="J165" s="4">
        <v>8</v>
      </c>
      <c r="K165" s="4">
        <v>51</v>
      </c>
    </row>
    <row r="166" spans="1:11" ht="14.25" customHeight="1" x14ac:dyDescent="0.3">
      <c r="A166" s="4">
        <v>165</v>
      </c>
      <c r="B166" s="4" t="s">
        <v>189</v>
      </c>
      <c r="C166" s="4" t="s">
        <v>190</v>
      </c>
      <c r="D166" s="4" t="s">
        <v>616</v>
      </c>
      <c r="E166" s="4" t="s">
        <v>248</v>
      </c>
      <c r="F166" s="4" t="s">
        <v>617</v>
      </c>
      <c r="G166" s="4" t="s">
        <v>8</v>
      </c>
      <c r="H166" s="4">
        <v>16</v>
      </c>
      <c r="I166" s="4">
        <v>10</v>
      </c>
      <c r="J166" s="4">
        <v>8</v>
      </c>
      <c r="K166" s="4">
        <v>51</v>
      </c>
    </row>
    <row r="167" spans="1:11" ht="14.25" customHeight="1" x14ac:dyDescent="0.3">
      <c r="A167" s="4">
        <v>166</v>
      </c>
      <c r="B167" s="4" t="s">
        <v>189</v>
      </c>
      <c r="C167" s="4" t="s">
        <v>190</v>
      </c>
      <c r="D167" s="4" t="s">
        <v>618</v>
      </c>
      <c r="E167" s="4" t="s">
        <v>248</v>
      </c>
      <c r="F167" s="4" t="s">
        <v>619</v>
      </c>
      <c r="G167" s="4" t="s">
        <v>8</v>
      </c>
      <c r="H167" s="4">
        <v>18</v>
      </c>
      <c r="I167" s="4">
        <v>11</v>
      </c>
      <c r="J167" s="4">
        <v>9</v>
      </c>
      <c r="K167" s="4">
        <v>58</v>
      </c>
    </row>
    <row r="168" spans="1:11" ht="14.25" customHeight="1" x14ac:dyDescent="0.3">
      <c r="A168" s="4">
        <v>167</v>
      </c>
      <c r="B168" s="4" t="s">
        <v>189</v>
      </c>
      <c r="C168" s="4" t="s">
        <v>190</v>
      </c>
      <c r="D168" s="4" t="s">
        <v>620</v>
      </c>
      <c r="E168" s="4" t="s">
        <v>248</v>
      </c>
      <c r="F168" s="4" t="s">
        <v>621</v>
      </c>
      <c r="G168" s="4" t="s">
        <v>8</v>
      </c>
      <c r="H168" s="4">
        <v>20</v>
      </c>
      <c r="I168" s="4">
        <v>12</v>
      </c>
      <c r="J168" s="4">
        <v>10</v>
      </c>
      <c r="K168" s="4">
        <v>64</v>
      </c>
    </row>
    <row r="169" spans="1:11" ht="14.25" customHeight="1" x14ac:dyDescent="0.3">
      <c r="A169" s="4">
        <v>168</v>
      </c>
      <c r="B169" s="4" t="s">
        <v>189</v>
      </c>
      <c r="C169" s="4" t="s">
        <v>190</v>
      </c>
      <c r="D169" s="4" t="s">
        <v>622</v>
      </c>
      <c r="E169" s="4" t="s">
        <v>248</v>
      </c>
      <c r="F169" s="4" t="s">
        <v>623</v>
      </c>
      <c r="G169" s="4" t="s">
        <v>8</v>
      </c>
      <c r="H169" s="4">
        <v>22</v>
      </c>
      <c r="I169" s="4">
        <v>13</v>
      </c>
      <c r="J169" s="4">
        <v>11</v>
      </c>
      <c r="K169" s="4">
        <v>70</v>
      </c>
    </row>
    <row r="170" spans="1:11" ht="14.25" customHeight="1" x14ac:dyDescent="0.3">
      <c r="A170" s="4">
        <v>169</v>
      </c>
      <c r="B170" s="4" t="s">
        <v>189</v>
      </c>
      <c r="C170" s="4" t="s">
        <v>190</v>
      </c>
      <c r="D170" s="4" t="s">
        <v>624</v>
      </c>
      <c r="E170" s="4" t="s">
        <v>330</v>
      </c>
      <c r="F170" s="4" t="s">
        <v>625</v>
      </c>
      <c r="G170" s="4" t="s">
        <v>9</v>
      </c>
      <c r="H170" s="4">
        <v>24</v>
      </c>
      <c r="I170" s="4">
        <v>14</v>
      </c>
      <c r="J170" s="4">
        <v>12</v>
      </c>
      <c r="K170" s="4">
        <v>77</v>
      </c>
    </row>
    <row r="171" spans="1:11" ht="14.25" customHeight="1" x14ac:dyDescent="0.3">
      <c r="A171" s="4">
        <v>170</v>
      </c>
      <c r="B171" s="4" t="s">
        <v>189</v>
      </c>
      <c r="C171" s="4" t="s">
        <v>190</v>
      </c>
      <c r="D171" s="4" t="s">
        <v>626</v>
      </c>
      <c r="E171" s="4" t="s">
        <v>330</v>
      </c>
      <c r="F171" s="4" t="s">
        <v>627</v>
      </c>
      <c r="G171" s="4" t="s">
        <v>9</v>
      </c>
      <c r="H171" s="4">
        <v>26</v>
      </c>
      <c r="I171" s="4">
        <v>16</v>
      </c>
      <c r="J171" s="4">
        <v>13</v>
      </c>
      <c r="K171" s="4">
        <v>83</v>
      </c>
    </row>
    <row r="172" spans="1:11" ht="14.25" customHeight="1" x14ac:dyDescent="0.3">
      <c r="A172" s="4">
        <v>171</v>
      </c>
      <c r="B172" s="4" t="s">
        <v>189</v>
      </c>
      <c r="C172" s="4" t="s">
        <v>190</v>
      </c>
      <c r="D172" s="4" t="s">
        <v>628</v>
      </c>
      <c r="E172" s="4" t="s">
        <v>629</v>
      </c>
      <c r="F172" s="4" t="s">
        <v>630</v>
      </c>
      <c r="G172" s="4" t="s">
        <v>9</v>
      </c>
      <c r="H172" s="4">
        <v>28</v>
      </c>
      <c r="I172" s="4">
        <v>17</v>
      </c>
      <c r="J172" s="4">
        <v>14</v>
      </c>
      <c r="K172" s="4">
        <v>90</v>
      </c>
    </row>
    <row r="173" spans="1:11" ht="14.25" customHeight="1" x14ac:dyDescent="0.3">
      <c r="A173" s="4">
        <v>172</v>
      </c>
      <c r="B173" s="4" t="s">
        <v>189</v>
      </c>
      <c r="C173" s="4" t="s">
        <v>190</v>
      </c>
      <c r="D173" s="4" t="s">
        <v>631</v>
      </c>
      <c r="E173" s="4" t="s">
        <v>248</v>
      </c>
      <c r="F173" s="4" t="s">
        <v>632</v>
      </c>
      <c r="G173" s="4" t="s">
        <v>9</v>
      </c>
      <c r="H173" s="4">
        <v>30</v>
      </c>
      <c r="I173" s="4">
        <v>18</v>
      </c>
      <c r="J173" s="4">
        <v>15</v>
      </c>
      <c r="K173" s="4">
        <v>96</v>
      </c>
    </row>
    <row r="174" spans="1:11" ht="14.25" customHeight="1" x14ac:dyDescent="0.3">
      <c r="A174" s="4">
        <v>173</v>
      </c>
      <c r="B174" s="4" t="s">
        <v>189</v>
      </c>
      <c r="C174" s="4" t="s">
        <v>190</v>
      </c>
      <c r="D174" s="4" t="s">
        <v>633</v>
      </c>
      <c r="E174" s="4" t="s">
        <v>425</v>
      </c>
      <c r="F174" s="4" t="s">
        <v>634</v>
      </c>
      <c r="G174" s="4" t="s">
        <v>10</v>
      </c>
      <c r="H174" s="4">
        <v>34</v>
      </c>
      <c r="I174" s="4">
        <v>20</v>
      </c>
      <c r="J174" s="4">
        <v>17</v>
      </c>
      <c r="K174" s="4">
        <v>109</v>
      </c>
    </row>
    <row r="175" spans="1:11" ht="14.25" customHeight="1" x14ac:dyDescent="0.3">
      <c r="A175" s="4">
        <v>174</v>
      </c>
      <c r="B175" s="4" t="s">
        <v>189</v>
      </c>
      <c r="C175" s="4" t="s">
        <v>190</v>
      </c>
      <c r="D175" s="4" t="s">
        <v>635</v>
      </c>
      <c r="E175" s="4" t="s">
        <v>425</v>
      </c>
      <c r="F175" s="4" t="s">
        <v>636</v>
      </c>
      <c r="G175" s="4" t="s">
        <v>10</v>
      </c>
      <c r="H175" s="4">
        <v>36</v>
      </c>
      <c r="I175" s="4">
        <v>22</v>
      </c>
      <c r="J175" s="4">
        <v>18</v>
      </c>
      <c r="K175" s="4">
        <v>115</v>
      </c>
    </row>
    <row r="176" spans="1:11" ht="14.25" customHeight="1" x14ac:dyDescent="0.3">
      <c r="A176" s="4">
        <v>175</v>
      </c>
      <c r="B176" s="4" t="s">
        <v>189</v>
      </c>
      <c r="C176" s="4" t="s">
        <v>190</v>
      </c>
      <c r="D176" s="4" t="s">
        <v>637</v>
      </c>
      <c r="E176" s="4" t="s">
        <v>248</v>
      </c>
      <c r="F176" s="4" t="s">
        <v>638</v>
      </c>
      <c r="G176" s="4" t="s">
        <v>10</v>
      </c>
      <c r="H176" s="4">
        <v>38</v>
      </c>
      <c r="I176" s="4">
        <v>23</v>
      </c>
      <c r="J176" s="4">
        <v>19</v>
      </c>
      <c r="K176" s="4">
        <v>122</v>
      </c>
    </row>
    <row r="177" spans="1:11" ht="14.25" customHeight="1" x14ac:dyDescent="0.3">
      <c r="A177" s="4">
        <v>176</v>
      </c>
      <c r="B177" s="4" t="s">
        <v>189</v>
      </c>
      <c r="C177" s="4" t="s">
        <v>190</v>
      </c>
      <c r="D177" s="4" t="s">
        <v>639</v>
      </c>
      <c r="E177" s="4" t="s">
        <v>242</v>
      </c>
      <c r="F177" s="4" t="s">
        <v>640</v>
      </c>
      <c r="G177" s="4" t="s">
        <v>11</v>
      </c>
      <c r="H177" s="4">
        <v>54</v>
      </c>
      <c r="I177" s="4">
        <v>32</v>
      </c>
      <c r="J177" s="4">
        <v>27</v>
      </c>
      <c r="K177" s="4">
        <v>173</v>
      </c>
    </row>
    <row r="178" spans="1:11" ht="14.25" customHeight="1" x14ac:dyDescent="0.3">
      <c r="A178" s="4">
        <v>177</v>
      </c>
      <c r="B178" s="4" t="s">
        <v>189</v>
      </c>
      <c r="C178" s="4" t="s">
        <v>190</v>
      </c>
      <c r="D178" s="4" t="s">
        <v>641</v>
      </c>
      <c r="E178" s="4" t="s">
        <v>642</v>
      </c>
      <c r="F178" s="4" t="s">
        <v>643</v>
      </c>
      <c r="G178" s="4" t="s">
        <v>11</v>
      </c>
      <c r="H178" s="4">
        <v>48</v>
      </c>
      <c r="I178" s="4">
        <v>29</v>
      </c>
      <c r="J178" s="4">
        <v>24</v>
      </c>
      <c r="K178" s="4">
        <v>154</v>
      </c>
    </row>
    <row r="179" spans="1:11" ht="14.25" customHeight="1" x14ac:dyDescent="0.3">
      <c r="A179" s="4">
        <v>178</v>
      </c>
      <c r="B179" s="4" t="s">
        <v>189</v>
      </c>
      <c r="C179" s="4" t="s">
        <v>190</v>
      </c>
      <c r="D179" s="4" t="s">
        <v>644</v>
      </c>
      <c r="E179" s="4" t="s">
        <v>425</v>
      </c>
      <c r="F179" s="4" t="s">
        <v>645</v>
      </c>
      <c r="G179" s="4" t="s">
        <v>11</v>
      </c>
      <c r="H179" s="4">
        <v>50</v>
      </c>
      <c r="I179" s="4">
        <v>30</v>
      </c>
      <c r="J179" s="4">
        <v>25</v>
      </c>
      <c r="K179" s="4">
        <v>160</v>
      </c>
    </row>
    <row r="180" spans="1:11" ht="14.25" customHeight="1" x14ac:dyDescent="0.3">
      <c r="A180" s="4">
        <v>179</v>
      </c>
      <c r="B180" s="4" t="s">
        <v>189</v>
      </c>
      <c r="C180" s="4" t="s">
        <v>190</v>
      </c>
      <c r="D180" s="4" t="s">
        <v>646</v>
      </c>
      <c r="E180" s="4" t="s">
        <v>248</v>
      </c>
      <c r="F180" s="4" t="s">
        <v>647</v>
      </c>
      <c r="G180" s="4" t="s">
        <v>12</v>
      </c>
      <c r="H180" s="4">
        <v>69</v>
      </c>
      <c r="I180" s="4">
        <v>41</v>
      </c>
      <c r="J180" s="4">
        <v>34</v>
      </c>
      <c r="K180" s="4">
        <v>221</v>
      </c>
    </row>
    <row r="181" spans="1:11" ht="14.25" customHeight="1" x14ac:dyDescent="0.3">
      <c r="A181" s="4">
        <v>180</v>
      </c>
      <c r="B181" s="4" t="s">
        <v>189</v>
      </c>
      <c r="C181" s="4" t="s">
        <v>190</v>
      </c>
      <c r="D181" s="4" t="s">
        <v>648</v>
      </c>
      <c r="E181" s="4" t="s">
        <v>248</v>
      </c>
      <c r="F181" s="4" t="s">
        <v>649</v>
      </c>
      <c r="G181" s="4" t="s">
        <v>12</v>
      </c>
      <c r="H181" s="4">
        <v>71</v>
      </c>
      <c r="I181" s="4">
        <v>43</v>
      </c>
      <c r="J181" s="4">
        <v>36</v>
      </c>
      <c r="K181" s="4">
        <v>227</v>
      </c>
    </row>
    <row r="182" spans="1:11" ht="14.25" customHeight="1" x14ac:dyDescent="0.3">
      <c r="A182" s="4">
        <v>181</v>
      </c>
      <c r="B182" s="4" t="s">
        <v>193</v>
      </c>
      <c r="C182" s="4" t="s">
        <v>194</v>
      </c>
      <c r="D182" s="4" t="s">
        <v>650</v>
      </c>
      <c r="E182" s="4" t="s">
        <v>251</v>
      </c>
      <c r="F182" s="4" t="s">
        <v>651</v>
      </c>
      <c r="G182" s="4" t="s">
        <v>7</v>
      </c>
      <c r="H182" s="4">
        <v>10</v>
      </c>
      <c r="I182" s="4">
        <v>6</v>
      </c>
      <c r="J182" s="4">
        <v>5</v>
      </c>
      <c r="K182" s="4">
        <v>32</v>
      </c>
    </row>
    <row r="183" spans="1:11" ht="14.25" customHeight="1" x14ac:dyDescent="0.3">
      <c r="A183" s="4">
        <v>182</v>
      </c>
      <c r="B183" s="4" t="s">
        <v>193</v>
      </c>
      <c r="C183" s="4" t="s">
        <v>194</v>
      </c>
      <c r="D183" s="4" t="s">
        <v>652</v>
      </c>
      <c r="E183" s="4" t="s">
        <v>629</v>
      </c>
      <c r="F183" s="4" t="s">
        <v>653</v>
      </c>
      <c r="G183" s="4" t="s">
        <v>7</v>
      </c>
      <c r="H183" s="4">
        <v>12</v>
      </c>
      <c r="I183" s="4">
        <v>7</v>
      </c>
      <c r="J183" s="4">
        <v>6</v>
      </c>
      <c r="K183" s="4">
        <v>38</v>
      </c>
    </row>
    <row r="184" spans="1:11" ht="14.25" customHeight="1" x14ac:dyDescent="0.3">
      <c r="A184" s="4">
        <v>183</v>
      </c>
      <c r="B184" s="4" t="s">
        <v>193</v>
      </c>
      <c r="C184" s="4" t="s">
        <v>194</v>
      </c>
      <c r="D184" s="4" t="s">
        <v>654</v>
      </c>
      <c r="E184" s="4" t="s">
        <v>233</v>
      </c>
      <c r="F184" s="4" t="s">
        <v>655</v>
      </c>
      <c r="G184" s="4" t="s">
        <v>7</v>
      </c>
      <c r="H184" s="4">
        <v>14</v>
      </c>
      <c r="I184" s="4">
        <v>8</v>
      </c>
      <c r="J184" s="4">
        <v>7</v>
      </c>
      <c r="K184" s="4">
        <v>45</v>
      </c>
    </row>
    <row r="185" spans="1:11" ht="14.25" customHeight="1" x14ac:dyDescent="0.3">
      <c r="A185" s="4">
        <v>184</v>
      </c>
      <c r="B185" s="4" t="s">
        <v>193</v>
      </c>
      <c r="C185" s="4" t="s">
        <v>194</v>
      </c>
      <c r="D185" s="4" t="s">
        <v>656</v>
      </c>
      <c r="E185" s="4" t="s">
        <v>377</v>
      </c>
      <c r="F185" s="4" t="s">
        <v>657</v>
      </c>
      <c r="G185" s="4" t="s">
        <v>7</v>
      </c>
      <c r="H185" s="4">
        <v>16</v>
      </c>
      <c r="I185" s="4">
        <v>10</v>
      </c>
      <c r="J185" s="4">
        <v>8</v>
      </c>
      <c r="K185" s="4">
        <v>51</v>
      </c>
    </row>
    <row r="186" spans="1:11" ht="14.25" customHeight="1" x14ac:dyDescent="0.3">
      <c r="A186" s="4">
        <v>185</v>
      </c>
      <c r="B186" s="4" t="s">
        <v>193</v>
      </c>
      <c r="C186" s="4" t="s">
        <v>194</v>
      </c>
      <c r="D186" s="4" t="s">
        <v>658</v>
      </c>
      <c r="E186" s="4" t="s">
        <v>283</v>
      </c>
      <c r="F186" s="4" t="s">
        <v>659</v>
      </c>
      <c r="G186" s="4" t="s">
        <v>8</v>
      </c>
      <c r="H186" s="4">
        <v>16</v>
      </c>
      <c r="I186" s="4">
        <v>10</v>
      </c>
      <c r="J186" s="4">
        <v>8</v>
      </c>
      <c r="K186" s="4">
        <v>51</v>
      </c>
    </row>
    <row r="187" spans="1:11" ht="14.25" customHeight="1" x14ac:dyDescent="0.3">
      <c r="A187" s="4">
        <v>186</v>
      </c>
      <c r="B187" s="4" t="s">
        <v>193</v>
      </c>
      <c r="C187" s="4" t="s">
        <v>194</v>
      </c>
      <c r="D187" s="4" t="s">
        <v>660</v>
      </c>
      <c r="E187" s="4" t="s">
        <v>661</v>
      </c>
      <c r="F187" s="4" t="s">
        <v>662</v>
      </c>
      <c r="G187" s="4" t="s">
        <v>8</v>
      </c>
      <c r="H187" s="4">
        <v>18</v>
      </c>
      <c r="I187" s="4">
        <v>11</v>
      </c>
      <c r="J187" s="4">
        <v>9</v>
      </c>
      <c r="K187" s="4">
        <v>58</v>
      </c>
    </row>
    <row r="188" spans="1:11" ht="14.25" customHeight="1" x14ac:dyDescent="0.3">
      <c r="A188" s="4">
        <v>187</v>
      </c>
      <c r="B188" s="4" t="s">
        <v>193</v>
      </c>
      <c r="C188" s="4" t="s">
        <v>194</v>
      </c>
      <c r="D188" s="4" t="s">
        <v>663</v>
      </c>
      <c r="E188" s="4" t="s">
        <v>664</v>
      </c>
      <c r="F188" s="4" t="s">
        <v>665</v>
      </c>
      <c r="G188" s="4" t="s">
        <v>8</v>
      </c>
      <c r="H188" s="4">
        <v>20</v>
      </c>
      <c r="I188" s="4">
        <v>12</v>
      </c>
      <c r="J188" s="4">
        <v>10</v>
      </c>
      <c r="K188" s="4">
        <v>64</v>
      </c>
    </row>
    <row r="189" spans="1:11" ht="14.25" customHeight="1" x14ac:dyDescent="0.3">
      <c r="A189" s="4">
        <v>188</v>
      </c>
      <c r="B189" s="4" t="s">
        <v>193</v>
      </c>
      <c r="C189" s="4" t="s">
        <v>194</v>
      </c>
      <c r="D189" s="4" t="s">
        <v>666</v>
      </c>
      <c r="E189" s="4" t="s">
        <v>459</v>
      </c>
      <c r="F189" s="4" t="s">
        <v>667</v>
      </c>
      <c r="G189" s="4" t="s">
        <v>8</v>
      </c>
      <c r="H189" s="4">
        <v>22</v>
      </c>
      <c r="I189" s="4">
        <v>13</v>
      </c>
      <c r="J189" s="4">
        <v>11</v>
      </c>
      <c r="K189" s="4">
        <v>70</v>
      </c>
    </row>
    <row r="190" spans="1:11" ht="26.25" customHeight="1" x14ac:dyDescent="0.3">
      <c r="A190" s="4">
        <v>189</v>
      </c>
      <c r="B190" s="4" t="s">
        <v>193</v>
      </c>
      <c r="C190" s="4" t="s">
        <v>194</v>
      </c>
      <c r="D190" s="4" t="s">
        <v>668</v>
      </c>
      <c r="E190" s="4" t="s">
        <v>254</v>
      </c>
      <c r="F190" s="4" t="s">
        <v>669</v>
      </c>
      <c r="G190" s="4" t="s">
        <v>9</v>
      </c>
      <c r="H190" s="4">
        <v>24</v>
      </c>
      <c r="I190" s="4">
        <v>14</v>
      </c>
      <c r="J190" s="4">
        <v>12</v>
      </c>
      <c r="K190" s="4">
        <v>77</v>
      </c>
    </row>
    <row r="191" spans="1:11" ht="14.25" customHeight="1" x14ac:dyDescent="0.3">
      <c r="A191" s="4">
        <v>190</v>
      </c>
      <c r="B191" s="4" t="s">
        <v>193</v>
      </c>
      <c r="C191" s="4" t="s">
        <v>194</v>
      </c>
      <c r="D191" s="4" t="s">
        <v>670</v>
      </c>
      <c r="E191" s="4" t="s">
        <v>664</v>
      </c>
      <c r="F191" s="4" t="s">
        <v>671</v>
      </c>
      <c r="G191" s="4" t="s">
        <v>9</v>
      </c>
      <c r="H191" s="4">
        <v>26</v>
      </c>
      <c r="I191" s="4">
        <v>16</v>
      </c>
      <c r="J191" s="4">
        <v>13</v>
      </c>
      <c r="K191" s="4">
        <v>83</v>
      </c>
    </row>
    <row r="192" spans="1:11" ht="14.25" customHeight="1" x14ac:dyDescent="0.3">
      <c r="A192" s="4">
        <v>191</v>
      </c>
      <c r="B192" s="4" t="s">
        <v>193</v>
      </c>
      <c r="C192" s="4" t="s">
        <v>194</v>
      </c>
      <c r="D192" s="4" t="s">
        <v>672</v>
      </c>
      <c r="E192" s="4" t="s">
        <v>673</v>
      </c>
      <c r="F192" s="4" t="s">
        <v>674</v>
      </c>
      <c r="G192" s="4" t="s">
        <v>9</v>
      </c>
      <c r="H192" s="4">
        <v>28</v>
      </c>
      <c r="I192" s="4">
        <v>17</v>
      </c>
      <c r="J192" s="4">
        <v>14</v>
      </c>
      <c r="K192" s="4">
        <v>90</v>
      </c>
    </row>
    <row r="193" spans="1:11" ht="14.25" customHeight="1" x14ac:dyDescent="0.3">
      <c r="A193" s="4">
        <v>192</v>
      </c>
      <c r="B193" s="4" t="s">
        <v>193</v>
      </c>
      <c r="C193" s="4" t="s">
        <v>194</v>
      </c>
      <c r="D193" s="4" t="s">
        <v>675</v>
      </c>
      <c r="E193" s="4" t="s">
        <v>676</v>
      </c>
      <c r="F193" s="4" t="s">
        <v>677</v>
      </c>
      <c r="G193" s="4" t="s">
        <v>9</v>
      </c>
      <c r="H193" s="4">
        <v>30</v>
      </c>
      <c r="I193" s="4">
        <v>18</v>
      </c>
      <c r="J193" s="4">
        <v>15</v>
      </c>
      <c r="K193" s="4">
        <v>96</v>
      </c>
    </row>
    <row r="194" spans="1:11" ht="14.25" customHeight="1" x14ac:dyDescent="0.3">
      <c r="A194" s="4">
        <v>193</v>
      </c>
      <c r="B194" s="4" t="s">
        <v>193</v>
      </c>
      <c r="C194" s="4" t="s">
        <v>194</v>
      </c>
      <c r="D194" s="4" t="s">
        <v>678</v>
      </c>
      <c r="E194" s="4" t="s">
        <v>425</v>
      </c>
      <c r="F194" s="4" t="s">
        <v>679</v>
      </c>
      <c r="G194" s="4" t="s">
        <v>10</v>
      </c>
      <c r="H194" s="4">
        <v>34</v>
      </c>
      <c r="I194" s="4">
        <v>20</v>
      </c>
      <c r="J194" s="4">
        <v>17</v>
      </c>
      <c r="K194" s="4">
        <v>109</v>
      </c>
    </row>
    <row r="195" spans="1:11" ht="14.25" customHeight="1" x14ac:dyDescent="0.3">
      <c r="A195" s="4">
        <v>194</v>
      </c>
      <c r="B195" s="4" t="s">
        <v>193</v>
      </c>
      <c r="C195" s="4" t="s">
        <v>194</v>
      </c>
      <c r="D195" s="4" t="s">
        <v>680</v>
      </c>
      <c r="E195" s="4" t="s">
        <v>425</v>
      </c>
      <c r="F195" s="4" t="s">
        <v>681</v>
      </c>
      <c r="G195" s="4" t="s">
        <v>10</v>
      </c>
      <c r="H195" s="4">
        <v>36</v>
      </c>
      <c r="I195" s="4">
        <v>22</v>
      </c>
      <c r="J195" s="4">
        <v>18</v>
      </c>
      <c r="K195" s="4">
        <v>115</v>
      </c>
    </row>
    <row r="196" spans="1:11" ht="14.25" customHeight="1" x14ac:dyDescent="0.3">
      <c r="A196" s="4">
        <v>195</v>
      </c>
      <c r="B196" s="4" t="s">
        <v>193</v>
      </c>
      <c r="C196" s="4" t="s">
        <v>194</v>
      </c>
      <c r="D196" s="4" t="s">
        <v>682</v>
      </c>
      <c r="E196" s="4" t="s">
        <v>661</v>
      </c>
      <c r="F196" s="4" t="s">
        <v>683</v>
      </c>
      <c r="G196" s="4" t="s">
        <v>10</v>
      </c>
      <c r="H196" s="4">
        <v>38</v>
      </c>
      <c r="I196" s="4">
        <v>23</v>
      </c>
      <c r="J196" s="4">
        <v>19</v>
      </c>
      <c r="K196" s="4">
        <v>122</v>
      </c>
    </row>
    <row r="197" spans="1:11" ht="14.25" customHeight="1" x14ac:dyDescent="0.3">
      <c r="A197" s="4">
        <v>196</v>
      </c>
      <c r="B197" s="4" t="s">
        <v>193</v>
      </c>
      <c r="C197" s="4" t="s">
        <v>194</v>
      </c>
      <c r="D197" s="4" t="s">
        <v>684</v>
      </c>
      <c r="E197" s="4" t="s">
        <v>425</v>
      </c>
      <c r="F197" s="4" t="s">
        <v>685</v>
      </c>
      <c r="G197" s="4" t="s">
        <v>11</v>
      </c>
      <c r="H197" s="4">
        <v>54</v>
      </c>
      <c r="I197" s="4">
        <v>32</v>
      </c>
      <c r="J197" s="4">
        <v>27</v>
      </c>
      <c r="K197" s="4">
        <v>173</v>
      </c>
    </row>
    <row r="198" spans="1:11" ht="14.25" customHeight="1" x14ac:dyDescent="0.3">
      <c r="A198" s="4">
        <v>197</v>
      </c>
      <c r="B198" s="4" t="s">
        <v>193</v>
      </c>
      <c r="C198" s="4" t="s">
        <v>194</v>
      </c>
      <c r="D198" s="4" t="s">
        <v>686</v>
      </c>
      <c r="E198" s="4" t="s">
        <v>687</v>
      </c>
      <c r="F198" s="4" t="s">
        <v>688</v>
      </c>
      <c r="G198" s="4" t="s">
        <v>11</v>
      </c>
      <c r="H198" s="4">
        <v>48</v>
      </c>
      <c r="I198" s="4">
        <v>29</v>
      </c>
      <c r="J198" s="4">
        <v>24</v>
      </c>
      <c r="K198" s="4">
        <v>154</v>
      </c>
    </row>
    <row r="199" spans="1:11" ht="14.25" customHeight="1" x14ac:dyDescent="0.3">
      <c r="A199" s="4">
        <v>198</v>
      </c>
      <c r="B199" s="4" t="s">
        <v>193</v>
      </c>
      <c r="C199" s="4" t="s">
        <v>194</v>
      </c>
      <c r="D199" s="4" t="s">
        <v>689</v>
      </c>
      <c r="E199" s="4" t="s">
        <v>690</v>
      </c>
      <c r="F199" s="4" t="s">
        <v>691</v>
      </c>
      <c r="G199" s="4" t="s">
        <v>11</v>
      </c>
      <c r="H199" s="4">
        <v>50</v>
      </c>
      <c r="I199" s="4">
        <v>30</v>
      </c>
      <c r="J199" s="4">
        <v>25</v>
      </c>
      <c r="K199" s="4">
        <v>160</v>
      </c>
    </row>
    <row r="200" spans="1:11" ht="14.25" customHeight="1" x14ac:dyDescent="0.3">
      <c r="A200" s="4">
        <v>199</v>
      </c>
      <c r="B200" s="4" t="s">
        <v>193</v>
      </c>
      <c r="C200" s="4" t="s">
        <v>194</v>
      </c>
      <c r="D200" s="4" t="s">
        <v>692</v>
      </c>
      <c r="E200" s="4" t="s">
        <v>693</v>
      </c>
      <c r="F200" s="4" t="s">
        <v>694</v>
      </c>
      <c r="G200" s="4" t="s">
        <v>12</v>
      </c>
      <c r="H200" s="4">
        <v>69</v>
      </c>
      <c r="I200" s="4">
        <v>41</v>
      </c>
      <c r="J200" s="4">
        <v>34</v>
      </c>
      <c r="K200" s="4">
        <v>221</v>
      </c>
    </row>
    <row r="201" spans="1:11" ht="14.25" customHeight="1" x14ac:dyDescent="0.3">
      <c r="A201" s="4">
        <v>200</v>
      </c>
      <c r="B201" s="4" t="s">
        <v>193</v>
      </c>
      <c r="C201" s="4" t="s">
        <v>194</v>
      </c>
      <c r="D201" s="4" t="s">
        <v>695</v>
      </c>
      <c r="E201" s="4" t="s">
        <v>425</v>
      </c>
      <c r="F201" s="4" t="s">
        <v>696</v>
      </c>
      <c r="G201" s="4" t="s">
        <v>12</v>
      </c>
      <c r="H201" s="4">
        <v>71</v>
      </c>
      <c r="I201" s="4">
        <v>43</v>
      </c>
      <c r="J201" s="4">
        <v>36</v>
      </c>
      <c r="K201" s="4">
        <v>227</v>
      </c>
    </row>
    <row r="202" spans="1:11" ht="14.25" customHeight="1" x14ac:dyDescent="0.3">
      <c r="A202" s="4">
        <v>201</v>
      </c>
      <c r="B202" s="4" t="s">
        <v>197</v>
      </c>
      <c r="C202" s="4" t="s">
        <v>198</v>
      </c>
      <c r="D202" s="4" t="s">
        <v>697</v>
      </c>
      <c r="E202" s="4" t="s">
        <v>698</v>
      </c>
      <c r="F202" s="4" t="s">
        <v>699</v>
      </c>
      <c r="G202" s="4" t="s">
        <v>7</v>
      </c>
      <c r="H202" s="4">
        <v>10</v>
      </c>
      <c r="I202" s="4">
        <v>6</v>
      </c>
      <c r="J202" s="4">
        <v>5</v>
      </c>
      <c r="K202" s="4">
        <v>32</v>
      </c>
    </row>
    <row r="203" spans="1:11" ht="14.25" customHeight="1" x14ac:dyDescent="0.3">
      <c r="A203" s="4">
        <v>202</v>
      </c>
      <c r="B203" s="4" t="s">
        <v>197</v>
      </c>
      <c r="C203" s="4" t="s">
        <v>198</v>
      </c>
      <c r="D203" s="4" t="s">
        <v>700</v>
      </c>
      <c r="E203" s="4" t="s">
        <v>537</v>
      </c>
      <c r="F203" s="4" t="s">
        <v>701</v>
      </c>
      <c r="G203" s="4" t="s">
        <v>7</v>
      </c>
      <c r="H203" s="4">
        <v>12</v>
      </c>
      <c r="I203" s="4">
        <v>7</v>
      </c>
      <c r="J203" s="4">
        <v>6</v>
      </c>
      <c r="K203" s="4">
        <v>38</v>
      </c>
    </row>
    <row r="204" spans="1:11" ht="14.25" customHeight="1" x14ac:dyDescent="0.3">
      <c r="A204" s="4">
        <v>203</v>
      </c>
      <c r="B204" s="4" t="s">
        <v>197</v>
      </c>
      <c r="C204" s="4" t="s">
        <v>198</v>
      </c>
      <c r="D204" s="4" t="s">
        <v>702</v>
      </c>
      <c r="E204" s="4" t="s">
        <v>273</v>
      </c>
      <c r="F204" s="4" t="s">
        <v>703</v>
      </c>
      <c r="G204" s="4" t="s">
        <v>7</v>
      </c>
      <c r="H204" s="4">
        <v>14</v>
      </c>
      <c r="I204" s="4">
        <v>8</v>
      </c>
      <c r="J204" s="4">
        <v>7</v>
      </c>
      <c r="K204" s="4">
        <v>45</v>
      </c>
    </row>
    <row r="205" spans="1:11" ht="14.25" customHeight="1" x14ac:dyDescent="0.3">
      <c r="A205" s="4">
        <v>204</v>
      </c>
      <c r="B205" s="4" t="s">
        <v>197</v>
      </c>
      <c r="C205" s="4" t="s">
        <v>198</v>
      </c>
      <c r="D205" s="4" t="s">
        <v>704</v>
      </c>
      <c r="E205" s="4" t="s">
        <v>705</v>
      </c>
      <c r="F205" s="4" t="s">
        <v>706</v>
      </c>
      <c r="G205" s="4" t="s">
        <v>7</v>
      </c>
      <c r="H205" s="4">
        <v>16</v>
      </c>
      <c r="I205" s="4">
        <v>10</v>
      </c>
      <c r="J205" s="4">
        <v>8</v>
      </c>
      <c r="K205" s="4">
        <v>51</v>
      </c>
    </row>
    <row r="206" spans="1:11" ht="26.25" customHeight="1" x14ac:dyDescent="0.3">
      <c r="A206" s="4">
        <v>205</v>
      </c>
      <c r="B206" s="4" t="s">
        <v>197</v>
      </c>
      <c r="C206" s="4" t="s">
        <v>198</v>
      </c>
      <c r="D206" s="4" t="s">
        <v>707</v>
      </c>
      <c r="E206" s="4" t="s">
        <v>612</v>
      </c>
      <c r="F206" s="4" t="s">
        <v>708</v>
      </c>
      <c r="G206" s="4" t="s">
        <v>8</v>
      </c>
      <c r="H206" s="4">
        <v>16</v>
      </c>
      <c r="I206" s="4">
        <v>10</v>
      </c>
      <c r="J206" s="4">
        <v>8</v>
      </c>
      <c r="K206" s="4">
        <v>51</v>
      </c>
    </row>
    <row r="207" spans="1:11" ht="14.25" customHeight="1" x14ac:dyDescent="0.3">
      <c r="A207" s="4">
        <v>206</v>
      </c>
      <c r="B207" s="4" t="s">
        <v>197</v>
      </c>
      <c r="C207" s="4" t="s">
        <v>198</v>
      </c>
      <c r="D207" s="4" t="s">
        <v>709</v>
      </c>
      <c r="E207" s="4" t="s">
        <v>576</v>
      </c>
      <c r="F207" s="4" t="s">
        <v>710</v>
      </c>
      <c r="G207" s="4" t="s">
        <v>8</v>
      </c>
      <c r="H207" s="4">
        <v>18</v>
      </c>
      <c r="I207" s="4">
        <v>11</v>
      </c>
      <c r="J207" s="4">
        <v>9</v>
      </c>
      <c r="K207" s="4">
        <v>58</v>
      </c>
    </row>
    <row r="208" spans="1:11" ht="14.25" customHeight="1" x14ac:dyDescent="0.3">
      <c r="A208" s="4">
        <v>207</v>
      </c>
      <c r="B208" s="4" t="s">
        <v>197</v>
      </c>
      <c r="C208" s="4" t="s">
        <v>198</v>
      </c>
      <c r="D208" s="4" t="s">
        <v>711</v>
      </c>
      <c r="E208" s="4" t="s">
        <v>664</v>
      </c>
      <c r="F208" s="4" t="s">
        <v>712</v>
      </c>
      <c r="G208" s="4" t="s">
        <v>8</v>
      </c>
      <c r="H208" s="4">
        <v>20</v>
      </c>
      <c r="I208" s="4">
        <v>12</v>
      </c>
      <c r="J208" s="4">
        <v>10</v>
      </c>
      <c r="K208" s="4">
        <v>64</v>
      </c>
    </row>
    <row r="209" spans="1:11" ht="14.25" customHeight="1" x14ac:dyDescent="0.3">
      <c r="A209" s="4">
        <v>208</v>
      </c>
      <c r="B209" s="4" t="s">
        <v>197</v>
      </c>
      <c r="C209" s="4" t="s">
        <v>198</v>
      </c>
      <c r="D209" s="4" t="s">
        <v>713</v>
      </c>
      <c r="E209" s="4" t="s">
        <v>425</v>
      </c>
      <c r="F209" s="4" t="s">
        <v>714</v>
      </c>
      <c r="G209" s="4" t="s">
        <v>8</v>
      </c>
      <c r="H209" s="4">
        <v>22</v>
      </c>
      <c r="I209" s="4">
        <v>13</v>
      </c>
      <c r="J209" s="4">
        <v>11</v>
      </c>
      <c r="K209" s="4">
        <v>70</v>
      </c>
    </row>
    <row r="210" spans="1:11" ht="14.25" customHeight="1" x14ac:dyDescent="0.3">
      <c r="A210" s="4">
        <v>209</v>
      </c>
      <c r="B210" s="4" t="s">
        <v>197</v>
      </c>
      <c r="C210" s="4" t="s">
        <v>198</v>
      </c>
      <c r="D210" s="4" t="s">
        <v>715</v>
      </c>
      <c r="E210" s="4" t="s">
        <v>425</v>
      </c>
      <c r="F210" s="4" t="s">
        <v>716</v>
      </c>
      <c r="G210" s="4" t="s">
        <v>9</v>
      </c>
      <c r="H210" s="4">
        <v>24</v>
      </c>
      <c r="I210" s="4">
        <v>14</v>
      </c>
      <c r="J210" s="4">
        <v>12</v>
      </c>
      <c r="K210" s="4">
        <v>77</v>
      </c>
    </row>
    <row r="211" spans="1:11" ht="14.25" customHeight="1" x14ac:dyDescent="0.3">
      <c r="A211" s="4">
        <v>210</v>
      </c>
      <c r="B211" s="4" t="s">
        <v>197</v>
      </c>
      <c r="C211" s="4" t="s">
        <v>198</v>
      </c>
      <c r="D211" s="4" t="s">
        <v>717</v>
      </c>
      <c r="E211" s="4" t="s">
        <v>425</v>
      </c>
      <c r="F211" s="4" t="s">
        <v>718</v>
      </c>
      <c r="G211" s="4" t="s">
        <v>9</v>
      </c>
      <c r="H211" s="4">
        <v>26</v>
      </c>
      <c r="I211" s="4">
        <v>16</v>
      </c>
      <c r="J211" s="4">
        <v>13</v>
      </c>
      <c r="K211" s="4">
        <v>83</v>
      </c>
    </row>
    <row r="212" spans="1:11" ht="14.25" customHeight="1" x14ac:dyDescent="0.3">
      <c r="A212" s="4">
        <v>211</v>
      </c>
      <c r="B212" s="4" t="s">
        <v>197</v>
      </c>
      <c r="C212" s="4" t="s">
        <v>198</v>
      </c>
      <c r="D212" s="4" t="s">
        <v>719</v>
      </c>
      <c r="E212" s="4" t="s">
        <v>425</v>
      </c>
      <c r="F212" s="4" t="s">
        <v>720</v>
      </c>
      <c r="G212" s="4" t="s">
        <v>9</v>
      </c>
      <c r="H212" s="4">
        <v>28</v>
      </c>
      <c r="I212" s="4">
        <v>17</v>
      </c>
      <c r="J212" s="4">
        <v>14</v>
      </c>
      <c r="K212" s="4">
        <v>90</v>
      </c>
    </row>
    <row r="213" spans="1:11" ht="14.25" customHeight="1" x14ac:dyDescent="0.3">
      <c r="A213" s="4">
        <v>212</v>
      </c>
      <c r="B213" s="4" t="s">
        <v>197</v>
      </c>
      <c r="C213" s="4" t="s">
        <v>198</v>
      </c>
      <c r="D213" s="4" t="s">
        <v>721</v>
      </c>
      <c r="E213" s="4" t="s">
        <v>425</v>
      </c>
      <c r="F213" s="4" t="s">
        <v>722</v>
      </c>
      <c r="G213" s="4" t="s">
        <v>9</v>
      </c>
      <c r="H213" s="4">
        <v>30</v>
      </c>
      <c r="I213" s="4">
        <v>18</v>
      </c>
      <c r="J213" s="4">
        <v>15</v>
      </c>
      <c r="K213" s="4">
        <v>96</v>
      </c>
    </row>
    <row r="214" spans="1:11" ht="26.25" customHeight="1" x14ac:dyDescent="0.3">
      <c r="A214" s="4">
        <v>213</v>
      </c>
      <c r="B214" s="4" t="s">
        <v>197</v>
      </c>
      <c r="C214" s="4" t="s">
        <v>198</v>
      </c>
      <c r="D214" s="4" t="s">
        <v>723</v>
      </c>
      <c r="E214" s="4" t="s">
        <v>425</v>
      </c>
      <c r="F214" s="4" t="s">
        <v>724</v>
      </c>
      <c r="G214" s="4" t="s">
        <v>10</v>
      </c>
      <c r="H214" s="4">
        <v>34</v>
      </c>
      <c r="I214" s="4">
        <v>20</v>
      </c>
      <c r="J214" s="4">
        <v>17</v>
      </c>
      <c r="K214" s="4">
        <v>109</v>
      </c>
    </row>
    <row r="215" spans="1:11" ht="14.25" customHeight="1" x14ac:dyDescent="0.3">
      <c r="A215" s="4">
        <v>214</v>
      </c>
      <c r="B215" s="4" t="s">
        <v>197</v>
      </c>
      <c r="C215" s="4" t="s">
        <v>198</v>
      </c>
      <c r="D215" s="4" t="s">
        <v>725</v>
      </c>
      <c r="E215" s="4" t="s">
        <v>345</v>
      </c>
      <c r="F215" s="4" t="s">
        <v>726</v>
      </c>
      <c r="G215" s="4" t="s">
        <v>10</v>
      </c>
      <c r="H215" s="4">
        <v>36</v>
      </c>
      <c r="I215" s="4">
        <v>22</v>
      </c>
      <c r="J215" s="4">
        <v>18</v>
      </c>
      <c r="K215" s="4">
        <v>115</v>
      </c>
    </row>
    <row r="216" spans="1:11" ht="14.25" customHeight="1" x14ac:dyDescent="0.3">
      <c r="A216" s="4">
        <v>215</v>
      </c>
      <c r="B216" s="4" t="s">
        <v>197</v>
      </c>
      <c r="C216" s="4" t="s">
        <v>198</v>
      </c>
      <c r="D216" s="4" t="s">
        <v>727</v>
      </c>
      <c r="E216" s="4" t="s">
        <v>425</v>
      </c>
      <c r="F216" s="4" t="s">
        <v>728</v>
      </c>
      <c r="G216" s="4" t="s">
        <v>10</v>
      </c>
      <c r="H216" s="4">
        <v>38</v>
      </c>
      <c r="I216" s="4">
        <v>23</v>
      </c>
      <c r="J216" s="4">
        <v>19</v>
      </c>
      <c r="K216" s="4">
        <v>122</v>
      </c>
    </row>
    <row r="217" spans="1:11" ht="14.25" customHeight="1" x14ac:dyDescent="0.3">
      <c r="A217" s="4">
        <v>216</v>
      </c>
      <c r="B217" s="4" t="s">
        <v>197</v>
      </c>
      <c r="C217" s="4" t="s">
        <v>198</v>
      </c>
      <c r="D217" s="4" t="s">
        <v>729</v>
      </c>
      <c r="E217" s="4" t="s">
        <v>576</v>
      </c>
      <c r="F217" s="4" t="s">
        <v>730</v>
      </c>
      <c r="G217" s="4" t="s">
        <v>11</v>
      </c>
      <c r="H217" s="4">
        <v>54</v>
      </c>
      <c r="I217" s="4">
        <v>32</v>
      </c>
      <c r="J217" s="4">
        <v>27</v>
      </c>
      <c r="K217" s="4">
        <v>173</v>
      </c>
    </row>
    <row r="218" spans="1:11" ht="14.25" customHeight="1" x14ac:dyDescent="0.3">
      <c r="A218" s="4">
        <v>217</v>
      </c>
      <c r="B218" s="4" t="s">
        <v>197</v>
      </c>
      <c r="C218" s="4" t="s">
        <v>198</v>
      </c>
      <c r="D218" s="4" t="s">
        <v>731</v>
      </c>
      <c r="E218" s="4" t="s">
        <v>732</v>
      </c>
      <c r="F218" s="4" t="s">
        <v>733</v>
      </c>
      <c r="G218" s="4" t="s">
        <v>11</v>
      </c>
      <c r="H218" s="4">
        <v>48</v>
      </c>
      <c r="I218" s="4">
        <v>29</v>
      </c>
      <c r="J218" s="4">
        <v>24</v>
      </c>
      <c r="K218" s="4">
        <v>154</v>
      </c>
    </row>
    <row r="219" spans="1:11" ht="14.25" customHeight="1" x14ac:dyDescent="0.3">
      <c r="A219" s="4">
        <v>218</v>
      </c>
      <c r="B219" s="4" t="s">
        <v>197</v>
      </c>
      <c r="C219" s="4" t="s">
        <v>198</v>
      </c>
      <c r="D219" s="4" t="s">
        <v>734</v>
      </c>
      <c r="E219" s="4" t="s">
        <v>537</v>
      </c>
      <c r="F219" s="4" t="s">
        <v>735</v>
      </c>
      <c r="G219" s="4" t="s">
        <v>11</v>
      </c>
      <c r="H219" s="4">
        <v>50</v>
      </c>
      <c r="I219" s="4">
        <v>30</v>
      </c>
      <c r="J219" s="4">
        <v>25</v>
      </c>
      <c r="K219" s="4">
        <v>160</v>
      </c>
    </row>
    <row r="220" spans="1:11" ht="14.25" customHeight="1" x14ac:dyDescent="0.3">
      <c r="A220" s="4">
        <v>219</v>
      </c>
      <c r="B220" s="4" t="s">
        <v>197</v>
      </c>
      <c r="C220" s="4" t="s">
        <v>198</v>
      </c>
      <c r="D220" s="4" t="s">
        <v>736</v>
      </c>
      <c r="E220" s="4" t="s">
        <v>425</v>
      </c>
      <c r="F220" s="4" t="s">
        <v>737</v>
      </c>
      <c r="G220" s="4" t="s">
        <v>12</v>
      </c>
      <c r="H220" s="4">
        <v>69</v>
      </c>
      <c r="I220" s="4">
        <v>41</v>
      </c>
      <c r="J220" s="4">
        <v>34</v>
      </c>
      <c r="K220" s="4">
        <v>221</v>
      </c>
    </row>
    <row r="221" spans="1:11" ht="14.25" customHeight="1" x14ac:dyDescent="0.3">
      <c r="A221" s="4">
        <v>220</v>
      </c>
      <c r="B221" s="4" t="s">
        <v>197</v>
      </c>
      <c r="C221" s="4" t="s">
        <v>198</v>
      </c>
      <c r="D221" s="4" t="s">
        <v>738</v>
      </c>
      <c r="E221" s="4" t="s">
        <v>425</v>
      </c>
      <c r="F221" s="4" t="s">
        <v>739</v>
      </c>
      <c r="G221" s="4" t="s">
        <v>12</v>
      </c>
      <c r="H221" s="4">
        <v>71</v>
      </c>
      <c r="I221" s="4">
        <v>43</v>
      </c>
      <c r="J221" s="4">
        <v>36</v>
      </c>
      <c r="K221" s="4">
        <v>227</v>
      </c>
    </row>
    <row r="222" spans="1:11" ht="14.25" customHeight="1" x14ac:dyDescent="0.3">
      <c r="A222" s="4">
        <v>221</v>
      </c>
      <c r="B222" s="4" t="s">
        <v>201</v>
      </c>
      <c r="C222" s="4" t="s">
        <v>202</v>
      </c>
      <c r="D222" s="4" t="s">
        <v>740</v>
      </c>
      <c r="E222" s="4" t="s">
        <v>368</v>
      </c>
      <c r="F222" s="4" t="s">
        <v>741</v>
      </c>
      <c r="G222" s="4" t="s">
        <v>7</v>
      </c>
      <c r="H222" s="4">
        <v>10</v>
      </c>
      <c r="I222" s="4">
        <v>6</v>
      </c>
      <c r="J222" s="4">
        <v>5</v>
      </c>
      <c r="K222" s="4">
        <v>32</v>
      </c>
    </row>
    <row r="223" spans="1:11" ht="14.25" customHeight="1" x14ac:dyDescent="0.3">
      <c r="A223" s="4">
        <v>222</v>
      </c>
      <c r="B223" s="4" t="s">
        <v>201</v>
      </c>
      <c r="C223" s="4" t="s">
        <v>202</v>
      </c>
      <c r="D223" s="4" t="s">
        <v>742</v>
      </c>
      <c r="E223" s="4" t="s">
        <v>425</v>
      </c>
      <c r="F223" s="4" t="s">
        <v>743</v>
      </c>
      <c r="G223" s="4" t="s">
        <v>7</v>
      </c>
      <c r="H223" s="4">
        <v>12</v>
      </c>
      <c r="I223" s="4">
        <v>7</v>
      </c>
      <c r="J223" s="4">
        <v>6</v>
      </c>
      <c r="K223" s="4">
        <v>38</v>
      </c>
    </row>
    <row r="224" spans="1:11" ht="14.25" customHeight="1" x14ac:dyDescent="0.3">
      <c r="A224" s="4">
        <v>223</v>
      </c>
      <c r="B224" s="4" t="s">
        <v>201</v>
      </c>
      <c r="C224" s="4" t="s">
        <v>202</v>
      </c>
      <c r="D224" s="4" t="s">
        <v>744</v>
      </c>
      <c r="E224" s="4" t="s">
        <v>745</v>
      </c>
      <c r="F224" s="4" t="s">
        <v>746</v>
      </c>
      <c r="G224" s="4" t="s">
        <v>7</v>
      </c>
      <c r="H224" s="4">
        <v>14</v>
      </c>
      <c r="I224" s="4">
        <v>8</v>
      </c>
      <c r="J224" s="4">
        <v>7</v>
      </c>
      <c r="K224" s="4">
        <v>45</v>
      </c>
    </row>
    <row r="225" spans="1:11" ht="26.25" customHeight="1" x14ac:dyDescent="0.3">
      <c r="A225" s="4">
        <v>224</v>
      </c>
      <c r="B225" s="4" t="s">
        <v>201</v>
      </c>
      <c r="C225" s="4" t="s">
        <v>202</v>
      </c>
      <c r="D225" s="4" t="s">
        <v>747</v>
      </c>
      <c r="E225" s="4" t="s">
        <v>425</v>
      </c>
      <c r="F225" s="4" t="s">
        <v>748</v>
      </c>
      <c r="G225" s="4" t="s">
        <v>7</v>
      </c>
      <c r="H225" s="4">
        <v>16</v>
      </c>
      <c r="I225" s="4">
        <v>10</v>
      </c>
      <c r="J225" s="4">
        <v>8</v>
      </c>
      <c r="K225" s="4">
        <v>51</v>
      </c>
    </row>
    <row r="226" spans="1:11" ht="14.25" customHeight="1" x14ac:dyDescent="0.3">
      <c r="A226" s="4">
        <v>225</v>
      </c>
      <c r="B226" s="4" t="s">
        <v>201</v>
      </c>
      <c r="C226" s="4" t="s">
        <v>202</v>
      </c>
      <c r="D226" s="4" t="s">
        <v>749</v>
      </c>
      <c r="E226" s="4" t="s">
        <v>745</v>
      </c>
      <c r="F226" s="4" t="s">
        <v>750</v>
      </c>
      <c r="G226" s="4" t="s">
        <v>8</v>
      </c>
      <c r="H226" s="4">
        <v>16</v>
      </c>
      <c r="I226" s="4">
        <v>10</v>
      </c>
      <c r="J226" s="4">
        <v>8</v>
      </c>
      <c r="K226" s="4">
        <v>51</v>
      </c>
    </row>
    <row r="227" spans="1:11" ht="14.25" customHeight="1" x14ac:dyDescent="0.3">
      <c r="A227" s="4">
        <v>226</v>
      </c>
      <c r="B227" s="4" t="s">
        <v>201</v>
      </c>
      <c r="C227" s="4" t="s">
        <v>202</v>
      </c>
      <c r="D227" s="4" t="s">
        <v>751</v>
      </c>
      <c r="E227" s="4" t="s">
        <v>425</v>
      </c>
      <c r="F227" s="4" t="s">
        <v>752</v>
      </c>
      <c r="G227" s="4" t="s">
        <v>8</v>
      </c>
      <c r="H227" s="4">
        <v>18</v>
      </c>
      <c r="I227" s="4">
        <v>11</v>
      </c>
      <c r="J227" s="4">
        <v>9</v>
      </c>
      <c r="K227" s="4">
        <v>58</v>
      </c>
    </row>
    <row r="228" spans="1:11" ht="14.25" customHeight="1" x14ac:dyDescent="0.3">
      <c r="A228" s="4">
        <v>227</v>
      </c>
      <c r="B228" s="4" t="s">
        <v>201</v>
      </c>
      <c r="C228" s="4" t="s">
        <v>202</v>
      </c>
      <c r="D228" s="4" t="s">
        <v>753</v>
      </c>
      <c r="E228" s="4" t="s">
        <v>664</v>
      </c>
      <c r="F228" s="4" t="s">
        <v>754</v>
      </c>
      <c r="G228" s="4" t="s">
        <v>8</v>
      </c>
      <c r="H228" s="4">
        <v>20</v>
      </c>
      <c r="I228" s="4">
        <v>12</v>
      </c>
      <c r="J228" s="4">
        <v>10</v>
      </c>
      <c r="K228" s="4">
        <v>64</v>
      </c>
    </row>
    <row r="229" spans="1:11" ht="14.25" customHeight="1" x14ac:dyDescent="0.3">
      <c r="A229" s="4">
        <v>228</v>
      </c>
      <c r="B229" s="4" t="s">
        <v>201</v>
      </c>
      <c r="C229" s="4" t="s">
        <v>202</v>
      </c>
      <c r="D229" s="4" t="s">
        <v>755</v>
      </c>
      <c r="E229" s="4" t="s">
        <v>368</v>
      </c>
      <c r="F229" s="4" t="s">
        <v>756</v>
      </c>
      <c r="G229" s="4" t="s">
        <v>8</v>
      </c>
      <c r="H229" s="4">
        <v>22</v>
      </c>
      <c r="I229" s="4">
        <v>13</v>
      </c>
      <c r="J229" s="4">
        <v>11</v>
      </c>
      <c r="K229" s="4">
        <v>70</v>
      </c>
    </row>
    <row r="230" spans="1:11" ht="26.25" customHeight="1" x14ac:dyDescent="0.3">
      <c r="A230" s="4">
        <v>229</v>
      </c>
      <c r="B230" s="4" t="s">
        <v>201</v>
      </c>
      <c r="C230" s="4" t="s">
        <v>202</v>
      </c>
      <c r="D230" s="4" t="s">
        <v>757</v>
      </c>
      <c r="E230" s="4" t="s">
        <v>425</v>
      </c>
      <c r="F230" s="4" t="s">
        <v>758</v>
      </c>
      <c r="G230" s="4" t="s">
        <v>9</v>
      </c>
      <c r="H230" s="4">
        <v>24</v>
      </c>
      <c r="I230" s="4">
        <v>14</v>
      </c>
      <c r="J230" s="4">
        <v>12</v>
      </c>
      <c r="K230" s="4">
        <v>77</v>
      </c>
    </row>
    <row r="231" spans="1:11" ht="14.25" customHeight="1" x14ac:dyDescent="0.3">
      <c r="A231" s="4">
        <v>230</v>
      </c>
      <c r="B231" s="4" t="s">
        <v>201</v>
      </c>
      <c r="C231" s="4" t="s">
        <v>202</v>
      </c>
      <c r="D231" s="4" t="s">
        <v>759</v>
      </c>
      <c r="E231" s="4" t="s">
        <v>664</v>
      </c>
      <c r="F231" s="4" t="s">
        <v>760</v>
      </c>
      <c r="G231" s="4" t="s">
        <v>9</v>
      </c>
      <c r="H231" s="4">
        <v>26</v>
      </c>
      <c r="I231" s="4">
        <v>16</v>
      </c>
      <c r="J231" s="4">
        <v>13</v>
      </c>
      <c r="K231" s="4">
        <v>83</v>
      </c>
    </row>
    <row r="232" spans="1:11" ht="14.25" customHeight="1" x14ac:dyDescent="0.3">
      <c r="A232" s="4">
        <v>231</v>
      </c>
      <c r="B232" s="4" t="s">
        <v>201</v>
      </c>
      <c r="C232" s="4" t="s">
        <v>202</v>
      </c>
      <c r="D232" s="4" t="s">
        <v>761</v>
      </c>
      <c r="E232" s="4" t="s">
        <v>425</v>
      </c>
      <c r="F232" s="4" t="s">
        <v>762</v>
      </c>
      <c r="G232" s="4" t="s">
        <v>9</v>
      </c>
      <c r="H232" s="4">
        <v>28</v>
      </c>
      <c r="I232" s="4">
        <v>17</v>
      </c>
      <c r="J232" s="4">
        <v>14</v>
      </c>
      <c r="K232" s="4">
        <v>90</v>
      </c>
    </row>
    <row r="233" spans="1:11" ht="14.25" customHeight="1" x14ac:dyDescent="0.3">
      <c r="A233" s="4">
        <v>232</v>
      </c>
      <c r="B233" s="4" t="s">
        <v>201</v>
      </c>
      <c r="C233" s="4" t="s">
        <v>202</v>
      </c>
      <c r="D233" s="4" t="s">
        <v>763</v>
      </c>
      <c r="E233" s="4" t="s">
        <v>764</v>
      </c>
      <c r="F233" s="4" t="s">
        <v>765</v>
      </c>
      <c r="G233" s="4" t="s">
        <v>9</v>
      </c>
      <c r="H233" s="4">
        <v>30</v>
      </c>
      <c r="I233" s="4">
        <v>18</v>
      </c>
      <c r="J233" s="4">
        <v>15</v>
      </c>
      <c r="K233" s="4">
        <v>96</v>
      </c>
    </row>
    <row r="234" spans="1:11" ht="26.25" customHeight="1" x14ac:dyDescent="0.3">
      <c r="A234" s="4">
        <v>233</v>
      </c>
      <c r="B234" s="4" t="s">
        <v>201</v>
      </c>
      <c r="C234" s="4" t="s">
        <v>202</v>
      </c>
      <c r="D234" s="4" t="s">
        <v>766</v>
      </c>
      <c r="E234" s="4" t="s">
        <v>425</v>
      </c>
      <c r="F234" s="4" t="s">
        <v>767</v>
      </c>
      <c r="G234" s="4" t="s">
        <v>10</v>
      </c>
      <c r="H234" s="4">
        <v>34</v>
      </c>
      <c r="I234" s="4">
        <v>20</v>
      </c>
      <c r="J234" s="4">
        <v>17</v>
      </c>
      <c r="K234" s="4">
        <v>109</v>
      </c>
    </row>
    <row r="235" spans="1:11" ht="14.25" customHeight="1" x14ac:dyDescent="0.3">
      <c r="A235" s="4">
        <v>234</v>
      </c>
      <c r="B235" s="4" t="s">
        <v>201</v>
      </c>
      <c r="C235" s="4" t="s">
        <v>202</v>
      </c>
      <c r="D235" s="4" t="s">
        <v>768</v>
      </c>
      <c r="E235" s="4" t="s">
        <v>425</v>
      </c>
      <c r="F235" s="4" t="s">
        <v>769</v>
      </c>
      <c r="G235" s="4" t="s">
        <v>10</v>
      </c>
      <c r="H235" s="4">
        <v>36</v>
      </c>
      <c r="I235" s="4">
        <v>22</v>
      </c>
      <c r="J235" s="4">
        <v>18</v>
      </c>
      <c r="K235" s="4">
        <v>115</v>
      </c>
    </row>
    <row r="236" spans="1:11" ht="14.25" customHeight="1" x14ac:dyDescent="0.3">
      <c r="A236" s="4">
        <v>235</v>
      </c>
      <c r="B236" s="4" t="s">
        <v>201</v>
      </c>
      <c r="C236" s="4" t="s">
        <v>202</v>
      </c>
      <c r="D236" s="4" t="s">
        <v>770</v>
      </c>
      <c r="E236" s="4" t="s">
        <v>576</v>
      </c>
      <c r="F236" s="4" t="s">
        <v>771</v>
      </c>
      <c r="G236" s="4" t="s">
        <v>10</v>
      </c>
      <c r="H236" s="4">
        <v>38</v>
      </c>
      <c r="I236" s="4">
        <v>23</v>
      </c>
      <c r="J236" s="4">
        <v>19</v>
      </c>
      <c r="K236" s="4">
        <v>122</v>
      </c>
    </row>
    <row r="237" spans="1:11" ht="14.25" customHeight="1" x14ac:dyDescent="0.3">
      <c r="A237" s="4">
        <v>236</v>
      </c>
      <c r="B237" s="4" t="s">
        <v>201</v>
      </c>
      <c r="C237" s="4" t="s">
        <v>202</v>
      </c>
      <c r="D237" s="4" t="s">
        <v>772</v>
      </c>
      <c r="E237" s="4" t="s">
        <v>773</v>
      </c>
      <c r="F237" s="4" t="s">
        <v>774</v>
      </c>
      <c r="G237" s="4" t="s">
        <v>11</v>
      </c>
      <c r="H237" s="4">
        <v>54</v>
      </c>
      <c r="I237" s="4">
        <v>32</v>
      </c>
      <c r="J237" s="4">
        <v>27</v>
      </c>
      <c r="K237" s="4">
        <v>173</v>
      </c>
    </row>
    <row r="238" spans="1:11" ht="26.25" customHeight="1" x14ac:dyDescent="0.3">
      <c r="A238" s="4">
        <v>237</v>
      </c>
      <c r="B238" s="4" t="s">
        <v>201</v>
      </c>
      <c r="C238" s="4" t="s">
        <v>202</v>
      </c>
      <c r="D238" s="4" t="s">
        <v>775</v>
      </c>
      <c r="E238" s="4" t="s">
        <v>425</v>
      </c>
      <c r="F238" s="4" t="s">
        <v>776</v>
      </c>
      <c r="G238" s="4" t="s">
        <v>11</v>
      </c>
      <c r="H238" s="4">
        <v>48</v>
      </c>
      <c r="I238" s="4">
        <v>29</v>
      </c>
      <c r="J238" s="4">
        <v>24</v>
      </c>
      <c r="K238" s="4">
        <v>154</v>
      </c>
    </row>
    <row r="239" spans="1:11" ht="14.25" customHeight="1" x14ac:dyDescent="0.3">
      <c r="A239" s="4">
        <v>238</v>
      </c>
      <c r="B239" s="4" t="s">
        <v>201</v>
      </c>
      <c r="C239" s="4" t="s">
        <v>202</v>
      </c>
      <c r="D239" s="4" t="s">
        <v>777</v>
      </c>
      <c r="E239" s="4" t="s">
        <v>664</v>
      </c>
      <c r="F239" s="4" t="s">
        <v>778</v>
      </c>
      <c r="G239" s="4" t="s">
        <v>11</v>
      </c>
      <c r="H239" s="4">
        <v>50</v>
      </c>
      <c r="I239" s="4">
        <v>30</v>
      </c>
      <c r="J239" s="4">
        <v>25</v>
      </c>
      <c r="K239" s="4">
        <v>160</v>
      </c>
    </row>
    <row r="240" spans="1:11" ht="14.25" customHeight="1" x14ac:dyDescent="0.3">
      <c r="A240" s="4">
        <v>239</v>
      </c>
      <c r="B240" s="4" t="s">
        <v>201</v>
      </c>
      <c r="C240" s="4" t="s">
        <v>202</v>
      </c>
      <c r="D240" s="4" t="s">
        <v>779</v>
      </c>
      <c r="E240" s="4" t="s">
        <v>773</v>
      </c>
      <c r="F240" s="4" t="s">
        <v>780</v>
      </c>
      <c r="G240" s="4" t="s">
        <v>12</v>
      </c>
      <c r="H240" s="4">
        <v>69</v>
      </c>
      <c r="I240" s="4">
        <v>41</v>
      </c>
      <c r="J240" s="4">
        <v>34</v>
      </c>
      <c r="K240" s="4">
        <v>221</v>
      </c>
    </row>
    <row r="241" spans="1:11" ht="26.25" customHeight="1" x14ac:dyDescent="0.3">
      <c r="A241" s="4">
        <v>240</v>
      </c>
      <c r="B241" s="4" t="s">
        <v>201</v>
      </c>
      <c r="C241" s="4" t="s">
        <v>202</v>
      </c>
      <c r="D241" s="4" t="s">
        <v>781</v>
      </c>
      <c r="E241" s="4" t="s">
        <v>425</v>
      </c>
      <c r="F241" s="4" t="s">
        <v>782</v>
      </c>
      <c r="G241" s="4" t="s">
        <v>12</v>
      </c>
      <c r="H241" s="4">
        <v>71</v>
      </c>
      <c r="I241" s="4">
        <v>43</v>
      </c>
      <c r="J241" s="4">
        <v>36</v>
      </c>
      <c r="K241" s="4">
        <v>227</v>
      </c>
    </row>
    <row r="242" spans="1:11" ht="14.25" customHeight="1" x14ac:dyDescent="0.3">
      <c r="A242" s="4">
        <v>241</v>
      </c>
      <c r="B242" s="4" t="s">
        <v>205</v>
      </c>
      <c r="C242" s="4" t="s">
        <v>206</v>
      </c>
      <c r="D242" s="4" t="s">
        <v>783</v>
      </c>
      <c r="E242" s="4" t="s">
        <v>425</v>
      </c>
      <c r="F242" s="4" t="s">
        <v>784</v>
      </c>
      <c r="G242" s="4" t="s">
        <v>7</v>
      </c>
      <c r="H242" s="4">
        <v>10</v>
      </c>
      <c r="I242" s="4">
        <v>6</v>
      </c>
      <c r="J242" s="4">
        <v>5</v>
      </c>
      <c r="K242" s="4">
        <v>32</v>
      </c>
    </row>
    <row r="243" spans="1:11" ht="26.25" customHeight="1" x14ac:dyDescent="0.3">
      <c r="A243" s="4">
        <v>242</v>
      </c>
      <c r="B243" s="4" t="s">
        <v>205</v>
      </c>
      <c r="C243" s="4" t="s">
        <v>206</v>
      </c>
      <c r="D243" s="4" t="s">
        <v>785</v>
      </c>
      <c r="E243" s="4" t="s">
        <v>786</v>
      </c>
      <c r="F243" s="4" t="s">
        <v>787</v>
      </c>
      <c r="G243" s="4" t="s">
        <v>7</v>
      </c>
      <c r="H243" s="4">
        <v>12</v>
      </c>
      <c r="I243" s="4">
        <v>7</v>
      </c>
      <c r="J243" s="4">
        <v>6</v>
      </c>
      <c r="K243" s="4">
        <v>38</v>
      </c>
    </row>
    <row r="244" spans="1:11" ht="14.25" customHeight="1" x14ac:dyDescent="0.3">
      <c r="A244" s="4">
        <v>243</v>
      </c>
      <c r="B244" s="4" t="s">
        <v>205</v>
      </c>
      <c r="C244" s="4" t="s">
        <v>206</v>
      </c>
      <c r="D244" s="4" t="s">
        <v>788</v>
      </c>
      <c r="E244" s="4" t="s">
        <v>425</v>
      </c>
      <c r="F244" s="4" t="s">
        <v>789</v>
      </c>
      <c r="G244" s="4" t="s">
        <v>7</v>
      </c>
      <c r="H244" s="4">
        <v>14</v>
      </c>
      <c r="I244" s="4">
        <v>8</v>
      </c>
      <c r="J244" s="4">
        <v>7</v>
      </c>
      <c r="K244" s="4">
        <v>45</v>
      </c>
    </row>
    <row r="245" spans="1:11" ht="14.25" customHeight="1" x14ac:dyDescent="0.3">
      <c r="A245" s="4">
        <v>244</v>
      </c>
      <c r="B245" s="4" t="s">
        <v>205</v>
      </c>
      <c r="C245" s="4" t="s">
        <v>206</v>
      </c>
      <c r="D245" s="4" t="s">
        <v>790</v>
      </c>
      <c r="E245" s="4" t="s">
        <v>425</v>
      </c>
      <c r="F245" s="4" t="s">
        <v>791</v>
      </c>
      <c r="G245" s="4" t="s">
        <v>7</v>
      </c>
      <c r="H245" s="4">
        <v>16</v>
      </c>
      <c r="I245" s="4">
        <v>10</v>
      </c>
      <c r="J245" s="4">
        <v>8</v>
      </c>
      <c r="K245" s="4">
        <v>51</v>
      </c>
    </row>
    <row r="246" spans="1:11" ht="14.25" customHeight="1" x14ac:dyDescent="0.3">
      <c r="A246" s="4">
        <v>245</v>
      </c>
      <c r="B246" s="4" t="s">
        <v>205</v>
      </c>
      <c r="C246" s="4" t="s">
        <v>206</v>
      </c>
      <c r="D246" s="4" t="s">
        <v>792</v>
      </c>
      <c r="E246" s="4" t="s">
        <v>425</v>
      </c>
      <c r="F246" s="4" t="s">
        <v>793</v>
      </c>
      <c r="G246" s="4" t="s">
        <v>8</v>
      </c>
      <c r="H246" s="4">
        <v>16</v>
      </c>
      <c r="I246" s="4">
        <v>10</v>
      </c>
      <c r="J246" s="4">
        <v>8</v>
      </c>
      <c r="K246" s="4">
        <v>51</v>
      </c>
    </row>
    <row r="247" spans="1:11" ht="14.25" customHeight="1" x14ac:dyDescent="0.3">
      <c r="A247" s="4">
        <v>246</v>
      </c>
      <c r="B247" s="4" t="s">
        <v>205</v>
      </c>
      <c r="C247" s="4" t="s">
        <v>206</v>
      </c>
      <c r="D247" s="4" t="s">
        <v>794</v>
      </c>
      <c r="E247" s="4" t="s">
        <v>629</v>
      </c>
      <c r="F247" s="4" t="s">
        <v>795</v>
      </c>
      <c r="G247" s="4" t="s">
        <v>8</v>
      </c>
      <c r="H247" s="4">
        <v>18</v>
      </c>
      <c r="I247" s="4">
        <v>11</v>
      </c>
      <c r="J247" s="4">
        <v>9</v>
      </c>
      <c r="K247" s="4">
        <v>58</v>
      </c>
    </row>
    <row r="248" spans="1:11" ht="14.25" customHeight="1" x14ac:dyDescent="0.3">
      <c r="A248" s="4">
        <v>247</v>
      </c>
      <c r="B248" s="4" t="s">
        <v>205</v>
      </c>
      <c r="C248" s="4" t="s">
        <v>206</v>
      </c>
      <c r="D248" s="4" t="s">
        <v>796</v>
      </c>
      <c r="E248" s="4" t="s">
        <v>585</v>
      </c>
      <c r="F248" s="4" t="s">
        <v>797</v>
      </c>
      <c r="G248" s="4" t="s">
        <v>8</v>
      </c>
      <c r="H248" s="4">
        <v>20</v>
      </c>
      <c r="I248" s="4">
        <v>12</v>
      </c>
      <c r="J248" s="4">
        <v>10</v>
      </c>
      <c r="K248" s="4">
        <v>64</v>
      </c>
    </row>
    <row r="249" spans="1:11" ht="14.25" customHeight="1" x14ac:dyDescent="0.3">
      <c r="A249" s="4">
        <v>248</v>
      </c>
      <c r="B249" s="4" t="s">
        <v>205</v>
      </c>
      <c r="C249" s="4" t="s">
        <v>206</v>
      </c>
      <c r="D249" s="4" t="s">
        <v>798</v>
      </c>
      <c r="E249" s="4" t="s">
        <v>425</v>
      </c>
      <c r="F249" s="4" t="s">
        <v>799</v>
      </c>
      <c r="G249" s="4" t="s">
        <v>8</v>
      </c>
      <c r="H249" s="4">
        <v>22</v>
      </c>
      <c r="I249" s="4">
        <v>13</v>
      </c>
      <c r="J249" s="4">
        <v>11</v>
      </c>
      <c r="K249" s="4">
        <v>70</v>
      </c>
    </row>
    <row r="250" spans="1:11" ht="14.25" customHeight="1" x14ac:dyDescent="0.3">
      <c r="A250" s="4">
        <v>249</v>
      </c>
      <c r="B250" s="4" t="s">
        <v>205</v>
      </c>
      <c r="C250" s="4" t="s">
        <v>206</v>
      </c>
      <c r="D250" s="4" t="s">
        <v>800</v>
      </c>
      <c r="E250" s="4" t="s">
        <v>673</v>
      </c>
      <c r="F250" s="4" t="s">
        <v>801</v>
      </c>
      <c r="G250" s="4" t="s">
        <v>9</v>
      </c>
      <c r="H250" s="4">
        <v>24</v>
      </c>
      <c r="I250" s="4">
        <v>14</v>
      </c>
      <c r="J250" s="4">
        <v>12</v>
      </c>
      <c r="K250" s="4">
        <v>77</v>
      </c>
    </row>
    <row r="251" spans="1:11" ht="14.25" customHeight="1" x14ac:dyDescent="0.3">
      <c r="A251" s="4">
        <v>250</v>
      </c>
      <c r="B251" s="4" t="s">
        <v>205</v>
      </c>
      <c r="C251" s="4" t="s">
        <v>206</v>
      </c>
      <c r="D251" s="4" t="s">
        <v>802</v>
      </c>
      <c r="E251" s="4" t="s">
        <v>576</v>
      </c>
      <c r="F251" s="4" t="s">
        <v>803</v>
      </c>
      <c r="G251" s="4" t="s">
        <v>9</v>
      </c>
      <c r="H251" s="4">
        <v>26</v>
      </c>
      <c r="I251" s="4">
        <v>16</v>
      </c>
      <c r="J251" s="4">
        <v>13</v>
      </c>
      <c r="K251" s="4">
        <v>83</v>
      </c>
    </row>
    <row r="252" spans="1:11" ht="14.25" customHeight="1" x14ac:dyDescent="0.3">
      <c r="A252" s="4">
        <v>251</v>
      </c>
      <c r="B252" s="4" t="s">
        <v>205</v>
      </c>
      <c r="C252" s="4" t="s">
        <v>206</v>
      </c>
      <c r="D252" s="4" t="s">
        <v>804</v>
      </c>
      <c r="E252" s="4" t="s">
        <v>805</v>
      </c>
      <c r="F252" s="4" t="s">
        <v>806</v>
      </c>
      <c r="G252" s="4" t="s">
        <v>9</v>
      </c>
      <c r="H252" s="4">
        <v>28</v>
      </c>
      <c r="I252" s="4">
        <v>17</v>
      </c>
      <c r="J252" s="4">
        <v>14</v>
      </c>
      <c r="K252" s="4">
        <v>90</v>
      </c>
    </row>
    <row r="253" spans="1:11" ht="14.25" customHeight="1" x14ac:dyDescent="0.3">
      <c r="A253" s="4">
        <v>252</v>
      </c>
      <c r="B253" s="4" t="s">
        <v>205</v>
      </c>
      <c r="C253" s="4" t="s">
        <v>206</v>
      </c>
      <c r="D253" s="4" t="s">
        <v>807</v>
      </c>
      <c r="E253" s="4" t="s">
        <v>425</v>
      </c>
      <c r="F253" s="4" t="s">
        <v>808</v>
      </c>
      <c r="G253" s="4" t="s">
        <v>9</v>
      </c>
      <c r="H253" s="4">
        <v>30</v>
      </c>
      <c r="I253" s="4">
        <v>18</v>
      </c>
      <c r="J253" s="4">
        <v>15</v>
      </c>
      <c r="K253" s="4">
        <v>96</v>
      </c>
    </row>
    <row r="254" spans="1:11" ht="14.25" customHeight="1" x14ac:dyDescent="0.3">
      <c r="A254" s="4">
        <v>253</v>
      </c>
      <c r="B254" s="4" t="s">
        <v>205</v>
      </c>
      <c r="C254" s="4" t="s">
        <v>206</v>
      </c>
      <c r="D254" s="4" t="s">
        <v>809</v>
      </c>
      <c r="E254" s="4" t="s">
        <v>425</v>
      </c>
      <c r="F254" s="4" t="s">
        <v>810</v>
      </c>
      <c r="G254" s="4" t="s">
        <v>10</v>
      </c>
      <c r="H254" s="4">
        <v>34</v>
      </c>
      <c r="I254" s="4">
        <v>20</v>
      </c>
      <c r="J254" s="4">
        <v>17</v>
      </c>
      <c r="K254" s="4">
        <v>109</v>
      </c>
    </row>
    <row r="255" spans="1:11" ht="14.25" customHeight="1" x14ac:dyDescent="0.3">
      <c r="A255" s="4">
        <v>254</v>
      </c>
      <c r="B255" s="4" t="s">
        <v>205</v>
      </c>
      <c r="C255" s="4" t="s">
        <v>206</v>
      </c>
      <c r="D255" s="4" t="s">
        <v>811</v>
      </c>
      <c r="E255" s="4" t="s">
        <v>812</v>
      </c>
      <c r="F255" s="4" t="s">
        <v>813</v>
      </c>
      <c r="G255" s="4" t="s">
        <v>10</v>
      </c>
      <c r="H255" s="4">
        <v>36</v>
      </c>
      <c r="I255" s="4">
        <v>22</v>
      </c>
      <c r="J255" s="4">
        <v>18</v>
      </c>
      <c r="K255" s="4">
        <v>115</v>
      </c>
    </row>
    <row r="256" spans="1:11" ht="14.25" customHeight="1" x14ac:dyDescent="0.3">
      <c r="A256" s="4">
        <v>255</v>
      </c>
      <c r="B256" s="4" t="s">
        <v>205</v>
      </c>
      <c r="C256" s="4" t="s">
        <v>206</v>
      </c>
      <c r="D256" s="4" t="s">
        <v>814</v>
      </c>
      <c r="E256" s="4" t="s">
        <v>425</v>
      </c>
      <c r="F256" s="4" t="s">
        <v>815</v>
      </c>
      <c r="G256" s="4" t="s">
        <v>10</v>
      </c>
      <c r="H256" s="4">
        <v>38</v>
      </c>
      <c r="I256" s="4">
        <v>23</v>
      </c>
      <c r="J256" s="4">
        <v>19</v>
      </c>
      <c r="K256" s="4">
        <v>122</v>
      </c>
    </row>
    <row r="257" spans="1:11" ht="14.25" customHeight="1" x14ac:dyDescent="0.3">
      <c r="A257" s="4">
        <v>256</v>
      </c>
      <c r="B257" s="4" t="s">
        <v>205</v>
      </c>
      <c r="C257" s="4" t="s">
        <v>206</v>
      </c>
      <c r="D257" s="4" t="s">
        <v>816</v>
      </c>
      <c r="E257" s="4" t="s">
        <v>425</v>
      </c>
      <c r="F257" s="4" t="s">
        <v>817</v>
      </c>
      <c r="G257" s="4" t="s">
        <v>11</v>
      </c>
      <c r="H257" s="4">
        <v>54</v>
      </c>
      <c r="I257" s="4">
        <v>32</v>
      </c>
      <c r="J257" s="4">
        <v>27</v>
      </c>
      <c r="K257" s="4">
        <v>173</v>
      </c>
    </row>
    <row r="258" spans="1:11" ht="26.25" customHeight="1" x14ac:dyDescent="0.3">
      <c r="A258" s="4">
        <v>257</v>
      </c>
      <c r="B258" s="4" t="s">
        <v>205</v>
      </c>
      <c r="C258" s="4" t="s">
        <v>206</v>
      </c>
      <c r="D258" s="4" t="s">
        <v>818</v>
      </c>
      <c r="E258" s="4" t="s">
        <v>425</v>
      </c>
      <c r="F258" s="4" t="s">
        <v>819</v>
      </c>
      <c r="G258" s="4" t="s">
        <v>11</v>
      </c>
      <c r="H258" s="4">
        <v>48</v>
      </c>
      <c r="I258" s="4">
        <v>29</v>
      </c>
      <c r="J258" s="4">
        <v>24</v>
      </c>
      <c r="K258" s="4">
        <v>154</v>
      </c>
    </row>
    <row r="259" spans="1:11" ht="14.25" customHeight="1" x14ac:dyDescent="0.3">
      <c r="A259" s="4">
        <v>258</v>
      </c>
      <c r="B259" s="4" t="s">
        <v>205</v>
      </c>
      <c r="C259" s="4" t="s">
        <v>206</v>
      </c>
      <c r="D259" s="4" t="s">
        <v>820</v>
      </c>
      <c r="E259" s="4" t="s">
        <v>425</v>
      </c>
      <c r="F259" s="4" t="s">
        <v>821</v>
      </c>
      <c r="G259" s="4" t="s">
        <v>11</v>
      </c>
      <c r="H259" s="4">
        <v>50</v>
      </c>
      <c r="I259" s="4">
        <v>30</v>
      </c>
      <c r="J259" s="4">
        <v>25</v>
      </c>
      <c r="K259" s="4">
        <v>160</v>
      </c>
    </row>
    <row r="260" spans="1:11" ht="14.25" customHeight="1" x14ac:dyDescent="0.3">
      <c r="A260" s="4">
        <v>259</v>
      </c>
      <c r="B260" s="4" t="s">
        <v>205</v>
      </c>
      <c r="C260" s="4" t="s">
        <v>206</v>
      </c>
      <c r="D260" s="4" t="s">
        <v>822</v>
      </c>
      <c r="E260" s="4" t="s">
        <v>425</v>
      </c>
      <c r="F260" s="4" t="s">
        <v>823</v>
      </c>
      <c r="G260" s="4" t="s">
        <v>12</v>
      </c>
      <c r="H260" s="4">
        <v>69</v>
      </c>
      <c r="I260" s="4">
        <v>41</v>
      </c>
      <c r="J260" s="4">
        <v>34</v>
      </c>
      <c r="K260" s="4">
        <v>221</v>
      </c>
    </row>
    <row r="261" spans="1:11" ht="14.25" customHeight="1" x14ac:dyDescent="0.3">
      <c r="A261" s="4">
        <v>260</v>
      </c>
      <c r="B261" s="4" t="s">
        <v>205</v>
      </c>
      <c r="C261" s="4" t="s">
        <v>206</v>
      </c>
      <c r="D261" s="4" t="s">
        <v>824</v>
      </c>
      <c r="E261" s="4" t="s">
        <v>425</v>
      </c>
      <c r="F261" s="4" t="s">
        <v>825</v>
      </c>
      <c r="G261" s="4" t="s">
        <v>12</v>
      </c>
      <c r="H261" s="4">
        <v>71</v>
      </c>
      <c r="I261" s="4">
        <v>43</v>
      </c>
      <c r="J261" s="4">
        <v>36</v>
      </c>
      <c r="K261" s="4">
        <v>227</v>
      </c>
    </row>
    <row r="262" spans="1:11" ht="14.25" customHeight="1" x14ac:dyDescent="0.3">
      <c r="A262" s="4">
        <v>261</v>
      </c>
      <c r="B262" s="4" t="s">
        <v>209</v>
      </c>
      <c r="C262" s="4" t="s">
        <v>210</v>
      </c>
      <c r="D262" s="4" t="s">
        <v>826</v>
      </c>
      <c r="E262" s="4" t="s">
        <v>345</v>
      </c>
      <c r="F262" s="4" t="s">
        <v>827</v>
      </c>
      <c r="G262" s="4" t="s">
        <v>7</v>
      </c>
      <c r="H262" s="4">
        <v>10</v>
      </c>
      <c r="I262" s="4">
        <v>6</v>
      </c>
      <c r="J262" s="4">
        <v>5</v>
      </c>
      <c r="K262" s="4">
        <v>32</v>
      </c>
    </row>
    <row r="263" spans="1:11" ht="14.25" customHeight="1" x14ac:dyDescent="0.3">
      <c r="A263" s="4">
        <v>262</v>
      </c>
      <c r="B263" s="4" t="s">
        <v>209</v>
      </c>
      <c r="C263" s="4" t="s">
        <v>210</v>
      </c>
      <c r="D263" s="4" t="s">
        <v>828</v>
      </c>
      <c r="E263" s="4" t="s">
        <v>829</v>
      </c>
      <c r="F263" s="4" t="s">
        <v>830</v>
      </c>
      <c r="G263" s="4" t="s">
        <v>7</v>
      </c>
      <c r="H263" s="4">
        <v>12</v>
      </c>
      <c r="I263" s="4">
        <v>7</v>
      </c>
      <c r="J263" s="4">
        <v>6</v>
      </c>
      <c r="K263" s="4">
        <v>38</v>
      </c>
    </row>
    <row r="264" spans="1:11" ht="14.25" customHeight="1" x14ac:dyDescent="0.3">
      <c r="A264" s="4">
        <v>263</v>
      </c>
      <c r="B264" s="4" t="s">
        <v>209</v>
      </c>
      <c r="C264" s="4" t="s">
        <v>210</v>
      </c>
      <c r="D264" s="4" t="s">
        <v>831</v>
      </c>
      <c r="E264" s="4" t="s">
        <v>425</v>
      </c>
      <c r="F264" s="4" t="s">
        <v>832</v>
      </c>
      <c r="G264" s="4" t="s">
        <v>7</v>
      </c>
      <c r="H264" s="4">
        <v>14</v>
      </c>
      <c r="I264" s="4">
        <v>8</v>
      </c>
      <c r="J264" s="4">
        <v>7</v>
      </c>
      <c r="K264" s="4">
        <v>45</v>
      </c>
    </row>
    <row r="265" spans="1:11" ht="14.25" customHeight="1" x14ac:dyDescent="0.3">
      <c r="A265" s="4">
        <v>264</v>
      </c>
      <c r="B265" s="4" t="s">
        <v>209</v>
      </c>
      <c r="C265" s="4" t="s">
        <v>210</v>
      </c>
      <c r="D265" s="4" t="s">
        <v>833</v>
      </c>
      <c r="E265" s="4" t="s">
        <v>325</v>
      </c>
      <c r="F265" s="4" t="s">
        <v>834</v>
      </c>
      <c r="G265" s="4" t="s">
        <v>7</v>
      </c>
      <c r="H265" s="4">
        <v>16</v>
      </c>
      <c r="I265" s="4">
        <v>10</v>
      </c>
      <c r="J265" s="4">
        <v>8</v>
      </c>
      <c r="K265" s="4">
        <v>51</v>
      </c>
    </row>
    <row r="266" spans="1:11" ht="26.25" customHeight="1" x14ac:dyDescent="0.3">
      <c r="A266" s="4">
        <v>265</v>
      </c>
      <c r="B266" s="4" t="s">
        <v>209</v>
      </c>
      <c r="C266" s="4" t="s">
        <v>210</v>
      </c>
      <c r="D266" s="4" t="s">
        <v>835</v>
      </c>
      <c r="E266" s="4" t="s">
        <v>836</v>
      </c>
      <c r="F266" s="4" t="s">
        <v>837</v>
      </c>
      <c r="G266" s="4" t="s">
        <v>8</v>
      </c>
      <c r="H266" s="4">
        <v>16</v>
      </c>
      <c r="I266" s="4">
        <v>10</v>
      </c>
      <c r="J266" s="4">
        <v>8</v>
      </c>
      <c r="K266" s="4">
        <v>51</v>
      </c>
    </row>
    <row r="267" spans="1:11" ht="14.25" customHeight="1" x14ac:dyDescent="0.3">
      <c r="A267" s="4">
        <v>266</v>
      </c>
      <c r="B267" s="4" t="s">
        <v>209</v>
      </c>
      <c r="C267" s="4" t="s">
        <v>210</v>
      </c>
      <c r="D267" s="4" t="s">
        <v>838</v>
      </c>
      <c r="E267" s="4" t="s">
        <v>839</v>
      </c>
      <c r="F267" s="4" t="s">
        <v>840</v>
      </c>
      <c r="G267" s="4" t="s">
        <v>8</v>
      </c>
      <c r="H267" s="4">
        <v>18</v>
      </c>
      <c r="I267" s="4">
        <v>11</v>
      </c>
      <c r="J267" s="4">
        <v>9</v>
      </c>
      <c r="K267" s="4">
        <v>58</v>
      </c>
    </row>
    <row r="268" spans="1:11" ht="26.25" customHeight="1" x14ac:dyDescent="0.3">
      <c r="A268" s="4">
        <v>267</v>
      </c>
      <c r="B268" s="4" t="s">
        <v>209</v>
      </c>
      <c r="C268" s="4" t="s">
        <v>210</v>
      </c>
      <c r="D268" s="4" t="s">
        <v>841</v>
      </c>
      <c r="E268" s="4" t="s">
        <v>425</v>
      </c>
      <c r="F268" s="4" t="s">
        <v>842</v>
      </c>
      <c r="G268" s="4" t="s">
        <v>8</v>
      </c>
      <c r="H268" s="4">
        <v>20</v>
      </c>
      <c r="I268" s="4">
        <v>12</v>
      </c>
      <c r="J268" s="4">
        <v>10</v>
      </c>
      <c r="K268" s="4">
        <v>64</v>
      </c>
    </row>
    <row r="269" spans="1:11" ht="26.25" customHeight="1" x14ac:dyDescent="0.3">
      <c r="A269" s="4">
        <v>268</v>
      </c>
      <c r="B269" s="4" t="s">
        <v>209</v>
      </c>
      <c r="C269" s="4" t="s">
        <v>210</v>
      </c>
      <c r="D269" s="4" t="s">
        <v>843</v>
      </c>
      <c r="E269" s="4" t="s">
        <v>600</v>
      </c>
      <c r="F269" s="4" t="s">
        <v>844</v>
      </c>
      <c r="G269" s="4" t="s">
        <v>8</v>
      </c>
      <c r="H269" s="4">
        <v>22</v>
      </c>
      <c r="I269" s="4">
        <v>13</v>
      </c>
      <c r="J269" s="4">
        <v>11</v>
      </c>
      <c r="K269" s="4">
        <v>70</v>
      </c>
    </row>
    <row r="270" spans="1:11" ht="26.25" customHeight="1" x14ac:dyDescent="0.3">
      <c r="A270" s="4">
        <v>269</v>
      </c>
      <c r="B270" s="4" t="s">
        <v>209</v>
      </c>
      <c r="C270" s="4" t="s">
        <v>210</v>
      </c>
      <c r="D270" s="4" t="s">
        <v>845</v>
      </c>
      <c r="E270" s="4" t="s">
        <v>846</v>
      </c>
      <c r="F270" s="4" t="s">
        <v>847</v>
      </c>
      <c r="G270" s="4" t="s">
        <v>9</v>
      </c>
      <c r="H270" s="4">
        <v>24</v>
      </c>
      <c r="I270" s="4">
        <v>14</v>
      </c>
      <c r="J270" s="4">
        <v>12</v>
      </c>
      <c r="K270" s="4">
        <v>77</v>
      </c>
    </row>
    <row r="271" spans="1:11" ht="26.25" customHeight="1" x14ac:dyDescent="0.3">
      <c r="A271" s="4">
        <v>270</v>
      </c>
      <c r="B271" s="4" t="s">
        <v>209</v>
      </c>
      <c r="C271" s="4" t="s">
        <v>210</v>
      </c>
      <c r="D271" s="4" t="s">
        <v>848</v>
      </c>
      <c r="E271" s="4" t="s">
        <v>773</v>
      </c>
      <c r="F271" s="4" t="s">
        <v>849</v>
      </c>
      <c r="G271" s="4" t="s">
        <v>9</v>
      </c>
      <c r="H271" s="4">
        <v>26</v>
      </c>
      <c r="I271" s="4">
        <v>16</v>
      </c>
      <c r="J271" s="4">
        <v>13</v>
      </c>
      <c r="K271" s="4">
        <v>83</v>
      </c>
    </row>
    <row r="272" spans="1:11" ht="14.25" customHeight="1" x14ac:dyDescent="0.3">
      <c r="A272" s="4">
        <v>271</v>
      </c>
      <c r="B272" s="4" t="s">
        <v>209</v>
      </c>
      <c r="C272" s="4" t="s">
        <v>210</v>
      </c>
      <c r="D272" s="4" t="s">
        <v>850</v>
      </c>
      <c r="E272" s="4" t="s">
        <v>851</v>
      </c>
      <c r="F272" s="4" t="s">
        <v>852</v>
      </c>
      <c r="G272" s="4" t="s">
        <v>9</v>
      </c>
      <c r="H272" s="4">
        <v>28</v>
      </c>
      <c r="I272" s="4">
        <v>17</v>
      </c>
      <c r="J272" s="4">
        <v>14</v>
      </c>
      <c r="K272" s="4">
        <v>90</v>
      </c>
    </row>
    <row r="273" spans="1:11" ht="26.25" customHeight="1" x14ac:dyDescent="0.3">
      <c r="A273" s="4">
        <v>272</v>
      </c>
      <c r="B273" s="4" t="s">
        <v>209</v>
      </c>
      <c r="C273" s="4" t="s">
        <v>210</v>
      </c>
      <c r="D273" s="4" t="s">
        <v>853</v>
      </c>
      <c r="E273" s="4" t="s">
        <v>425</v>
      </c>
      <c r="F273" s="4" t="s">
        <v>854</v>
      </c>
      <c r="G273" s="4" t="s">
        <v>9</v>
      </c>
      <c r="H273" s="4">
        <v>30</v>
      </c>
      <c r="I273" s="4">
        <v>18</v>
      </c>
      <c r="J273" s="4">
        <v>15</v>
      </c>
      <c r="K273" s="4">
        <v>96</v>
      </c>
    </row>
    <row r="274" spans="1:11" ht="14.25" customHeight="1" x14ac:dyDescent="0.3">
      <c r="A274" s="4">
        <v>273</v>
      </c>
      <c r="B274" s="4" t="s">
        <v>209</v>
      </c>
      <c r="C274" s="4" t="s">
        <v>210</v>
      </c>
      <c r="D274" s="4" t="s">
        <v>855</v>
      </c>
      <c r="E274" s="4" t="s">
        <v>325</v>
      </c>
      <c r="F274" s="4" t="s">
        <v>856</v>
      </c>
      <c r="G274" s="4" t="s">
        <v>10</v>
      </c>
      <c r="H274" s="4">
        <v>34</v>
      </c>
      <c r="I274" s="4">
        <v>20</v>
      </c>
      <c r="J274" s="4">
        <v>17</v>
      </c>
      <c r="K274" s="4">
        <v>109</v>
      </c>
    </row>
    <row r="275" spans="1:11" ht="14.25" customHeight="1" x14ac:dyDescent="0.3">
      <c r="A275" s="4">
        <v>274</v>
      </c>
      <c r="B275" s="4" t="s">
        <v>209</v>
      </c>
      <c r="C275" s="4" t="s">
        <v>210</v>
      </c>
      <c r="D275" s="4" t="s">
        <v>857</v>
      </c>
      <c r="E275" s="4" t="s">
        <v>425</v>
      </c>
      <c r="F275" s="4" t="s">
        <v>858</v>
      </c>
      <c r="G275" s="4" t="s">
        <v>10</v>
      </c>
      <c r="H275" s="4">
        <v>36</v>
      </c>
      <c r="I275" s="4">
        <v>22</v>
      </c>
      <c r="J275" s="4">
        <v>18</v>
      </c>
      <c r="K275" s="4">
        <v>115</v>
      </c>
    </row>
    <row r="276" spans="1:11" ht="26.25" customHeight="1" x14ac:dyDescent="0.3">
      <c r="A276" s="4">
        <v>275</v>
      </c>
      <c r="B276" s="4" t="s">
        <v>209</v>
      </c>
      <c r="C276" s="4" t="s">
        <v>210</v>
      </c>
      <c r="D276" s="4" t="s">
        <v>859</v>
      </c>
      <c r="E276" s="4" t="s">
        <v>425</v>
      </c>
      <c r="F276" s="4" t="s">
        <v>860</v>
      </c>
      <c r="G276" s="4" t="s">
        <v>10</v>
      </c>
      <c r="H276" s="4">
        <v>38</v>
      </c>
      <c r="I276" s="4">
        <v>23</v>
      </c>
      <c r="J276" s="4">
        <v>19</v>
      </c>
      <c r="K276" s="4">
        <v>122</v>
      </c>
    </row>
    <row r="277" spans="1:11" ht="14.25" customHeight="1" x14ac:dyDescent="0.3">
      <c r="A277" s="4">
        <v>276</v>
      </c>
      <c r="B277" s="4" t="s">
        <v>209</v>
      </c>
      <c r="C277" s="4" t="s">
        <v>210</v>
      </c>
      <c r="D277" s="4" t="s">
        <v>861</v>
      </c>
      <c r="E277" s="4" t="s">
        <v>425</v>
      </c>
      <c r="F277" s="4" t="s">
        <v>862</v>
      </c>
      <c r="G277" s="4" t="s">
        <v>11</v>
      </c>
      <c r="H277" s="4">
        <v>54</v>
      </c>
      <c r="I277" s="4">
        <v>32</v>
      </c>
      <c r="J277" s="4">
        <v>27</v>
      </c>
      <c r="K277" s="4">
        <v>173</v>
      </c>
    </row>
    <row r="278" spans="1:11" ht="26.25" customHeight="1" x14ac:dyDescent="0.3">
      <c r="A278" s="4">
        <v>277</v>
      </c>
      <c r="B278" s="4" t="s">
        <v>209</v>
      </c>
      <c r="C278" s="4" t="s">
        <v>210</v>
      </c>
      <c r="D278" s="4" t="s">
        <v>863</v>
      </c>
      <c r="E278" s="4" t="s">
        <v>864</v>
      </c>
      <c r="F278" s="4" t="s">
        <v>865</v>
      </c>
      <c r="G278" s="4" t="s">
        <v>11</v>
      </c>
      <c r="H278" s="4">
        <v>48</v>
      </c>
      <c r="I278" s="4">
        <v>29</v>
      </c>
      <c r="J278" s="4">
        <v>24</v>
      </c>
      <c r="K278" s="4">
        <v>154</v>
      </c>
    </row>
    <row r="279" spans="1:11" ht="14.25" customHeight="1" x14ac:dyDescent="0.3">
      <c r="A279" s="4">
        <v>278</v>
      </c>
      <c r="B279" s="4" t="s">
        <v>209</v>
      </c>
      <c r="C279" s="4" t="s">
        <v>210</v>
      </c>
      <c r="D279" s="4" t="s">
        <v>866</v>
      </c>
      <c r="E279" s="4" t="s">
        <v>425</v>
      </c>
      <c r="F279" s="4" t="s">
        <v>867</v>
      </c>
      <c r="G279" s="4" t="s">
        <v>11</v>
      </c>
      <c r="H279" s="4">
        <v>50</v>
      </c>
      <c r="I279" s="4">
        <v>30</v>
      </c>
      <c r="J279" s="4">
        <v>25</v>
      </c>
      <c r="K279" s="4">
        <v>160</v>
      </c>
    </row>
    <row r="280" spans="1:11" ht="14.25" customHeight="1" x14ac:dyDescent="0.3">
      <c r="A280" s="4">
        <v>279</v>
      </c>
      <c r="B280" s="4" t="s">
        <v>209</v>
      </c>
      <c r="C280" s="4" t="s">
        <v>210</v>
      </c>
      <c r="D280" s="4" t="s">
        <v>868</v>
      </c>
      <c r="E280" s="4" t="s">
        <v>345</v>
      </c>
      <c r="F280" s="4" t="s">
        <v>869</v>
      </c>
      <c r="G280" s="4" t="s">
        <v>12</v>
      </c>
      <c r="H280" s="4">
        <v>69</v>
      </c>
      <c r="I280" s="4">
        <v>41</v>
      </c>
      <c r="J280" s="4">
        <v>34</v>
      </c>
      <c r="K280" s="4">
        <v>221</v>
      </c>
    </row>
    <row r="281" spans="1:11" ht="14.25" customHeight="1" x14ac:dyDescent="0.3">
      <c r="A281" s="4">
        <v>280</v>
      </c>
      <c r="B281" s="4" t="s">
        <v>209</v>
      </c>
      <c r="C281" s="4" t="s">
        <v>210</v>
      </c>
      <c r="D281" s="4" t="s">
        <v>870</v>
      </c>
      <c r="E281" s="4" t="s">
        <v>425</v>
      </c>
      <c r="F281" s="4" t="s">
        <v>871</v>
      </c>
      <c r="G281" s="4" t="s">
        <v>12</v>
      </c>
      <c r="H281" s="4">
        <v>71</v>
      </c>
      <c r="I281" s="4">
        <v>43</v>
      </c>
      <c r="J281" s="4">
        <v>36</v>
      </c>
      <c r="K281" s="4">
        <v>227</v>
      </c>
    </row>
    <row r="282" spans="1:11" ht="14.25" customHeight="1" x14ac:dyDescent="0.3">
      <c r="A282" s="4">
        <v>281</v>
      </c>
      <c r="B282" s="4" t="s">
        <v>213</v>
      </c>
      <c r="C282" s="4" t="s">
        <v>214</v>
      </c>
      <c r="D282" s="4" t="s">
        <v>872</v>
      </c>
      <c r="E282" s="4" t="s">
        <v>873</v>
      </c>
      <c r="F282" s="4" t="s">
        <v>874</v>
      </c>
      <c r="G282" s="4" t="s">
        <v>7</v>
      </c>
      <c r="H282" s="4">
        <v>10</v>
      </c>
      <c r="I282" s="4">
        <v>6</v>
      </c>
      <c r="J282" s="4">
        <v>5</v>
      </c>
      <c r="K282" s="4">
        <v>32</v>
      </c>
    </row>
    <row r="283" spans="1:11" ht="14.25" customHeight="1" x14ac:dyDescent="0.3">
      <c r="A283" s="4">
        <v>282</v>
      </c>
      <c r="B283" s="4" t="s">
        <v>213</v>
      </c>
      <c r="C283" s="4" t="s">
        <v>214</v>
      </c>
      <c r="D283" s="4" t="s">
        <v>875</v>
      </c>
      <c r="E283" s="4" t="s">
        <v>425</v>
      </c>
      <c r="F283" s="4" t="s">
        <v>876</v>
      </c>
      <c r="G283" s="4" t="s">
        <v>7</v>
      </c>
      <c r="H283" s="4">
        <v>12</v>
      </c>
      <c r="I283" s="4">
        <v>7</v>
      </c>
      <c r="J283" s="4">
        <v>6</v>
      </c>
      <c r="K283" s="4">
        <v>38</v>
      </c>
    </row>
    <row r="284" spans="1:11" ht="26.25" customHeight="1" x14ac:dyDescent="0.3">
      <c r="A284" s="4">
        <v>283</v>
      </c>
      <c r="B284" s="4" t="s">
        <v>213</v>
      </c>
      <c r="C284" s="4" t="s">
        <v>214</v>
      </c>
      <c r="D284" s="4" t="s">
        <v>877</v>
      </c>
      <c r="E284" s="4" t="s">
        <v>425</v>
      </c>
      <c r="F284" s="4" t="s">
        <v>878</v>
      </c>
      <c r="G284" s="4" t="s">
        <v>7</v>
      </c>
      <c r="H284" s="4">
        <v>14</v>
      </c>
      <c r="I284" s="4">
        <v>8</v>
      </c>
      <c r="J284" s="4">
        <v>7</v>
      </c>
      <c r="K284" s="4">
        <v>45</v>
      </c>
    </row>
    <row r="285" spans="1:11" ht="14.25" customHeight="1" x14ac:dyDescent="0.3">
      <c r="A285" s="4">
        <v>284</v>
      </c>
      <c r="B285" s="4" t="s">
        <v>213</v>
      </c>
      <c r="C285" s="4" t="s">
        <v>214</v>
      </c>
      <c r="D285" s="4" t="s">
        <v>879</v>
      </c>
      <c r="E285" s="4" t="s">
        <v>880</v>
      </c>
      <c r="F285" s="4" t="s">
        <v>881</v>
      </c>
      <c r="G285" s="4" t="s">
        <v>7</v>
      </c>
      <c r="H285" s="4">
        <v>16</v>
      </c>
      <c r="I285" s="4">
        <v>10</v>
      </c>
      <c r="J285" s="4">
        <v>8</v>
      </c>
      <c r="K285" s="4">
        <v>51</v>
      </c>
    </row>
    <row r="286" spans="1:11" ht="14.25" customHeight="1" x14ac:dyDescent="0.3">
      <c r="A286" s="4">
        <v>285</v>
      </c>
      <c r="B286" s="4" t="s">
        <v>213</v>
      </c>
      <c r="C286" s="4" t="s">
        <v>214</v>
      </c>
      <c r="D286" s="4" t="s">
        <v>882</v>
      </c>
      <c r="E286" s="4" t="s">
        <v>425</v>
      </c>
      <c r="F286" s="4" t="s">
        <v>883</v>
      </c>
      <c r="G286" s="4" t="s">
        <v>8</v>
      </c>
      <c r="H286" s="4">
        <v>16</v>
      </c>
      <c r="I286" s="4">
        <v>10</v>
      </c>
      <c r="J286" s="4">
        <v>8</v>
      </c>
      <c r="K286" s="4">
        <v>51</v>
      </c>
    </row>
    <row r="287" spans="1:11" ht="14.25" customHeight="1" x14ac:dyDescent="0.3">
      <c r="A287" s="4">
        <v>286</v>
      </c>
      <c r="B287" s="4" t="s">
        <v>213</v>
      </c>
      <c r="C287" s="4" t="s">
        <v>214</v>
      </c>
      <c r="D287" s="4" t="s">
        <v>884</v>
      </c>
      <c r="E287" s="4" t="s">
        <v>425</v>
      </c>
      <c r="F287" s="4" t="s">
        <v>885</v>
      </c>
      <c r="G287" s="4" t="s">
        <v>8</v>
      </c>
      <c r="H287" s="4">
        <v>18</v>
      </c>
      <c r="I287" s="4">
        <v>11</v>
      </c>
      <c r="J287" s="4">
        <v>9</v>
      </c>
      <c r="K287" s="4">
        <v>58</v>
      </c>
    </row>
    <row r="288" spans="1:11" ht="14.25" customHeight="1" x14ac:dyDescent="0.3">
      <c r="A288" s="4">
        <v>287</v>
      </c>
      <c r="B288" s="4" t="s">
        <v>213</v>
      </c>
      <c r="C288" s="4" t="s">
        <v>214</v>
      </c>
      <c r="D288" s="4" t="s">
        <v>886</v>
      </c>
      <c r="E288" s="4" t="s">
        <v>425</v>
      </c>
      <c r="F288" s="4" t="s">
        <v>887</v>
      </c>
      <c r="G288" s="4" t="s">
        <v>8</v>
      </c>
      <c r="H288" s="4">
        <v>20</v>
      </c>
      <c r="I288" s="4">
        <v>12</v>
      </c>
      <c r="J288" s="4">
        <v>10</v>
      </c>
      <c r="K288" s="4">
        <v>64</v>
      </c>
    </row>
    <row r="289" spans="1:11" ht="14.25" customHeight="1" x14ac:dyDescent="0.3">
      <c r="A289" s="4">
        <v>288</v>
      </c>
      <c r="B289" s="4" t="s">
        <v>213</v>
      </c>
      <c r="C289" s="4" t="s">
        <v>214</v>
      </c>
      <c r="D289" s="4" t="s">
        <v>888</v>
      </c>
      <c r="E289" s="4" t="s">
        <v>889</v>
      </c>
      <c r="F289" s="4" t="s">
        <v>890</v>
      </c>
      <c r="G289" s="4" t="s">
        <v>8</v>
      </c>
      <c r="H289" s="4">
        <v>22</v>
      </c>
      <c r="I289" s="4">
        <v>13</v>
      </c>
      <c r="J289" s="4">
        <v>11</v>
      </c>
      <c r="K289" s="4">
        <v>70</v>
      </c>
    </row>
    <row r="290" spans="1:11" ht="14.25" customHeight="1" x14ac:dyDescent="0.3">
      <c r="A290" s="4">
        <v>289</v>
      </c>
      <c r="B290" s="4" t="s">
        <v>213</v>
      </c>
      <c r="C290" s="4" t="s">
        <v>214</v>
      </c>
      <c r="D290" s="4" t="s">
        <v>891</v>
      </c>
      <c r="E290" s="4" t="s">
        <v>892</v>
      </c>
      <c r="F290" s="4" t="s">
        <v>893</v>
      </c>
      <c r="G290" s="4" t="s">
        <v>9</v>
      </c>
      <c r="H290" s="4">
        <v>24</v>
      </c>
      <c r="I290" s="4">
        <v>14</v>
      </c>
      <c r="J290" s="4">
        <v>12</v>
      </c>
      <c r="K290" s="4">
        <v>77</v>
      </c>
    </row>
    <row r="291" spans="1:11" ht="14.25" customHeight="1" x14ac:dyDescent="0.3">
      <c r="A291" s="4">
        <v>290</v>
      </c>
      <c r="B291" s="4" t="s">
        <v>213</v>
      </c>
      <c r="C291" s="4" t="s">
        <v>214</v>
      </c>
      <c r="D291" s="4" t="s">
        <v>894</v>
      </c>
      <c r="E291" s="4" t="s">
        <v>425</v>
      </c>
      <c r="F291" s="4" t="s">
        <v>895</v>
      </c>
      <c r="G291" s="4" t="s">
        <v>9</v>
      </c>
      <c r="H291" s="4">
        <v>26</v>
      </c>
      <c r="I291" s="4">
        <v>16</v>
      </c>
      <c r="J291" s="4">
        <v>13</v>
      </c>
      <c r="K291" s="4">
        <v>83</v>
      </c>
    </row>
    <row r="292" spans="1:11" ht="26.25" customHeight="1" x14ac:dyDescent="0.3">
      <c r="A292" s="4">
        <v>291</v>
      </c>
      <c r="B292" s="4" t="s">
        <v>213</v>
      </c>
      <c r="C292" s="4" t="s">
        <v>214</v>
      </c>
      <c r="D292" s="4" t="s">
        <v>896</v>
      </c>
      <c r="E292" s="4" t="s">
        <v>425</v>
      </c>
      <c r="F292" s="4" t="s">
        <v>897</v>
      </c>
      <c r="G292" s="4" t="s">
        <v>9</v>
      </c>
      <c r="H292" s="4">
        <v>28</v>
      </c>
      <c r="I292" s="4">
        <v>17</v>
      </c>
      <c r="J292" s="4">
        <v>14</v>
      </c>
      <c r="K292" s="4">
        <v>90</v>
      </c>
    </row>
    <row r="293" spans="1:11" ht="26.25" customHeight="1" x14ac:dyDescent="0.3">
      <c r="A293" s="4">
        <v>292</v>
      </c>
      <c r="B293" s="4" t="s">
        <v>213</v>
      </c>
      <c r="C293" s="4" t="s">
        <v>214</v>
      </c>
      <c r="D293" s="4" t="s">
        <v>898</v>
      </c>
      <c r="E293" s="4" t="s">
        <v>425</v>
      </c>
      <c r="F293" s="4" t="s">
        <v>899</v>
      </c>
      <c r="G293" s="4" t="s">
        <v>9</v>
      </c>
      <c r="H293" s="4">
        <v>30</v>
      </c>
      <c r="I293" s="4">
        <v>18</v>
      </c>
      <c r="J293" s="4">
        <v>15</v>
      </c>
      <c r="K293" s="4">
        <v>96</v>
      </c>
    </row>
    <row r="294" spans="1:11" ht="14.25" customHeight="1" x14ac:dyDescent="0.3">
      <c r="A294" s="4">
        <v>293</v>
      </c>
      <c r="B294" s="4" t="s">
        <v>213</v>
      </c>
      <c r="C294" s="4" t="s">
        <v>214</v>
      </c>
      <c r="D294" s="4" t="s">
        <v>900</v>
      </c>
      <c r="E294" s="4" t="s">
        <v>576</v>
      </c>
      <c r="F294" s="4" t="s">
        <v>901</v>
      </c>
      <c r="G294" s="4" t="s">
        <v>10</v>
      </c>
      <c r="H294" s="4">
        <v>34</v>
      </c>
      <c r="I294" s="4">
        <v>20</v>
      </c>
      <c r="J294" s="4">
        <v>17</v>
      </c>
      <c r="K294" s="4">
        <v>109</v>
      </c>
    </row>
    <row r="295" spans="1:11" ht="14.25" customHeight="1" x14ac:dyDescent="0.3">
      <c r="A295" s="4">
        <v>294</v>
      </c>
      <c r="B295" s="4" t="s">
        <v>213</v>
      </c>
      <c r="C295" s="4" t="s">
        <v>214</v>
      </c>
      <c r="D295" s="4" t="s">
        <v>902</v>
      </c>
      <c r="E295" s="4" t="s">
        <v>425</v>
      </c>
      <c r="F295" s="4" t="s">
        <v>903</v>
      </c>
      <c r="G295" s="4" t="s">
        <v>10</v>
      </c>
      <c r="H295" s="4">
        <v>36</v>
      </c>
      <c r="I295" s="4">
        <v>22</v>
      </c>
      <c r="J295" s="4">
        <v>18</v>
      </c>
      <c r="K295" s="4">
        <v>115</v>
      </c>
    </row>
    <row r="296" spans="1:11" ht="14.25" customHeight="1" x14ac:dyDescent="0.3">
      <c r="A296" s="4">
        <v>295</v>
      </c>
      <c r="B296" s="4" t="s">
        <v>213</v>
      </c>
      <c r="C296" s="4" t="s">
        <v>214</v>
      </c>
      <c r="D296" s="4" t="s">
        <v>904</v>
      </c>
      <c r="E296" s="4" t="s">
        <v>425</v>
      </c>
      <c r="F296" s="4" t="s">
        <v>905</v>
      </c>
      <c r="G296" s="4" t="s">
        <v>10</v>
      </c>
      <c r="H296" s="4">
        <v>38</v>
      </c>
      <c r="I296" s="4">
        <v>23</v>
      </c>
      <c r="J296" s="4">
        <v>19</v>
      </c>
      <c r="K296" s="4">
        <v>122</v>
      </c>
    </row>
    <row r="297" spans="1:11" ht="14.25" customHeight="1" x14ac:dyDescent="0.3">
      <c r="A297" s="4">
        <v>296</v>
      </c>
      <c r="B297" s="4" t="s">
        <v>213</v>
      </c>
      <c r="C297" s="4" t="s">
        <v>214</v>
      </c>
      <c r="D297" s="4" t="s">
        <v>906</v>
      </c>
      <c r="E297" s="4" t="s">
        <v>425</v>
      </c>
      <c r="F297" s="4" t="s">
        <v>907</v>
      </c>
      <c r="G297" s="4" t="s">
        <v>11</v>
      </c>
      <c r="H297" s="4">
        <v>54</v>
      </c>
      <c r="I297" s="4">
        <v>32</v>
      </c>
      <c r="J297" s="4">
        <v>27</v>
      </c>
      <c r="K297" s="4">
        <v>173</v>
      </c>
    </row>
    <row r="298" spans="1:11" ht="26.25" customHeight="1" x14ac:dyDescent="0.3">
      <c r="A298" s="4">
        <v>297</v>
      </c>
      <c r="B298" s="4" t="s">
        <v>213</v>
      </c>
      <c r="C298" s="4" t="s">
        <v>214</v>
      </c>
      <c r="D298" s="4" t="s">
        <v>908</v>
      </c>
      <c r="E298" s="4" t="s">
        <v>425</v>
      </c>
      <c r="F298" s="4" t="s">
        <v>909</v>
      </c>
      <c r="G298" s="4" t="s">
        <v>11</v>
      </c>
      <c r="H298" s="4">
        <v>48</v>
      </c>
      <c r="I298" s="4">
        <v>29</v>
      </c>
      <c r="J298" s="4">
        <v>24</v>
      </c>
      <c r="K298" s="4">
        <v>154</v>
      </c>
    </row>
    <row r="299" spans="1:11" ht="26.25" customHeight="1" x14ac:dyDescent="0.3">
      <c r="A299" s="4">
        <v>298</v>
      </c>
      <c r="B299" s="4" t="s">
        <v>213</v>
      </c>
      <c r="C299" s="4" t="s">
        <v>214</v>
      </c>
      <c r="D299" s="4" t="s">
        <v>910</v>
      </c>
      <c r="E299" s="4" t="s">
        <v>911</v>
      </c>
      <c r="F299" s="4" t="s">
        <v>912</v>
      </c>
      <c r="G299" s="4" t="s">
        <v>11</v>
      </c>
      <c r="H299" s="4">
        <v>50</v>
      </c>
      <c r="I299" s="4">
        <v>30</v>
      </c>
      <c r="J299" s="4">
        <v>25</v>
      </c>
      <c r="K299" s="4">
        <v>160</v>
      </c>
    </row>
    <row r="300" spans="1:11" ht="26.25" customHeight="1" x14ac:dyDescent="0.3">
      <c r="A300" s="4">
        <v>299</v>
      </c>
      <c r="B300" s="4" t="s">
        <v>213</v>
      </c>
      <c r="C300" s="4" t="s">
        <v>214</v>
      </c>
      <c r="D300" s="4" t="s">
        <v>913</v>
      </c>
      <c r="E300" s="4" t="s">
        <v>425</v>
      </c>
      <c r="F300" s="4" t="s">
        <v>914</v>
      </c>
      <c r="G300" s="4" t="s">
        <v>12</v>
      </c>
      <c r="H300" s="4">
        <v>69</v>
      </c>
      <c r="I300" s="4">
        <v>41</v>
      </c>
      <c r="J300" s="4">
        <v>34</v>
      </c>
      <c r="K300" s="4">
        <v>221</v>
      </c>
    </row>
    <row r="301" spans="1:11" ht="26.25" customHeight="1" x14ac:dyDescent="0.3">
      <c r="A301" s="4">
        <v>300</v>
      </c>
      <c r="B301" s="4" t="s">
        <v>213</v>
      </c>
      <c r="C301" s="4" t="s">
        <v>214</v>
      </c>
      <c r="D301" s="4" t="s">
        <v>915</v>
      </c>
      <c r="E301" s="4" t="s">
        <v>425</v>
      </c>
      <c r="F301" s="4" t="s">
        <v>916</v>
      </c>
      <c r="G301" s="4" t="s">
        <v>12</v>
      </c>
      <c r="H301" s="4">
        <v>71</v>
      </c>
      <c r="I301" s="4">
        <v>43</v>
      </c>
      <c r="J301" s="4">
        <v>36</v>
      </c>
      <c r="K301" s="4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5" customWidth="1"/>
    <col min="3" max="3" width="20" customWidth="1"/>
    <col min="4" max="4" width="25" customWidth="1"/>
    <col min="5" max="5" width="30" bestFit="1" customWidth="1"/>
  </cols>
  <sheetData>
    <row r="1" spans="1:5" ht="30" customHeight="1" x14ac:dyDescent="0.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</row>
    <row r="2" spans="1:5" ht="14.25" customHeight="1" x14ac:dyDescent="0.3">
      <c r="A2" s="39">
        <v>0</v>
      </c>
      <c r="B2" s="39" t="s">
        <v>5</v>
      </c>
      <c r="C2" s="39">
        <v>1</v>
      </c>
      <c r="D2" s="39">
        <v>1</v>
      </c>
      <c r="E2" s="39" t="s">
        <v>6</v>
      </c>
    </row>
    <row r="3" spans="1:5" ht="14.25" customHeight="1" x14ac:dyDescent="0.3">
      <c r="A3" s="39">
        <v>1</v>
      </c>
      <c r="B3" s="39" t="s">
        <v>7</v>
      </c>
      <c r="C3" s="39">
        <v>5</v>
      </c>
      <c r="D3" s="39">
        <v>6</v>
      </c>
      <c r="E3" s="39">
        <v>1</v>
      </c>
    </row>
    <row r="4" spans="1:5" ht="14.25" customHeight="1" x14ac:dyDescent="0.3">
      <c r="A4" s="39">
        <v>2</v>
      </c>
      <c r="B4" s="39" t="s">
        <v>8</v>
      </c>
      <c r="C4" s="39">
        <v>10</v>
      </c>
      <c r="D4" s="39">
        <v>16</v>
      </c>
      <c r="E4" s="39">
        <v>6</v>
      </c>
    </row>
    <row r="5" spans="1:5" ht="14.25" customHeight="1" x14ac:dyDescent="0.3">
      <c r="A5" s="39">
        <v>3</v>
      </c>
      <c r="B5" s="39" t="s">
        <v>9</v>
      </c>
      <c r="C5" s="39">
        <v>15</v>
      </c>
      <c r="D5" s="39">
        <v>31</v>
      </c>
      <c r="E5" s="39">
        <v>18</v>
      </c>
    </row>
    <row r="6" spans="1:5" ht="14.25" customHeight="1" x14ac:dyDescent="0.3">
      <c r="A6" s="39">
        <v>4</v>
      </c>
      <c r="B6" s="39" t="s">
        <v>10</v>
      </c>
      <c r="C6" s="39">
        <v>25</v>
      </c>
      <c r="D6" s="39">
        <v>56</v>
      </c>
      <c r="E6" s="39">
        <v>50</v>
      </c>
    </row>
    <row r="7" spans="1:5" ht="14.25" customHeight="1" x14ac:dyDescent="0.3">
      <c r="A7" s="39">
        <v>5</v>
      </c>
      <c r="B7" s="39" t="s">
        <v>11</v>
      </c>
      <c r="C7" s="39">
        <v>35</v>
      </c>
      <c r="D7" s="39">
        <v>91</v>
      </c>
      <c r="E7" s="39">
        <v>150</v>
      </c>
    </row>
    <row r="8" spans="1:5" ht="14.25" customHeight="1" x14ac:dyDescent="0.3">
      <c r="A8" s="39">
        <v>6</v>
      </c>
      <c r="B8" s="39" t="s">
        <v>12</v>
      </c>
      <c r="C8" s="39">
        <v>50</v>
      </c>
      <c r="D8" s="39">
        <v>141</v>
      </c>
      <c r="E8" s="39">
        <v>500</v>
      </c>
    </row>
    <row r="9" spans="1:5" ht="14.25" customHeight="1" x14ac:dyDescent="0.3">
      <c r="A9" s="39">
        <v>7</v>
      </c>
      <c r="B9" s="39" t="s">
        <v>13</v>
      </c>
      <c r="C9" s="39" t="s">
        <v>14</v>
      </c>
      <c r="D9" s="39" t="s">
        <v>15</v>
      </c>
      <c r="E9" s="39" t="s">
        <v>16</v>
      </c>
    </row>
    <row r="10" spans="1:5" x14ac:dyDescent="0.3">
      <c r="A10" s="40"/>
      <c r="B10" s="40"/>
      <c r="C10" s="40"/>
      <c r="D10" s="40"/>
      <c r="E10" s="40"/>
    </row>
    <row r="11" spans="1:5" ht="14.25" customHeight="1" x14ac:dyDescent="0.3">
      <c r="A11" s="40" t="s">
        <v>17</v>
      </c>
      <c r="B11" s="40"/>
      <c r="C11" s="40"/>
      <c r="D11" s="40"/>
      <c r="E11" s="40"/>
    </row>
    <row r="12" spans="1:5" ht="14.25" customHeight="1" x14ac:dyDescent="0.3">
      <c r="A12" s="41" t="s">
        <v>18</v>
      </c>
      <c r="B12" s="41" t="s">
        <v>19</v>
      </c>
      <c r="C12" s="41"/>
      <c r="D12" s="41"/>
      <c r="E12" s="41"/>
    </row>
    <row r="13" spans="1:5" ht="14.25" customHeight="1" x14ac:dyDescent="0.3">
      <c r="A13" s="41" t="s">
        <v>20</v>
      </c>
      <c r="B13" s="41" t="s">
        <v>21</v>
      </c>
      <c r="C13" s="41"/>
      <c r="D13" s="41"/>
      <c r="E13" s="41"/>
    </row>
    <row r="14" spans="1:5" ht="14.25" customHeight="1" x14ac:dyDescent="0.3">
      <c r="A14" s="41" t="s">
        <v>22</v>
      </c>
      <c r="B14" s="41" t="s">
        <v>23</v>
      </c>
      <c r="C14" s="41"/>
      <c r="D14" s="41"/>
      <c r="E14" s="41"/>
    </row>
    <row r="15" spans="1:5" ht="96" x14ac:dyDescent="0.3">
      <c r="A15" s="41" t="s">
        <v>24</v>
      </c>
      <c r="B15" s="41" t="s">
        <v>25</v>
      </c>
      <c r="C15" s="41"/>
      <c r="D15" s="41"/>
      <c r="E15" s="4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801"/>
  <sheetViews>
    <sheetView zoomScaleNormal="100" workbookViewId="0">
      <pane ySplit="1" topLeftCell="A2" activePane="bottomLeft" state="frozen"/>
      <selection pane="bottomLeft" activeCell="F2" sqref="F2"/>
    </sheetView>
  </sheetViews>
  <sheetFormatPr defaultColWidth="8.6640625" defaultRowHeight="14.4" x14ac:dyDescent="0.3"/>
  <cols>
    <col min="1" max="1" width="4.33203125" bestFit="1" customWidth="1"/>
    <col min="2" max="2" width="16.6640625" bestFit="1" customWidth="1"/>
    <col min="3" max="3" width="10.6640625" bestFit="1" customWidth="1"/>
    <col min="4" max="4" width="31.44140625" bestFit="1" customWidth="1"/>
    <col min="5" max="5" width="8.44140625" bestFit="1" customWidth="1"/>
    <col min="6" max="6" width="24.77734375" bestFit="1" customWidth="1"/>
    <col min="7" max="9" width="7.6640625" bestFit="1" customWidth="1"/>
    <col min="10" max="10" width="25.109375" bestFit="1" customWidth="1"/>
    <col min="11" max="11" width="15.88671875" bestFit="1" customWidth="1"/>
    <col min="12" max="12" width="23.33203125" bestFit="1" customWidth="1"/>
  </cols>
  <sheetData>
    <row r="1" spans="1:12" ht="30" customHeight="1" x14ac:dyDescent="0.3">
      <c r="A1" s="3" t="s">
        <v>917</v>
      </c>
      <c r="B1" s="3" t="s">
        <v>153</v>
      </c>
      <c r="C1" s="3" t="s">
        <v>154</v>
      </c>
      <c r="D1" s="3" t="s">
        <v>218</v>
      </c>
      <c r="E1" s="3" t="s">
        <v>1</v>
      </c>
      <c r="F1" s="3" t="s">
        <v>918</v>
      </c>
      <c r="G1" s="3" t="s">
        <v>919</v>
      </c>
      <c r="H1" s="3" t="s">
        <v>920</v>
      </c>
      <c r="I1" s="3" t="s">
        <v>921</v>
      </c>
      <c r="J1" s="3" t="s">
        <v>922</v>
      </c>
      <c r="K1" s="3" t="s">
        <v>923</v>
      </c>
      <c r="L1" s="3" t="s">
        <v>924</v>
      </c>
    </row>
    <row r="2" spans="1:12" ht="14.25" customHeight="1" x14ac:dyDescent="0.3">
      <c r="A2" s="8">
        <v>1</v>
      </c>
      <c r="B2" s="8" t="str">
        <f>'Criaturas - Base de Dados'!B2</f>
        <v>Ordem Celestial</v>
      </c>
      <c r="C2" s="8" t="str">
        <f>'Criaturas - Base de Dados'!C2</f>
        <v>Luz</v>
      </c>
      <c r="D2" s="8" t="str">
        <f>'Criaturas - Base de Dados'!D2</f>
        <v>Fênix Solar</v>
      </c>
      <c r="E2" s="8" t="str">
        <f>'Sistema de Raridade e Evolução'!B2</f>
        <v>Default</v>
      </c>
      <c r="F2" s="9" t="e">
        <f>ROUND(('Criaturas - Base de Dados'!H2*'Sistema de Raridade e Evolução'!E2)*1000,2)</f>
        <v>#VALUE!</v>
      </c>
      <c r="G2" s="8" t="e">
        <f>ROUND('Criaturas - Base de Dados'!I2*'Sistema de Raridade e Evolução'!E2,0)</f>
        <v>#VALUE!</v>
      </c>
      <c r="H2" s="8" t="e">
        <f>ROUND('Criaturas - Base de Dados'!J2*'Sistema de Raridade e Evolução'!E2,0)</f>
        <v>#VALUE!</v>
      </c>
      <c r="I2" s="8" t="e">
        <f>ROUND('Criaturas - Base de Dados'!K2*'Sistema de Raridade e Evolução'!E2,0)</f>
        <v>#VALUE!</v>
      </c>
      <c r="J2" s="8">
        <f>'Sistema de Raridade e Evolução'!D2</f>
        <v>1</v>
      </c>
      <c r="K2" s="8" t="s">
        <v>8</v>
      </c>
      <c r="L2" s="9" t="e">
        <f t="shared" ref="L2:L65" si="0">ROUND(F2*(2.5/1.05),2)</f>
        <v>#VALUE!</v>
      </c>
    </row>
    <row r="3" spans="1:12" ht="14.25" hidden="1" customHeight="1" x14ac:dyDescent="0.3">
      <c r="A3" s="8">
        <v>2</v>
      </c>
      <c r="B3" s="8" t="str">
        <f>'Criaturas - Base de Dados'!B2</f>
        <v>Ordem Celestial</v>
      </c>
      <c r="C3" s="8" t="str">
        <f>'Criaturas - Base de Dados'!C2</f>
        <v>Luz</v>
      </c>
      <c r="D3" s="8" t="str">
        <f>'Criaturas - Base de Dados'!D2</f>
        <v>Fênix Solar</v>
      </c>
      <c r="E3" s="8" t="str">
        <f>'Sistema de Raridade e Evolução'!B3</f>
        <v>Bronze</v>
      </c>
      <c r="F3" s="9">
        <f>ROUND(('Criaturas - Base de Dados'!H2*'Sistema de Raridade e Evolução'!E3)*1000,2)</f>
        <v>10000</v>
      </c>
      <c r="G3" s="8">
        <f>ROUND('Criaturas - Base de Dados'!I2*'Sistema de Raridade e Evolução'!E3,0)</f>
        <v>6</v>
      </c>
      <c r="H3" s="8">
        <f>ROUND('Criaturas - Base de Dados'!J2*'Sistema de Raridade e Evolução'!E3,0)</f>
        <v>5</v>
      </c>
      <c r="I3" s="8">
        <f>ROUND('Criaturas - Base de Dados'!K2*'Sistema de Raridade e Evolução'!E3,0)</f>
        <v>32</v>
      </c>
      <c r="J3" s="8">
        <f>'Sistema de Raridade e Evolução'!D3</f>
        <v>6</v>
      </c>
      <c r="K3" s="8" t="s">
        <v>9</v>
      </c>
      <c r="L3" s="9">
        <f t="shared" si="0"/>
        <v>23809.52</v>
      </c>
    </row>
    <row r="4" spans="1:12" ht="14.25" hidden="1" customHeight="1" x14ac:dyDescent="0.3">
      <c r="A4" s="8">
        <v>3</v>
      </c>
      <c r="B4" s="8" t="str">
        <f>'Criaturas - Base de Dados'!B2</f>
        <v>Ordem Celestial</v>
      </c>
      <c r="C4" s="8" t="str">
        <f>'Criaturas - Base de Dados'!C2</f>
        <v>Luz</v>
      </c>
      <c r="D4" s="8" t="str">
        <f>'Criaturas - Base de Dados'!D2</f>
        <v>Fênix Solar</v>
      </c>
      <c r="E4" s="8" t="str">
        <f>'Sistema de Raridade e Evolução'!B4</f>
        <v>Prata</v>
      </c>
      <c r="F4" s="9">
        <f>ROUND(('Criaturas - Base de Dados'!H2*'Sistema de Raridade e Evolução'!E4)*1000,2)</f>
        <v>60000</v>
      </c>
      <c r="G4" s="8">
        <f>ROUND('Criaturas - Base de Dados'!I2*'Sistema de Raridade e Evolução'!E4,0)</f>
        <v>36</v>
      </c>
      <c r="H4" s="8">
        <f>ROUND('Criaturas - Base de Dados'!J2*'Sistema de Raridade e Evolução'!E4,0)</f>
        <v>30</v>
      </c>
      <c r="I4" s="8">
        <f>ROUND('Criaturas - Base de Dados'!K2*'Sistema de Raridade e Evolução'!E4,0)</f>
        <v>192</v>
      </c>
      <c r="J4" s="8">
        <f>'Sistema de Raridade e Evolução'!D4</f>
        <v>16</v>
      </c>
      <c r="K4" s="8" t="s">
        <v>10</v>
      </c>
      <c r="L4" s="9">
        <f t="shared" si="0"/>
        <v>142857.14000000001</v>
      </c>
    </row>
    <row r="5" spans="1:12" ht="14.25" hidden="1" customHeight="1" x14ac:dyDescent="0.3">
      <c r="A5" s="8">
        <v>4</v>
      </c>
      <c r="B5" s="8" t="str">
        <f>'Criaturas - Base de Dados'!B2</f>
        <v>Ordem Celestial</v>
      </c>
      <c r="C5" s="8" t="str">
        <f>'Criaturas - Base de Dados'!C2</f>
        <v>Luz</v>
      </c>
      <c r="D5" s="8" t="str">
        <f>'Criaturas - Base de Dados'!D2</f>
        <v>Fênix Solar</v>
      </c>
      <c r="E5" s="8" t="str">
        <f>'Sistema de Raridade e Evolução'!B5</f>
        <v>Ouro</v>
      </c>
      <c r="F5" s="9">
        <f>ROUND(('Criaturas - Base de Dados'!H2*'Sistema de Raridade e Evolução'!E5)*1000,2)</f>
        <v>180000</v>
      </c>
      <c r="G5" s="8">
        <f>ROUND('Criaturas - Base de Dados'!I2*'Sistema de Raridade e Evolução'!E5,0)</f>
        <v>108</v>
      </c>
      <c r="H5" s="8">
        <f>ROUND('Criaturas - Base de Dados'!J2*'Sistema de Raridade e Evolução'!E5,0)</f>
        <v>90</v>
      </c>
      <c r="I5" s="8">
        <f>ROUND('Criaturas - Base de Dados'!K2*'Sistema de Raridade e Evolução'!E5,0)</f>
        <v>576</v>
      </c>
      <c r="J5" s="8">
        <f>'Sistema de Raridade e Evolução'!D5</f>
        <v>31</v>
      </c>
      <c r="K5" s="8" t="s">
        <v>11</v>
      </c>
      <c r="L5" s="9">
        <f t="shared" si="0"/>
        <v>428571.43</v>
      </c>
    </row>
    <row r="6" spans="1:12" ht="14.25" hidden="1" customHeight="1" x14ac:dyDescent="0.3">
      <c r="A6" s="8">
        <v>5</v>
      </c>
      <c r="B6" s="8" t="str">
        <f>'Criaturas - Base de Dados'!B2</f>
        <v>Ordem Celestial</v>
      </c>
      <c r="C6" s="8" t="str">
        <f>'Criaturas - Base de Dados'!C2</f>
        <v>Luz</v>
      </c>
      <c r="D6" s="8" t="str">
        <f>'Criaturas - Base de Dados'!D2</f>
        <v>Fênix Solar</v>
      </c>
      <c r="E6" s="8" t="str">
        <f>'Sistema de Raridade e Evolução'!B6</f>
        <v>Platina</v>
      </c>
      <c r="F6" s="9">
        <f>ROUND(('Criaturas - Base de Dados'!H2*'Sistema de Raridade e Evolução'!E6)*1000,2)</f>
        <v>500000</v>
      </c>
      <c r="G6" s="8">
        <f>ROUND('Criaturas - Base de Dados'!I2*'Sistema de Raridade e Evolução'!E6,0)</f>
        <v>300</v>
      </c>
      <c r="H6" s="8">
        <f>ROUND('Criaturas - Base de Dados'!J2*'Sistema de Raridade e Evolução'!E6,0)</f>
        <v>250</v>
      </c>
      <c r="I6" s="8">
        <f>ROUND('Criaturas - Base de Dados'!K2*'Sistema de Raridade e Evolução'!E6,0)</f>
        <v>1600</v>
      </c>
      <c r="J6" s="8">
        <f>'Sistema de Raridade e Evolução'!D6</f>
        <v>56</v>
      </c>
      <c r="K6" s="8" t="s">
        <v>12</v>
      </c>
      <c r="L6" s="9">
        <f t="shared" si="0"/>
        <v>1190476.19</v>
      </c>
    </row>
    <row r="7" spans="1:12" ht="14.25" hidden="1" customHeight="1" x14ac:dyDescent="0.3">
      <c r="A7" s="8">
        <v>6</v>
      </c>
      <c r="B7" s="8" t="str">
        <f>'Criaturas - Base de Dados'!B2</f>
        <v>Ordem Celestial</v>
      </c>
      <c r="C7" s="8" t="str">
        <f>'Criaturas - Base de Dados'!C2</f>
        <v>Luz</v>
      </c>
      <c r="D7" s="8" t="str">
        <f>'Criaturas - Base de Dados'!D2</f>
        <v>Fênix Solar</v>
      </c>
      <c r="E7" s="8" t="str">
        <f>'Sistema de Raridade e Evolução'!B7</f>
        <v>Lendário</v>
      </c>
      <c r="F7" s="9">
        <f>ROUND(('Criaturas - Base de Dados'!H2*'Sistema de Raridade e Evolução'!E7)*1000,2)</f>
        <v>1500000</v>
      </c>
      <c r="G7" s="8">
        <f>ROUND('Criaturas - Base de Dados'!I2*'Sistema de Raridade e Evolução'!E7,0)</f>
        <v>900</v>
      </c>
      <c r="H7" s="8">
        <f>ROUND('Criaturas - Base de Dados'!J2*'Sistema de Raridade e Evolução'!E7,0)</f>
        <v>750</v>
      </c>
      <c r="I7" s="8">
        <f>ROUND('Criaturas - Base de Dados'!K2*'Sistema de Raridade e Evolução'!E7,0)</f>
        <v>4800</v>
      </c>
      <c r="J7" s="8">
        <f>'Sistema de Raridade e Evolução'!D7</f>
        <v>91</v>
      </c>
      <c r="K7" s="8" t="s">
        <v>925</v>
      </c>
      <c r="L7" s="9">
        <f t="shared" si="0"/>
        <v>3571428.57</v>
      </c>
    </row>
    <row r="8" spans="1:12" ht="14.25" customHeight="1" x14ac:dyDescent="0.3">
      <c r="A8" s="8">
        <v>7</v>
      </c>
      <c r="B8" s="8" t="str">
        <f>'Criaturas - Base de Dados'!B3</f>
        <v>Ordem Celestial</v>
      </c>
      <c r="C8" s="8" t="str">
        <f>'Criaturas - Base de Dados'!C3</f>
        <v>Luz</v>
      </c>
      <c r="D8" s="8" t="str">
        <f>'Criaturas - Base de Dados'!D3</f>
        <v>Grifo Guardião</v>
      </c>
      <c r="E8" s="8" t="str">
        <f>'Sistema de Raridade e Evolução'!B2</f>
        <v>Default</v>
      </c>
      <c r="F8" s="9" t="e">
        <f>ROUND(('Criaturas - Base de Dados'!H3*'Sistema de Raridade e Evolução'!E2)*1000,2)</f>
        <v>#VALUE!</v>
      </c>
      <c r="G8" s="8" t="e">
        <f>ROUND('Criaturas - Base de Dados'!I3*'Sistema de Raridade e Evolução'!E2,0)</f>
        <v>#VALUE!</v>
      </c>
      <c r="H8" s="8" t="e">
        <f>ROUND('Criaturas - Base de Dados'!J3*'Sistema de Raridade e Evolução'!E2,0)</f>
        <v>#VALUE!</v>
      </c>
      <c r="I8" s="8" t="e">
        <f>ROUND('Criaturas - Base de Dados'!K3*'Sistema de Raridade e Evolução'!E2,0)</f>
        <v>#VALUE!</v>
      </c>
      <c r="J8" s="8">
        <f>'Sistema de Raridade e Evolução'!D2</f>
        <v>1</v>
      </c>
      <c r="K8" s="8" t="s">
        <v>8</v>
      </c>
      <c r="L8" s="9" t="e">
        <f t="shared" si="0"/>
        <v>#VALUE!</v>
      </c>
    </row>
    <row r="9" spans="1:12" ht="14.25" hidden="1" customHeight="1" x14ac:dyDescent="0.3">
      <c r="A9" s="8">
        <v>8</v>
      </c>
      <c r="B9" s="8" t="str">
        <f>'Criaturas - Base de Dados'!B3</f>
        <v>Ordem Celestial</v>
      </c>
      <c r="C9" s="8" t="str">
        <f>'Criaturas - Base de Dados'!C3</f>
        <v>Luz</v>
      </c>
      <c r="D9" s="8" t="str">
        <f>'Criaturas - Base de Dados'!D3</f>
        <v>Grifo Guardião</v>
      </c>
      <c r="E9" s="8" t="str">
        <f>'Sistema de Raridade e Evolução'!B3</f>
        <v>Bronze</v>
      </c>
      <c r="F9" s="9">
        <f>ROUND(('Criaturas - Base de Dados'!H3*'Sistema de Raridade e Evolução'!E3)*1000,2)</f>
        <v>12000</v>
      </c>
      <c r="G9" s="8">
        <f>ROUND('Criaturas - Base de Dados'!I3*'Sistema de Raridade e Evolução'!E3,0)</f>
        <v>7</v>
      </c>
      <c r="H9" s="8">
        <f>ROUND('Criaturas - Base de Dados'!J3*'Sistema de Raridade e Evolução'!E3,0)</f>
        <v>6</v>
      </c>
      <c r="I9" s="8">
        <f>ROUND('Criaturas - Base de Dados'!K3*'Sistema de Raridade e Evolução'!E3,0)</f>
        <v>38</v>
      </c>
      <c r="J9" s="8">
        <f>'Sistema de Raridade e Evolução'!D3</f>
        <v>6</v>
      </c>
      <c r="K9" s="8" t="s">
        <v>9</v>
      </c>
      <c r="L9" s="9">
        <f t="shared" si="0"/>
        <v>28571.43</v>
      </c>
    </row>
    <row r="10" spans="1:12" ht="14.25" hidden="1" customHeight="1" x14ac:dyDescent="0.3">
      <c r="A10" s="8">
        <v>9</v>
      </c>
      <c r="B10" s="8" t="str">
        <f>'Criaturas - Base de Dados'!B3</f>
        <v>Ordem Celestial</v>
      </c>
      <c r="C10" s="8" t="str">
        <f>'Criaturas - Base de Dados'!C3</f>
        <v>Luz</v>
      </c>
      <c r="D10" s="8" t="str">
        <f>'Criaturas - Base de Dados'!D3</f>
        <v>Grifo Guardião</v>
      </c>
      <c r="E10" s="8" t="str">
        <f>'Sistema de Raridade e Evolução'!B4</f>
        <v>Prata</v>
      </c>
      <c r="F10" s="9">
        <f>ROUND(('Criaturas - Base de Dados'!H3*'Sistema de Raridade e Evolução'!E4)*1000,2)</f>
        <v>72000</v>
      </c>
      <c r="G10" s="8">
        <f>ROUND('Criaturas - Base de Dados'!I3*'Sistema de Raridade e Evolução'!E4,0)</f>
        <v>42</v>
      </c>
      <c r="H10" s="8">
        <f>ROUND('Criaturas - Base de Dados'!J3*'Sistema de Raridade e Evolução'!E4,0)</f>
        <v>36</v>
      </c>
      <c r="I10" s="8">
        <f>ROUND('Criaturas - Base de Dados'!K3*'Sistema de Raridade e Evolução'!E4,0)</f>
        <v>228</v>
      </c>
      <c r="J10" s="8">
        <f>'Sistema de Raridade e Evolução'!D4</f>
        <v>16</v>
      </c>
      <c r="K10" s="8" t="s">
        <v>10</v>
      </c>
      <c r="L10" s="9">
        <f t="shared" si="0"/>
        <v>171428.57</v>
      </c>
    </row>
    <row r="11" spans="1:12" ht="14.25" hidden="1" customHeight="1" x14ac:dyDescent="0.3">
      <c r="A11" s="8">
        <v>10</v>
      </c>
      <c r="B11" s="8" t="str">
        <f>'Criaturas - Base de Dados'!B3</f>
        <v>Ordem Celestial</v>
      </c>
      <c r="C11" s="8" t="str">
        <f>'Criaturas - Base de Dados'!C3</f>
        <v>Luz</v>
      </c>
      <c r="D11" s="8" t="str">
        <f>'Criaturas - Base de Dados'!D3</f>
        <v>Grifo Guardião</v>
      </c>
      <c r="E11" s="8" t="str">
        <f>'Sistema de Raridade e Evolução'!B5</f>
        <v>Ouro</v>
      </c>
      <c r="F11" s="9">
        <f>ROUND(('Criaturas - Base de Dados'!H3*'Sistema de Raridade e Evolução'!E5)*1000,2)</f>
        <v>216000</v>
      </c>
      <c r="G11" s="8">
        <f>ROUND('Criaturas - Base de Dados'!I3*'Sistema de Raridade e Evolução'!E5,0)</f>
        <v>126</v>
      </c>
      <c r="H11" s="8">
        <f>ROUND('Criaturas - Base de Dados'!J3*'Sistema de Raridade e Evolução'!E5,0)</f>
        <v>108</v>
      </c>
      <c r="I11" s="8">
        <f>ROUND('Criaturas - Base de Dados'!K3*'Sistema de Raridade e Evolução'!E5,0)</f>
        <v>684</v>
      </c>
      <c r="J11" s="8">
        <f>'Sistema de Raridade e Evolução'!D5</f>
        <v>31</v>
      </c>
      <c r="K11" s="8" t="s">
        <v>11</v>
      </c>
      <c r="L11" s="9">
        <f t="shared" si="0"/>
        <v>514285.71</v>
      </c>
    </row>
    <row r="12" spans="1:12" ht="14.25" hidden="1" customHeight="1" x14ac:dyDescent="0.3">
      <c r="A12" s="8">
        <v>11</v>
      </c>
      <c r="B12" s="8" t="str">
        <f>'Criaturas - Base de Dados'!B3</f>
        <v>Ordem Celestial</v>
      </c>
      <c r="C12" s="8" t="str">
        <f>'Criaturas - Base de Dados'!C3</f>
        <v>Luz</v>
      </c>
      <c r="D12" s="8" t="str">
        <f>'Criaturas - Base de Dados'!D3</f>
        <v>Grifo Guardião</v>
      </c>
      <c r="E12" s="8" t="str">
        <f>'Sistema de Raridade e Evolução'!B6</f>
        <v>Platina</v>
      </c>
      <c r="F12" s="9">
        <f>ROUND(('Criaturas - Base de Dados'!H3*'Sistema de Raridade e Evolução'!E6)*1000,2)</f>
        <v>600000</v>
      </c>
      <c r="G12" s="8">
        <f>ROUND('Criaturas - Base de Dados'!I3*'Sistema de Raridade e Evolução'!E6,0)</f>
        <v>350</v>
      </c>
      <c r="H12" s="8">
        <f>ROUND('Criaturas - Base de Dados'!J3*'Sistema de Raridade e Evolução'!E6,0)</f>
        <v>300</v>
      </c>
      <c r="I12" s="8">
        <f>ROUND('Criaturas - Base de Dados'!K3*'Sistema de Raridade e Evolução'!E6,0)</f>
        <v>1900</v>
      </c>
      <c r="J12" s="8">
        <f>'Sistema de Raridade e Evolução'!D6</f>
        <v>56</v>
      </c>
      <c r="K12" s="8" t="s">
        <v>12</v>
      </c>
      <c r="L12" s="9">
        <f t="shared" si="0"/>
        <v>1428571.43</v>
      </c>
    </row>
    <row r="13" spans="1:12" ht="14.25" hidden="1" customHeight="1" x14ac:dyDescent="0.3">
      <c r="A13" s="8">
        <v>12</v>
      </c>
      <c r="B13" s="8" t="str">
        <f>'Criaturas - Base de Dados'!B3</f>
        <v>Ordem Celestial</v>
      </c>
      <c r="C13" s="8" t="str">
        <f>'Criaturas - Base de Dados'!C3</f>
        <v>Luz</v>
      </c>
      <c r="D13" s="8" t="str">
        <f>'Criaturas - Base de Dados'!D3</f>
        <v>Grifo Guardião</v>
      </c>
      <c r="E13" s="8" t="str">
        <f>'Sistema de Raridade e Evolução'!B7</f>
        <v>Lendário</v>
      </c>
      <c r="F13" s="9">
        <f>ROUND(('Criaturas - Base de Dados'!H3*'Sistema de Raridade e Evolução'!E7)*1000,2)</f>
        <v>1800000</v>
      </c>
      <c r="G13" s="8">
        <f>ROUND('Criaturas - Base de Dados'!I3*'Sistema de Raridade e Evolução'!E7,0)</f>
        <v>1050</v>
      </c>
      <c r="H13" s="8">
        <f>ROUND('Criaturas - Base de Dados'!J3*'Sistema de Raridade e Evolução'!E7,0)</f>
        <v>900</v>
      </c>
      <c r="I13" s="8">
        <f>ROUND('Criaturas - Base de Dados'!K3*'Sistema de Raridade e Evolução'!E7,0)</f>
        <v>5700</v>
      </c>
      <c r="J13" s="8">
        <f>'Sistema de Raridade e Evolução'!D7</f>
        <v>91</v>
      </c>
      <c r="K13" s="8" t="s">
        <v>925</v>
      </c>
      <c r="L13" s="9">
        <f t="shared" si="0"/>
        <v>4285714.29</v>
      </c>
    </row>
    <row r="14" spans="1:12" ht="14.25" customHeight="1" x14ac:dyDescent="0.3">
      <c r="A14" s="8">
        <v>13</v>
      </c>
      <c r="B14" s="8" t="str">
        <f>'Criaturas - Base de Dados'!B4</f>
        <v>Ordem Celestial</v>
      </c>
      <c r="C14" s="8" t="str">
        <f>'Criaturas - Base de Dados'!C4</f>
        <v>Luz</v>
      </c>
      <c r="D14" s="8" t="str">
        <f>'Criaturas - Base de Dados'!D4</f>
        <v>Pégaso Radiante</v>
      </c>
      <c r="E14" s="8" t="str">
        <f>'Sistema de Raridade e Evolução'!B2</f>
        <v>Default</v>
      </c>
      <c r="F14" s="9" t="e">
        <f>ROUND(('Criaturas - Base de Dados'!H4*'Sistema de Raridade e Evolução'!E2)*1000,2)</f>
        <v>#VALUE!</v>
      </c>
      <c r="G14" s="8" t="e">
        <f>ROUND('Criaturas - Base de Dados'!I4*'Sistema de Raridade e Evolução'!E2,0)</f>
        <v>#VALUE!</v>
      </c>
      <c r="H14" s="8" t="e">
        <f>ROUND('Criaturas - Base de Dados'!J4*'Sistema de Raridade e Evolução'!E2,0)</f>
        <v>#VALUE!</v>
      </c>
      <c r="I14" s="8" t="e">
        <f>ROUND('Criaturas - Base de Dados'!K4*'Sistema de Raridade e Evolução'!E2,0)</f>
        <v>#VALUE!</v>
      </c>
      <c r="J14" s="8">
        <f>'Sistema de Raridade e Evolução'!D2</f>
        <v>1</v>
      </c>
      <c r="K14" s="8" t="s">
        <v>8</v>
      </c>
      <c r="L14" s="9" t="e">
        <f t="shared" si="0"/>
        <v>#VALUE!</v>
      </c>
    </row>
    <row r="15" spans="1:12" ht="14.25" hidden="1" customHeight="1" x14ac:dyDescent="0.3">
      <c r="A15" s="8">
        <v>14</v>
      </c>
      <c r="B15" s="8" t="str">
        <f>'Criaturas - Base de Dados'!B4</f>
        <v>Ordem Celestial</v>
      </c>
      <c r="C15" s="8" t="str">
        <f>'Criaturas - Base de Dados'!C4</f>
        <v>Luz</v>
      </c>
      <c r="D15" s="8" t="str">
        <f>'Criaturas - Base de Dados'!D4</f>
        <v>Pégaso Radiante</v>
      </c>
      <c r="E15" s="8" t="str">
        <f>'Sistema de Raridade e Evolução'!B3</f>
        <v>Bronze</v>
      </c>
      <c r="F15" s="9">
        <f>ROUND(('Criaturas - Base de Dados'!H4*'Sistema de Raridade e Evolução'!E3)*1000,2)</f>
        <v>14000</v>
      </c>
      <c r="G15" s="8">
        <f>ROUND('Criaturas - Base de Dados'!I4*'Sistema de Raridade e Evolução'!E3,0)</f>
        <v>8</v>
      </c>
      <c r="H15" s="8">
        <f>ROUND('Criaturas - Base de Dados'!J4*'Sistema de Raridade e Evolução'!E3,0)</f>
        <v>7</v>
      </c>
      <c r="I15" s="8">
        <f>ROUND('Criaturas - Base de Dados'!K4*'Sistema de Raridade e Evolução'!E3,0)</f>
        <v>45</v>
      </c>
      <c r="J15" s="8">
        <f>'Sistema de Raridade e Evolução'!D3</f>
        <v>6</v>
      </c>
      <c r="K15" s="8" t="s">
        <v>9</v>
      </c>
      <c r="L15" s="9">
        <f t="shared" si="0"/>
        <v>33333.33</v>
      </c>
    </row>
    <row r="16" spans="1:12" ht="14.25" hidden="1" customHeight="1" x14ac:dyDescent="0.3">
      <c r="A16" s="8">
        <v>15</v>
      </c>
      <c r="B16" s="8" t="str">
        <f>'Criaturas - Base de Dados'!B4</f>
        <v>Ordem Celestial</v>
      </c>
      <c r="C16" s="8" t="str">
        <f>'Criaturas - Base de Dados'!C4</f>
        <v>Luz</v>
      </c>
      <c r="D16" s="8" t="str">
        <f>'Criaturas - Base de Dados'!D4</f>
        <v>Pégaso Radiante</v>
      </c>
      <c r="E16" s="8" t="str">
        <f>'Sistema de Raridade e Evolução'!B4</f>
        <v>Prata</v>
      </c>
      <c r="F16" s="9">
        <f>ROUND(('Criaturas - Base de Dados'!H4*'Sistema de Raridade e Evolução'!E4)*1000,2)</f>
        <v>84000</v>
      </c>
      <c r="G16" s="8">
        <f>ROUND('Criaturas - Base de Dados'!I4*'Sistema de Raridade e Evolução'!E4,0)</f>
        <v>48</v>
      </c>
      <c r="H16" s="8">
        <f>ROUND('Criaturas - Base de Dados'!J4*'Sistema de Raridade e Evolução'!E4,0)</f>
        <v>42</v>
      </c>
      <c r="I16" s="8">
        <f>ROUND('Criaturas - Base de Dados'!K4*'Sistema de Raridade e Evolução'!E4,0)</f>
        <v>270</v>
      </c>
      <c r="J16" s="8">
        <f>'Sistema de Raridade e Evolução'!D4</f>
        <v>16</v>
      </c>
      <c r="K16" s="8" t="s">
        <v>10</v>
      </c>
      <c r="L16" s="9">
        <f t="shared" si="0"/>
        <v>200000</v>
      </c>
    </row>
    <row r="17" spans="1:12" ht="14.25" hidden="1" customHeight="1" x14ac:dyDescent="0.3">
      <c r="A17" s="8">
        <v>16</v>
      </c>
      <c r="B17" s="8" t="str">
        <f>'Criaturas - Base de Dados'!B4</f>
        <v>Ordem Celestial</v>
      </c>
      <c r="C17" s="8" t="str">
        <f>'Criaturas - Base de Dados'!C4</f>
        <v>Luz</v>
      </c>
      <c r="D17" s="8" t="str">
        <f>'Criaturas - Base de Dados'!D4</f>
        <v>Pégaso Radiante</v>
      </c>
      <c r="E17" s="8" t="str">
        <f>'Sistema de Raridade e Evolução'!B5</f>
        <v>Ouro</v>
      </c>
      <c r="F17" s="9">
        <f>ROUND(('Criaturas - Base de Dados'!H4*'Sistema de Raridade e Evolução'!E5)*1000,2)</f>
        <v>252000</v>
      </c>
      <c r="G17" s="8">
        <f>ROUND('Criaturas - Base de Dados'!I4*'Sistema de Raridade e Evolução'!E5,0)</f>
        <v>144</v>
      </c>
      <c r="H17" s="8">
        <f>ROUND('Criaturas - Base de Dados'!J4*'Sistema de Raridade e Evolução'!E5,0)</f>
        <v>126</v>
      </c>
      <c r="I17" s="8">
        <f>ROUND('Criaturas - Base de Dados'!K4*'Sistema de Raridade e Evolução'!E5,0)</f>
        <v>810</v>
      </c>
      <c r="J17" s="8">
        <f>'Sistema de Raridade e Evolução'!D5</f>
        <v>31</v>
      </c>
      <c r="K17" s="8" t="s">
        <v>11</v>
      </c>
      <c r="L17" s="9">
        <f t="shared" si="0"/>
        <v>600000</v>
      </c>
    </row>
    <row r="18" spans="1:12" ht="14.25" hidden="1" customHeight="1" x14ac:dyDescent="0.3">
      <c r="A18" s="8">
        <v>17</v>
      </c>
      <c r="B18" s="8" t="str">
        <f>'Criaturas - Base de Dados'!B4</f>
        <v>Ordem Celestial</v>
      </c>
      <c r="C18" s="8" t="str">
        <f>'Criaturas - Base de Dados'!C4</f>
        <v>Luz</v>
      </c>
      <c r="D18" s="8" t="str">
        <f>'Criaturas - Base de Dados'!D4</f>
        <v>Pégaso Radiante</v>
      </c>
      <c r="E18" s="8" t="str">
        <f>'Sistema de Raridade e Evolução'!B6</f>
        <v>Platina</v>
      </c>
      <c r="F18" s="9">
        <f>ROUND(('Criaturas - Base de Dados'!H4*'Sistema de Raridade e Evolução'!E6)*1000,2)</f>
        <v>700000</v>
      </c>
      <c r="G18" s="8">
        <f>ROUND('Criaturas - Base de Dados'!I4*'Sistema de Raridade e Evolução'!E6,0)</f>
        <v>400</v>
      </c>
      <c r="H18" s="8">
        <f>ROUND('Criaturas - Base de Dados'!J4*'Sistema de Raridade e Evolução'!E6,0)</f>
        <v>350</v>
      </c>
      <c r="I18" s="8">
        <f>ROUND('Criaturas - Base de Dados'!K4*'Sistema de Raridade e Evolução'!E6,0)</f>
        <v>2250</v>
      </c>
      <c r="J18" s="8">
        <f>'Sistema de Raridade e Evolução'!D6</f>
        <v>56</v>
      </c>
      <c r="K18" s="8" t="s">
        <v>12</v>
      </c>
      <c r="L18" s="9">
        <f t="shared" si="0"/>
        <v>1666666.67</v>
      </c>
    </row>
    <row r="19" spans="1:12" ht="14.25" hidden="1" customHeight="1" x14ac:dyDescent="0.3">
      <c r="A19" s="8">
        <v>18</v>
      </c>
      <c r="B19" s="8" t="str">
        <f>'Criaturas - Base de Dados'!B4</f>
        <v>Ordem Celestial</v>
      </c>
      <c r="C19" s="8" t="str">
        <f>'Criaturas - Base de Dados'!C4</f>
        <v>Luz</v>
      </c>
      <c r="D19" s="8" t="str">
        <f>'Criaturas - Base de Dados'!D4</f>
        <v>Pégaso Radiante</v>
      </c>
      <c r="E19" s="8" t="str">
        <f>'Sistema de Raridade e Evolução'!B7</f>
        <v>Lendário</v>
      </c>
      <c r="F19" s="9">
        <f>ROUND(('Criaturas - Base de Dados'!H4*'Sistema de Raridade e Evolução'!E7)*1000,2)</f>
        <v>2100000</v>
      </c>
      <c r="G19" s="8">
        <f>ROUND('Criaturas - Base de Dados'!I4*'Sistema de Raridade e Evolução'!E7,0)</f>
        <v>1200</v>
      </c>
      <c r="H19" s="8">
        <f>ROUND('Criaturas - Base de Dados'!J4*'Sistema de Raridade e Evolução'!E7,0)</f>
        <v>1050</v>
      </c>
      <c r="I19" s="8">
        <f>ROUND('Criaturas - Base de Dados'!K4*'Sistema de Raridade e Evolução'!E7,0)</f>
        <v>6750</v>
      </c>
      <c r="J19" s="8">
        <f>'Sistema de Raridade e Evolução'!D7</f>
        <v>91</v>
      </c>
      <c r="K19" s="8" t="s">
        <v>925</v>
      </c>
      <c r="L19" s="9">
        <f t="shared" si="0"/>
        <v>5000000</v>
      </c>
    </row>
    <row r="20" spans="1:12" ht="14.25" customHeight="1" x14ac:dyDescent="0.3">
      <c r="A20" s="8">
        <v>19</v>
      </c>
      <c r="B20" s="8" t="str">
        <f>'Criaturas - Base de Dados'!B5</f>
        <v>Ordem Celestial</v>
      </c>
      <c r="C20" s="8" t="str">
        <f>'Criaturas - Base de Dados'!C5</f>
        <v>Luz</v>
      </c>
      <c r="D20" s="8" t="str">
        <f>'Criaturas - Base de Dados'!D5</f>
        <v>Serpente-Pluma Ancestral</v>
      </c>
      <c r="E20" s="8" t="str">
        <f>'Sistema de Raridade e Evolução'!B2</f>
        <v>Default</v>
      </c>
      <c r="F20" s="9" t="e">
        <f>ROUND(('Criaturas - Base de Dados'!H5*'Sistema de Raridade e Evolução'!E2)*1000,2)</f>
        <v>#VALUE!</v>
      </c>
      <c r="G20" s="8" t="e">
        <f>ROUND('Criaturas - Base de Dados'!I5*'Sistema de Raridade e Evolução'!E2,0)</f>
        <v>#VALUE!</v>
      </c>
      <c r="H20" s="8" t="e">
        <f>ROUND('Criaturas - Base de Dados'!J5*'Sistema de Raridade e Evolução'!E2,0)</f>
        <v>#VALUE!</v>
      </c>
      <c r="I20" s="8" t="e">
        <f>ROUND('Criaturas - Base de Dados'!K5*'Sistema de Raridade e Evolução'!E2,0)</f>
        <v>#VALUE!</v>
      </c>
      <c r="J20" s="8">
        <f>'Sistema de Raridade e Evolução'!D2</f>
        <v>1</v>
      </c>
      <c r="K20" s="8" t="s">
        <v>8</v>
      </c>
      <c r="L20" s="9" t="e">
        <f t="shared" si="0"/>
        <v>#VALUE!</v>
      </c>
    </row>
    <row r="21" spans="1:12" ht="14.25" hidden="1" customHeight="1" x14ac:dyDescent="0.3">
      <c r="A21" s="8">
        <v>20</v>
      </c>
      <c r="B21" s="8" t="str">
        <f>'Criaturas - Base de Dados'!B5</f>
        <v>Ordem Celestial</v>
      </c>
      <c r="C21" s="8" t="str">
        <f>'Criaturas - Base de Dados'!C5</f>
        <v>Luz</v>
      </c>
      <c r="D21" s="8" t="str">
        <f>'Criaturas - Base de Dados'!D5</f>
        <v>Serpente-Pluma Ancestral</v>
      </c>
      <c r="E21" s="8" t="str">
        <f>'Sistema de Raridade e Evolução'!B3</f>
        <v>Bronze</v>
      </c>
      <c r="F21" s="9">
        <f>ROUND(('Criaturas - Base de Dados'!H5*'Sistema de Raridade e Evolução'!E3)*1000,2)</f>
        <v>16000</v>
      </c>
      <c r="G21" s="8">
        <f>ROUND('Criaturas - Base de Dados'!I5*'Sistema de Raridade e Evolução'!E3,0)</f>
        <v>10</v>
      </c>
      <c r="H21" s="8">
        <f>ROUND('Criaturas - Base de Dados'!J5*'Sistema de Raridade e Evolução'!E3,0)</f>
        <v>8</v>
      </c>
      <c r="I21" s="8">
        <f>ROUND('Criaturas - Base de Dados'!K5*'Sistema de Raridade e Evolução'!E3,0)</f>
        <v>51</v>
      </c>
      <c r="J21" s="8">
        <f>'Sistema de Raridade e Evolução'!D3</f>
        <v>6</v>
      </c>
      <c r="K21" s="8" t="s">
        <v>9</v>
      </c>
      <c r="L21" s="9">
        <f t="shared" si="0"/>
        <v>38095.24</v>
      </c>
    </row>
    <row r="22" spans="1:12" ht="14.25" hidden="1" customHeight="1" x14ac:dyDescent="0.3">
      <c r="A22" s="8">
        <v>21</v>
      </c>
      <c r="B22" s="8" t="str">
        <f>'Criaturas - Base de Dados'!B5</f>
        <v>Ordem Celestial</v>
      </c>
      <c r="C22" s="8" t="str">
        <f>'Criaturas - Base de Dados'!C5</f>
        <v>Luz</v>
      </c>
      <c r="D22" s="8" t="str">
        <f>'Criaturas - Base de Dados'!D5</f>
        <v>Serpente-Pluma Ancestral</v>
      </c>
      <c r="E22" s="8" t="str">
        <f>'Sistema de Raridade e Evolução'!B4</f>
        <v>Prata</v>
      </c>
      <c r="F22" s="9">
        <f>ROUND(('Criaturas - Base de Dados'!H5*'Sistema de Raridade e Evolução'!E4)*1000,2)</f>
        <v>96000</v>
      </c>
      <c r="G22" s="8">
        <f>ROUND('Criaturas - Base de Dados'!I5*'Sistema de Raridade e Evolução'!E4,0)</f>
        <v>60</v>
      </c>
      <c r="H22" s="8">
        <f>ROUND('Criaturas - Base de Dados'!J5*'Sistema de Raridade e Evolução'!E4,0)</f>
        <v>48</v>
      </c>
      <c r="I22" s="8">
        <f>ROUND('Criaturas - Base de Dados'!K5*'Sistema de Raridade e Evolução'!E4,0)</f>
        <v>306</v>
      </c>
      <c r="J22" s="8">
        <f>'Sistema de Raridade e Evolução'!D4</f>
        <v>16</v>
      </c>
      <c r="K22" s="8" t="s">
        <v>10</v>
      </c>
      <c r="L22" s="9">
        <f t="shared" si="0"/>
        <v>228571.43</v>
      </c>
    </row>
    <row r="23" spans="1:12" ht="14.25" hidden="1" customHeight="1" x14ac:dyDescent="0.3">
      <c r="A23" s="8">
        <v>22</v>
      </c>
      <c r="B23" s="8" t="str">
        <f>'Criaturas - Base de Dados'!B5</f>
        <v>Ordem Celestial</v>
      </c>
      <c r="C23" s="8" t="str">
        <f>'Criaturas - Base de Dados'!C5</f>
        <v>Luz</v>
      </c>
      <c r="D23" s="8" t="str">
        <f>'Criaturas - Base de Dados'!D5</f>
        <v>Serpente-Pluma Ancestral</v>
      </c>
      <c r="E23" s="8" t="str">
        <f>'Sistema de Raridade e Evolução'!B5</f>
        <v>Ouro</v>
      </c>
      <c r="F23" s="9">
        <f>ROUND(('Criaturas - Base de Dados'!H5*'Sistema de Raridade e Evolução'!E5)*1000,2)</f>
        <v>288000</v>
      </c>
      <c r="G23" s="8">
        <f>ROUND('Criaturas - Base de Dados'!I5*'Sistema de Raridade e Evolução'!E5,0)</f>
        <v>180</v>
      </c>
      <c r="H23" s="8">
        <f>ROUND('Criaturas - Base de Dados'!J5*'Sistema de Raridade e Evolução'!E5,0)</f>
        <v>144</v>
      </c>
      <c r="I23" s="8">
        <f>ROUND('Criaturas - Base de Dados'!K5*'Sistema de Raridade e Evolução'!E5,0)</f>
        <v>918</v>
      </c>
      <c r="J23" s="8">
        <f>'Sistema de Raridade e Evolução'!D5</f>
        <v>31</v>
      </c>
      <c r="K23" s="8" t="s">
        <v>11</v>
      </c>
      <c r="L23" s="9">
        <f t="shared" si="0"/>
        <v>685714.29</v>
      </c>
    </row>
    <row r="24" spans="1:12" ht="14.25" hidden="1" customHeight="1" x14ac:dyDescent="0.3">
      <c r="A24" s="8">
        <v>23</v>
      </c>
      <c r="B24" s="8" t="str">
        <f>'Criaturas - Base de Dados'!B5</f>
        <v>Ordem Celestial</v>
      </c>
      <c r="C24" s="8" t="str">
        <f>'Criaturas - Base de Dados'!C5</f>
        <v>Luz</v>
      </c>
      <c r="D24" s="8" t="str">
        <f>'Criaturas - Base de Dados'!D5</f>
        <v>Serpente-Pluma Ancestral</v>
      </c>
      <c r="E24" s="8" t="str">
        <f>'Sistema de Raridade e Evolução'!B6</f>
        <v>Platina</v>
      </c>
      <c r="F24" s="9">
        <f>ROUND(('Criaturas - Base de Dados'!H5*'Sistema de Raridade e Evolução'!E6)*1000,2)</f>
        <v>800000</v>
      </c>
      <c r="G24" s="8">
        <f>ROUND('Criaturas - Base de Dados'!I5*'Sistema de Raridade e Evolução'!E6,0)</f>
        <v>500</v>
      </c>
      <c r="H24" s="8">
        <f>ROUND('Criaturas - Base de Dados'!J5*'Sistema de Raridade e Evolução'!E6,0)</f>
        <v>400</v>
      </c>
      <c r="I24" s="8">
        <f>ROUND('Criaturas - Base de Dados'!K5*'Sistema de Raridade e Evolução'!E6,0)</f>
        <v>2550</v>
      </c>
      <c r="J24" s="8">
        <f>'Sistema de Raridade e Evolução'!D6</f>
        <v>56</v>
      </c>
      <c r="K24" s="8" t="s">
        <v>12</v>
      </c>
      <c r="L24" s="9">
        <f t="shared" si="0"/>
        <v>1904761.9</v>
      </c>
    </row>
    <row r="25" spans="1:12" ht="14.25" hidden="1" customHeight="1" x14ac:dyDescent="0.3">
      <c r="A25" s="8">
        <v>24</v>
      </c>
      <c r="B25" s="8" t="str">
        <f>'Criaturas - Base de Dados'!B5</f>
        <v>Ordem Celestial</v>
      </c>
      <c r="C25" s="8" t="str">
        <f>'Criaturas - Base de Dados'!C5</f>
        <v>Luz</v>
      </c>
      <c r="D25" s="8" t="str">
        <f>'Criaturas - Base de Dados'!D5</f>
        <v>Serpente-Pluma Ancestral</v>
      </c>
      <c r="E25" s="8" t="str">
        <f>'Sistema de Raridade e Evolução'!B7</f>
        <v>Lendário</v>
      </c>
      <c r="F25" s="9">
        <f>ROUND(('Criaturas - Base de Dados'!H5*'Sistema de Raridade e Evolução'!E7)*1000,2)</f>
        <v>2400000</v>
      </c>
      <c r="G25" s="8">
        <f>ROUND('Criaturas - Base de Dados'!I5*'Sistema de Raridade e Evolução'!E7,0)</f>
        <v>1500</v>
      </c>
      <c r="H25" s="8">
        <f>ROUND('Criaturas - Base de Dados'!J5*'Sistema de Raridade e Evolução'!E7,0)</f>
        <v>1200</v>
      </c>
      <c r="I25" s="8">
        <f>ROUND('Criaturas - Base de Dados'!K5*'Sistema de Raridade e Evolução'!E7,0)</f>
        <v>7650</v>
      </c>
      <c r="J25" s="8">
        <f>'Sistema de Raridade e Evolução'!D7</f>
        <v>91</v>
      </c>
      <c r="K25" s="8" t="s">
        <v>925</v>
      </c>
      <c r="L25" s="9">
        <f t="shared" si="0"/>
        <v>5714285.71</v>
      </c>
    </row>
    <row r="26" spans="1:12" ht="14.25" customHeight="1" x14ac:dyDescent="0.3">
      <c r="A26" s="8">
        <v>25</v>
      </c>
      <c r="B26" s="8" t="str">
        <f>'Criaturas - Base de Dados'!B6</f>
        <v>Ordem Celestial</v>
      </c>
      <c r="C26" s="8" t="str">
        <f>'Criaturas - Base de Dados'!C6</f>
        <v>Luz</v>
      </c>
      <c r="D26" s="8" t="str">
        <f>'Criaturas - Base de Dados'!D6</f>
        <v>Unicórnio Sagrado</v>
      </c>
      <c r="E26" s="8" t="str">
        <f>'Sistema de Raridade e Evolução'!B2</f>
        <v>Default</v>
      </c>
      <c r="F26" s="9" t="e">
        <f>ROUND(('Criaturas - Base de Dados'!H6*'Sistema de Raridade e Evolução'!E2)*1000,2)</f>
        <v>#VALUE!</v>
      </c>
      <c r="G26" s="8" t="e">
        <f>ROUND('Criaturas - Base de Dados'!I6*'Sistema de Raridade e Evolução'!E2,0)</f>
        <v>#VALUE!</v>
      </c>
      <c r="H26" s="8" t="e">
        <f>ROUND('Criaturas - Base de Dados'!J6*'Sistema de Raridade e Evolução'!E2,0)</f>
        <v>#VALUE!</v>
      </c>
      <c r="I26" s="8" t="e">
        <f>ROUND('Criaturas - Base de Dados'!K6*'Sistema de Raridade e Evolução'!E2,0)</f>
        <v>#VALUE!</v>
      </c>
      <c r="J26" s="8">
        <f>'Sistema de Raridade e Evolução'!D2</f>
        <v>1</v>
      </c>
      <c r="K26" s="8" t="s">
        <v>8</v>
      </c>
      <c r="L26" s="9" t="e">
        <f t="shared" si="0"/>
        <v>#VALUE!</v>
      </c>
    </row>
    <row r="27" spans="1:12" ht="14.25" hidden="1" customHeight="1" x14ac:dyDescent="0.3">
      <c r="A27" s="8">
        <v>26</v>
      </c>
      <c r="B27" s="8" t="str">
        <f>'Criaturas - Base de Dados'!B6</f>
        <v>Ordem Celestial</v>
      </c>
      <c r="C27" s="8" t="str">
        <f>'Criaturas - Base de Dados'!C6</f>
        <v>Luz</v>
      </c>
      <c r="D27" s="8" t="str">
        <f>'Criaturas - Base de Dados'!D6</f>
        <v>Unicórnio Sagrado</v>
      </c>
      <c r="E27" s="8" t="str">
        <f>'Sistema de Raridade e Evolução'!B3</f>
        <v>Bronze</v>
      </c>
      <c r="F27" s="9">
        <f>ROUND(('Criaturas - Base de Dados'!H6*'Sistema de Raridade e Evolução'!E3)*1000,2)</f>
        <v>16000</v>
      </c>
      <c r="G27" s="8">
        <f>ROUND('Criaturas - Base de Dados'!I6*'Sistema de Raridade e Evolução'!E3,0)</f>
        <v>10</v>
      </c>
      <c r="H27" s="8">
        <f>ROUND('Criaturas - Base de Dados'!J6*'Sistema de Raridade e Evolução'!E3,0)</f>
        <v>8</v>
      </c>
      <c r="I27" s="8">
        <f>ROUND('Criaturas - Base de Dados'!K6*'Sistema de Raridade e Evolução'!E3,0)</f>
        <v>51</v>
      </c>
      <c r="J27" s="8">
        <f>'Sistema de Raridade e Evolução'!D3</f>
        <v>6</v>
      </c>
      <c r="K27" s="8" t="s">
        <v>9</v>
      </c>
      <c r="L27" s="9">
        <f t="shared" si="0"/>
        <v>38095.24</v>
      </c>
    </row>
    <row r="28" spans="1:12" ht="14.25" hidden="1" customHeight="1" x14ac:dyDescent="0.3">
      <c r="A28" s="8">
        <v>27</v>
      </c>
      <c r="B28" s="8" t="str">
        <f>'Criaturas - Base de Dados'!B6</f>
        <v>Ordem Celestial</v>
      </c>
      <c r="C28" s="8" t="str">
        <f>'Criaturas - Base de Dados'!C6</f>
        <v>Luz</v>
      </c>
      <c r="D28" s="8" t="str">
        <f>'Criaturas - Base de Dados'!D6</f>
        <v>Unicórnio Sagrado</v>
      </c>
      <c r="E28" s="8" t="str">
        <f>'Sistema de Raridade e Evolução'!B4</f>
        <v>Prata</v>
      </c>
      <c r="F28" s="9">
        <f>ROUND(('Criaturas - Base de Dados'!H6*'Sistema de Raridade e Evolução'!E4)*1000,2)</f>
        <v>96000</v>
      </c>
      <c r="G28" s="8">
        <f>ROUND('Criaturas - Base de Dados'!I6*'Sistema de Raridade e Evolução'!E4,0)</f>
        <v>60</v>
      </c>
      <c r="H28" s="8">
        <f>ROUND('Criaturas - Base de Dados'!J6*'Sistema de Raridade e Evolução'!E4,0)</f>
        <v>48</v>
      </c>
      <c r="I28" s="8">
        <f>ROUND('Criaturas - Base de Dados'!K6*'Sistema de Raridade e Evolução'!E4,0)</f>
        <v>306</v>
      </c>
      <c r="J28" s="8">
        <f>'Sistema de Raridade e Evolução'!D4</f>
        <v>16</v>
      </c>
      <c r="K28" s="8" t="s">
        <v>10</v>
      </c>
      <c r="L28" s="9">
        <f t="shared" si="0"/>
        <v>228571.43</v>
      </c>
    </row>
    <row r="29" spans="1:12" ht="14.25" hidden="1" customHeight="1" x14ac:dyDescent="0.3">
      <c r="A29" s="8">
        <v>28</v>
      </c>
      <c r="B29" s="8" t="str">
        <f>'Criaturas - Base de Dados'!B6</f>
        <v>Ordem Celestial</v>
      </c>
      <c r="C29" s="8" t="str">
        <f>'Criaturas - Base de Dados'!C6</f>
        <v>Luz</v>
      </c>
      <c r="D29" s="8" t="str">
        <f>'Criaturas - Base de Dados'!D6</f>
        <v>Unicórnio Sagrado</v>
      </c>
      <c r="E29" s="8" t="str">
        <f>'Sistema de Raridade e Evolução'!B5</f>
        <v>Ouro</v>
      </c>
      <c r="F29" s="9">
        <f>ROUND(('Criaturas - Base de Dados'!H6*'Sistema de Raridade e Evolução'!E5)*1000,2)</f>
        <v>288000</v>
      </c>
      <c r="G29" s="8">
        <f>ROUND('Criaturas - Base de Dados'!I6*'Sistema de Raridade e Evolução'!E5,0)</f>
        <v>180</v>
      </c>
      <c r="H29" s="8">
        <f>ROUND('Criaturas - Base de Dados'!J6*'Sistema de Raridade e Evolução'!E5,0)</f>
        <v>144</v>
      </c>
      <c r="I29" s="8">
        <f>ROUND('Criaturas - Base de Dados'!K6*'Sistema de Raridade e Evolução'!E5,0)</f>
        <v>918</v>
      </c>
      <c r="J29" s="8">
        <f>'Sistema de Raridade e Evolução'!D5</f>
        <v>31</v>
      </c>
      <c r="K29" s="8" t="s">
        <v>11</v>
      </c>
      <c r="L29" s="9">
        <f t="shared" si="0"/>
        <v>685714.29</v>
      </c>
    </row>
    <row r="30" spans="1:12" ht="14.25" hidden="1" customHeight="1" x14ac:dyDescent="0.3">
      <c r="A30" s="8">
        <v>29</v>
      </c>
      <c r="B30" s="8" t="str">
        <f>'Criaturas - Base de Dados'!B6</f>
        <v>Ordem Celestial</v>
      </c>
      <c r="C30" s="8" t="str">
        <f>'Criaturas - Base de Dados'!C6</f>
        <v>Luz</v>
      </c>
      <c r="D30" s="8" t="str">
        <f>'Criaturas - Base de Dados'!D6</f>
        <v>Unicórnio Sagrado</v>
      </c>
      <c r="E30" s="8" t="str">
        <f>'Sistema de Raridade e Evolução'!B6</f>
        <v>Platina</v>
      </c>
      <c r="F30" s="9">
        <f>ROUND(('Criaturas - Base de Dados'!H6*'Sistema de Raridade e Evolução'!E6)*1000,2)</f>
        <v>800000</v>
      </c>
      <c r="G30" s="8">
        <f>ROUND('Criaturas - Base de Dados'!I6*'Sistema de Raridade e Evolução'!E6,0)</f>
        <v>500</v>
      </c>
      <c r="H30" s="8">
        <f>ROUND('Criaturas - Base de Dados'!J6*'Sistema de Raridade e Evolução'!E6,0)</f>
        <v>400</v>
      </c>
      <c r="I30" s="8">
        <f>ROUND('Criaturas - Base de Dados'!K6*'Sistema de Raridade e Evolução'!E6,0)</f>
        <v>2550</v>
      </c>
      <c r="J30" s="8">
        <f>'Sistema de Raridade e Evolução'!D6</f>
        <v>56</v>
      </c>
      <c r="K30" s="8" t="s">
        <v>12</v>
      </c>
      <c r="L30" s="9">
        <f t="shared" si="0"/>
        <v>1904761.9</v>
      </c>
    </row>
    <row r="31" spans="1:12" ht="14.25" hidden="1" customHeight="1" x14ac:dyDescent="0.3">
      <c r="A31" s="8">
        <v>30</v>
      </c>
      <c r="B31" s="8" t="str">
        <f>'Criaturas - Base de Dados'!B6</f>
        <v>Ordem Celestial</v>
      </c>
      <c r="C31" s="8" t="str">
        <f>'Criaturas - Base de Dados'!C6</f>
        <v>Luz</v>
      </c>
      <c r="D31" s="8" t="str">
        <f>'Criaturas - Base de Dados'!D6</f>
        <v>Unicórnio Sagrado</v>
      </c>
      <c r="E31" s="8" t="str">
        <f>'Sistema de Raridade e Evolução'!B7</f>
        <v>Lendário</v>
      </c>
      <c r="F31" s="9">
        <f>ROUND(('Criaturas - Base de Dados'!H6*'Sistema de Raridade e Evolução'!E7)*1000,2)</f>
        <v>2400000</v>
      </c>
      <c r="G31" s="8">
        <f>ROUND('Criaturas - Base de Dados'!I6*'Sistema de Raridade e Evolução'!E7,0)</f>
        <v>1500</v>
      </c>
      <c r="H31" s="8">
        <f>ROUND('Criaturas - Base de Dados'!J6*'Sistema de Raridade e Evolução'!E7,0)</f>
        <v>1200</v>
      </c>
      <c r="I31" s="8">
        <f>ROUND('Criaturas - Base de Dados'!K6*'Sistema de Raridade e Evolução'!E7,0)</f>
        <v>7650</v>
      </c>
      <c r="J31" s="8">
        <f>'Sistema de Raridade e Evolução'!D7</f>
        <v>91</v>
      </c>
      <c r="K31" s="8" t="s">
        <v>925</v>
      </c>
      <c r="L31" s="9">
        <f t="shared" si="0"/>
        <v>5714285.71</v>
      </c>
    </row>
    <row r="32" spans="1:12" ht="14.25" customHeight="1" x14ac:dyDescent="0.3">
      <c r="A32" s="8">
        <v>31</v>
      </c>
      <c r="B32" s="8" t="str">
        <f>'Criaturas - Base de Dados'!B7</f>
        <v>Ordem Celestial</v>
      </c>
      <c r="C32" s="8" t="str">
        <f>'Criaturas - Base de Dados'!C7</f>
        <v>Luz</v>
      </c>
      <c r="D32" s="8" t="str">
        <f>'Criaturas - Base de Dados'!D7</f>
        <v>Roc Celestial</v>
      </c>
      <c r="E32" s="8" t="str">
        <f>'Sistema de Raridade e Evolução'!B2</f>
        <v>Default</v>
      </c>
      <c r="F32" s="9" t="e">
        <f>ROUND(('Criaturas - Base de Dados'!H7*'Sistema de Raridade e Evolução'!E2)*1000,2)</f>
        <v>#VALUE!</v>
      </c>
      <c r="G32" s="8" t="e">
        <f>ROUND('Criaturas - Base de Dados'!I7*'Sistema de Raridade e Evolução'!E2,0)</f>
        <v>#VALUE!</v>
      </c>
      <c r="H32" s="8" t="e">
        <f>ROUND('Criaturas - Base de Dados'!J7*'Sistema de Raridade e Evolução'!E2,0)</f>
        <v>#VALUE!</v>
      </c>
      <c r="I32" s="8" t="e">
        <f>ROUND('Criaturas - Base de Dados'!K7*'Sistema de Raridade e Evolução'!E2,0)</f>
        <v>#VALUE!</v>
      </c>
      <c r="J32" s="8">
        <f>'Sistema de Raridade e Evolução'!D2</f>
        <v>1</v>
      </c>
      <c r="K32" s="8" t="s">
        <v>8</v>
      </c>
      <c r="L32" s="9" t="e">
        <f t="shared" si="0"/>
        <v>#VALUE!</v>
      </c>
    </row>
    <row r="33" spans="1:12" ht="14.25" hidden="1" customHeight="1" x14ac:dyDescent="0.3">
      <c r="A33" s="8">
        <v>32</v>
      </c>
      <c r="B33" s="8" t="str">
        <f>'Criaturas - Base de Dados'!B7</f>
        <v>Ordem Celestial</v>
      </c>
      <c r="C33" s="8" t="str">
        <f>'Criaturas - Base de Dados'!C7</f>
        <v>Luz</v>
      </c>
      <c r="D33" s="8" t="str">
        <f>'Criaturas - Base de Dados'!D7</f>
        <v>Roc Celestial</v>
      </c>
      <c r="E33" s="8" t="str">
        <f>'Sistema de Raridade e Evolução'!B3</f>
        <v>Bronze</v>
      </c>
      <c r="F33" s="9">
        <f>ROUND(('Criaturas - Base de Dados'!H7*'Sistema de Raridade e Evolução'!E3)*1000,2)</f>
        <v>18000</v>
      </c>
      <c r="G33" s="8">
        <f>ROUND('Criaturas - Base de Dados'!I7*'Sistema de Raridade e Evolução'!E3,0)</f>
        <v>11</v>
      </c>
      <c r="H33" s="8">
        <f>ROUND('Criaturas - Base de Dados'!J7*'Sistema de Raridade e Evolução'!E3,0)</f>
        <v>9</v>
      </c>
      <c r="I33" s="8">
        <f>ROUND('Criaturas - Base de Dados'!K7*'Sistema de Raridade e Evolução'!E3,0)</f>
        <v>58</v>
      </c>
      <c r="J33" s="8">
        <f>'Sistema de Raridade e Evolução'!D3</f>
        <v>6</v>
      </c>
      <c r="K33" s="8" t="s">
        <v>9</v>
      </c>
      <c r="L33" s="9">
        <f t="shared" si="0"/>
        <v>42857.14</v>
      </c>
    </row>
    <row r="34" spans="1:12" ht="14.25" hidden="1" customHeight="1" x14ac:dyDescent="0.3">
      <c r="A34" s="8">
        <v>33</v>
      </c>
      <c r="B34" s="8" t="str">
        <f>'Criaturas - Base de Dados'!B7</f>
        <v>Ordem Celestial</v>
      </c>
      <c r="C34" s="8" t="str">
        <f>'Criaturas - Base de Dados'!C7</f>
        <v>Luz</v>
      </c>
      <c r="D34" s="8" t="str">
        <f>'Criaturas - Base de Dados'!D7</f>
        <v>Roc Celestial</v>
      </c>
      <c r="E34" s="8" t="str">
        <f>'Sistema de Raridade e Evolução'!B4</f>
        <v>Prata</v>
      </c>
      <c r="F34" s="9">
        <f>ROUND(('Criaturas - Base de Dados'!H7*'Sistema de Raridade e Evolução'!E4)*1000,2)</f>
        <v>108000</v>
      </c>
      <c r="G34" s="8">
        <f>ROUND('Criaturas - Base de Dados'!I7*'Sistema de Raridade e Evolução'!E4,0)</f>
        <v>66</v>
      </c>
      <c r="H34" s="8">
        <f>ROUND('Criaturas - Base de Dados'!J7*'Sistema de Raridade e Evolução'!E4,0)</f>
        <v>54</v>
      </c>
      <c r="I34" s="8">
        <f>ROUND('Criaturas - Base de Dados'!K7*'Sistema de Raridade e Evolução'!E4,0)</f>
        <v>348</v>
      </c>
      <c r="J34" s="8">
        <f>'Sistema de Raridade e Evolução'!D4</f>
        <v>16</v>
      </c>
      <c r="K34" s="8" t="s">
        <v>10</v>
      </c>
      <c r="L34" s="9">
        <f t="shared" si="0"/>
        <v>257142.86</v>
      </c>
    </row>
    <row r="35" spans="1:12" ht="14.25" hidden="1" customHeight="1" x14ac:dyDescent="0.3">
      <c r="A35" s="8">
        <v>34</v>
      </c>
      <c r="B35" s="8" t="str">
        <f>'Criaturas - Base de Dados'!B7</f>
        <v>Ordem Celestial</v>
      </c>
      <c r="C35" s="8" t="str">
        <f>'Criaturas - Base de Dados'!C7</f>
        <v>Luz</v>
      </c>
      <c r="D35" s="8" t="str">
        <f>'Criaturas - Base de Dados'!D7</f>
        <v>Roc Celestial</v>
      </c>
      <c r="E35" s="8" t="str">
        <f>'Sistema de Raridade e Evolução'!B5</f>
        <v>Ouro</v>
      </c>
      <c r="F35" s="9">
        <f>ROUND(('Criaturas - Base de Dados'!H7*'Sistema de Raridade e Evolução'!E5)*1000,2)</f>
        <v>324000</v>
      </c>
      <c r="G35" s="8">
        <f>ROUND('Criaturas - Base de Dados'!I7*'Sistema de Raridade e Evolução'!E5,0)</f>
        <v>198</v>
      </c>
      <c r="H35" s="8">
        <f>ROUND('Criaturas - Base de Dados'!J7*'Sistema de Raridade e Evolução'!E5,0)</f>
        <v>162</v>
      </c>
      <c r="I35" s="8">
        <f>ROUND('Criaturas - Base de Dados'!K7*'Sistema de Raridade e Evolução'!E5,0)</f>
        <v>1044</v>
      </c>
      <c r="J35" s="8">
        <f>'Sistema de Raridade e Evolução'!D5</f>
        <v>31</v>
      </c>
      <c r="K35" s="8" t="s">
        <v>11</v>
      </c>
      <c r="L35" s="9">
        <f t="shared" si="0"/>
        <v>771428.57</v>
      </c>
    </row>
    <row r="36" spans="1:12" ht="14.25" hidden="1" customHeight="1" x14ac:dyDescent="0.3">
      <c r="A36" s="8">
        <v>35</v>
      </c>
      <c r="B36" s="8" t="str">
        <f>'Criaturas - Base de Dados'!B7</f>
        <v>Ordem Celestial</v>
      </c>
      <c r="C36" s="8" t="str">
        <f>'Criaturas - Base de Dados'!C7</f>
        <v>Luz</v>
      </c>
      <c r="D36" s="8" t="str">
        <f>'Criaturas - Base de Dados'!D7</f>
        <v>Roc Celestial</v>
      </c>
      <c r="E36" s="8" t="str">
        <f>'Sistema de Raridade e Evolução'!B6</f>
        <v>Platina</v>
      </c>
      <c r="F36" s="9">
        <f>ROUND(('Criaturas - Base de Dados'!H7*'Sistema de Raridade e Evolução'!E6)*1000,2)</f>
        <v>900000</v>
      </c>
      <c r="G36" s="8">
        <f>ROUND('Criaturas - Base de Dados'!I7*'Sistema de Raridade e Evolução'!E6,0)</f>
        <v>550</v>
      </c>
      <c r="H36" s="8">
        <f>ROUND('Criaturas - Base de Dados'!J7*'Sistema de Raridade e Evolução'!E6,0)</f>
        <v>450</v>
      </c>
      <c r="I36" s="8">
        <f>ROUND('Criaturas - Base de Dados'!K7*'Sistema de Raridade e Evolução'!E6,0)</f>
        <v>2900</v>
      </c>
      <c r="J36" s="8">
        <f>'Sistema de Raridade e Evolução'!D6</f>
        <v>56</v>
      </c>
      <c r="K36" s="8" t="s">
        <v>12</v>
      </c>
      <c r="L36" s="9">
        <f t="shared" si="0"/>
        <v>2142857.14</v>
      </c>
    </row>
    <row r="37" spans="1:12" ht="14.25" hidden="1" customHeight="1" x14ac:dyDescent="0.3">
      <c r="A37" s="8">
        <v>36</v>
      </c>
      <c r="B37" s="8" t="str">
        <f>'Criaturas - Base de Dados'!B7</f>
        <v>Ordem Celestial</v>
      </c>
      <c r="C37" s="8" t="str">
        <f>'Criaturas - Base de Dados'!C7</f>
        <v>Luz</v>
      </c>
      <c r="D37" s="8" t="str">
        <f>'Criaturas - Base de Dados'!D7</f>
        <v>Roc Celestial</v>
      </c>
      <c r="E37" s="8" t="str">
        <f>'Sistema de Raridade e Evolução'!B7</f>
        <v>Lendário</v>
      </c>
      <c r="F37" s="9">
        <f>ROUND(('Criaturas - Base de Dados'!H7*'Sistema de Raridade e Evolução'!E7)*1000,2)</f>
        <v>2700000</v>
      </c>
      <c r="G37" s="8">
        <f>ROUND('Criaturas - Base de Dados'!I7*'Sistema de Raridade e Evolução'!E7,0)</f>
        <v>1650</v>
      </c>
      <c r="H37" s="8">
        <f>ROUND('Criaturas - Base de Dados'!J7*'Sistema de Raridade e Evolução'!E7,0)</f>
        <v>1350</v>
      </c>
      <c r="I37" s="8">
        <f>ROUND('Criaturas - Base de Dados'!K7*'Sistema de Raridade e Evolução'!E7,0)</f>
        <v>8700</v>
      </c>
      <c r="J37" s="8">
        <f>'Sistema de Raridade e Evolução'!D7</f>
        <v>91</v>
      </c>
      <c r="K37" s="8" t="s">
        <v>925</v>
      </c>
      <c r="L37" s="9">
        <f t="shared" si="0"/>
        <v>6428571.4299999997</v>
      </c>
    </row>
    <row r="38" spans="1:12" ht="14.25" customHeight="1" x14ac:dyDescent="0.3">
      <c r="A38" s="8">
        <v>37</v>
      </c>
      <c r="B38" s="8" t="str">
        <f>'Criaturas - Base de Dados'!B8</f>
        <v>Ordem Celestial</v>
      </c>
      <c r="C38" s="8" t="str">
        <f>'Criaturas - Base de Dados'!C8</f>
        <v>Luz</v>
      </c>
      <c r="D38" s="8" t="str">
        <f>'Criaturas - Base de Dados'!D8</f>
        <v>Lamassu Dourado</v>
      </c>
      <c r="E38" s="8" t="str">
        <f>'Sistema de Raridade e Evolução'!B2</f>
        <v>Default</v>
      </c>
      <c r="F38" s="9" t="e">
        <f>ROUND(('Criaturas - Base de Dados'!H8*'Sistema de Raridade e Evolução'!E2)*1000,2)</f>
        <v>#VALUE!</v>
      </c>
      <c r="G38" s="8" t="e">
        <f>ROUND('Criaturas - Base de Dados'!I8*'Sistema de Raridade e Evolução'!E2,0)</f>
        <v>#VALUE!</v>
      </c>
      <c r="H38" s="8" t="e">
        <f>ROUND('Criaturas - Base de Dados'!J8*'Sistema de Raridade e Evolução'!E2,0)</f>
        <v>#VALUE!</v>
      </c>
      <c r="I38" s="8" t="e">
        <f>ROUND('Criaturas - Base de Dados'!K8*'Sistema de Raridade e Evolução'!E2,0)</f>
        <v>#VALUE!</v>
      </c>
      <c r="J38" s="8">
        <f>'Sistema de Raridade e Evolução'!D2</f>
        <v>1</v>
      </c>
      <c r="K38" s="8" t="s">
        <v>8</v>
      </c>
      <c r="L38" s="9" t="e">
        <f t="shared" si="0"/>
        <v>#VALUE!</v>
      </c>
    </row>
    <row r="39" spans="1:12" ht="14.25" hidden="1" customHeight="1" x14ac:dyDescent="0.3">
      <c r="A39" s="8">
        <v>38</v>
      </c>
      <c r="B39" s="8" t="str">
        <f>'Criaturas - Base de Dados'!B8</f>
        <v>Ordem Celestial</v>
      </c>
      <c r="C39" s="8" t="str">
        <f>'Criaturas - Base de Dados'!C8</f>
        <v>Luz</v>
      </c>
      <c r="D39" s="8" t="str">
        <f>'Criaturas - Base de Dados'!D8</f>
        <v>Lamassu Dourado</v>
      </c>
      <c r="E39" s="8" t="str">
        <f>'Sistema de Raridade e Evolução'!B3</f>
        <v>Bronze</v>
      </c>
      <c r="F39" s="9">
        <f>ROUND(('Criaturas - Base de Dados'!H8*'Sistema de Raridade e Evolução'!E3)*1000,2)</f>
        <v>20000</v>
      </c>
      <c r="G39" s="8">
        <f>ROUND('Criaturas - Base de Dados'!I8*'Sistema de Raridade e Evolução'!E3,0)</f>
        <v>12</v>
      </c>
      <c r="H39" s="8">
        <f>ROUND('Criaturas - Base de Dados'!J8*'Sistema de Raridade e Evolução'!E3,0)</f>
        <v>10</v>
      </c>
      <c r="I39" s="8">
        <f>ROUND('Criaturas - Base de Dados'!K8*'Sistema de Raridade e Evolução'!E3,0)</f>
        <v>64</v>
      </c>
      <c r="J39" s="8">
        <f>'Sistema de Raridade e Evolução'!D3</f>
        <v>6</v>
      </c>
      <c r="K39" s="8" t="s">
        <v>9</v>
      </c>
      <c r="L39" s="9">
        <f t="shared" si="0"/>
        <v>47619.05</v>
      </c>
    </row>
    <row r="40" spans="1:12" ht="14.25" hidden="1" customHeight="1" x14ac:dyDescent="0.3">
      <c r="A40" s="8">
        <v>39</v>
      </c>
      <c r="B40" s="8" t="str">
        <f>'Criaturas - Base de Dados'!B8</f>
        <v>Ordem Celestial</v>
      </c>
      <c r="C40" s="8" t="str">
        <f>'Criaturas - Base de Dados'!C8</f>
        <v>Luz</v>
      </c>
      <c r="D40" s="8" t="str">
        <f>'Criaturas - Base de Dados'!D8</f>
        <v>Lamassu Dourado</v>
      </c>
      <c r="E40" s="8" t="str">
        <f>'Sistema de Raridade e Evolução'!B4</f>
        <v>Prata</v>
      </c>
      <c r="F40" s="9">
        <f>ROUND(('Criaturas - Base de Dados'!H8*'Sistema de Raridade e Evolução'!E4)*1000,2)</f>
        <v>120000</v>
      </c>
      <c r="G40" s="8">
        <f>ROUND('Criaturas - Base de Dados'!I8*'Sistema de Raridade e Evolução'!E4,0)</f>
        <v>72</v>
      </c>
      <c r="H40" s="8">
        <f>ROUND('Criaturas - Base de Dados'!J8*'Sistema de Raridade e Evolução'!E4,0)</f>
        <v>60</v>
      </c>
      <c r="I40" s="8">
        <f>ROUND('Criaturas - Base de Dados'!K8*'Sistema de Raridade e Evolução'!E4,0)</f>
        <v>384</v>
      </c>
      <c r="J40" s="8">
        <f>'Sistema de Raridade e Evolução'!D4</f>
        <v>16</v>
      </c>
      <c r="K40" s="8" t="s">
        <v>10</v>
      </c>
      <c r="L40" s="9">
        <f t="shared" si="0"/>
        <v>285714.28999999998</v>
      </c>
    </row>
    <row r="41" spans="1:12" ht="14.25" hidden="1" customHeight="1" x14ac:dyDescent="0.3">
      <c r="A41" s="8">
        <v>40</v>
      </c>
      <c r="B41" s="8" t="str">
        <f>'Criaturas - Base de Dados'!B8</f>
        <v>Ordem Celestial</v>
      </c>
      <c r="C41" s="8" t="str">
        <f>'Criaturas - Base de Dados'!C8</f>
        <v>Luz</v>
      </c>
      <c r="D41" s="8" t="str">
        <f>'Criaturas - Base de Dados'!D8</f>
        <v>Lamassu Dourado</v>
      </c>
      <c r="E41" s="8" t="str">
        <f>'Sistema de Raridade e Evolução'!B5</f>
        <v>Ouro</v>
      </c>
      <c r="F41" s="9">
        <f>ROUND(('Criaturas - Base de Dados'!H8*'Sistema de Raridade e Evolução'!E5)*1000,2)</f>
        <v>360000</v>
      </c>
      <c r="G41" s="8">
        <f>ROUND('Criaturas - Base de Dados'!I8*'Sistema de Raridade e Evolução'!E5,0)</f>
        <v>216</v>
      </c>
      <c r="H41" s="8">
        <f>ROUND('Criaturas - Base de Dados'!J8*'Sistema de Raridade e Evolução'!E5,0)</f>
        <v>180</v>
      </c>
      <c r="I41" s="8">
        <f>ROUND('Criaturas - Base de Dados'!K8*'Sistema de Raridade e Evolução'!E5,0)</f>
        <v>1152</v>
      </c>
      <c r="J41" s="8">
        <f>'Sistema de Raridade e Evolução'!D5</f>
        <v>31</v>
      </c>
      <c r="K41" s="8" t="s">
        <v>11</v>
      </c>
      <c r="L41" s="9">
        <f t="shared" si="0"/>
        <v>857142.86</v>
      </c>
    </row>
    <row r="42" spans="1:12" ht="14.25" hidden="1" customHeight="1" x14ac:dyDescent="0.3">
      <c r="A42" s="8">
        <v>41</v>
      </c>
      <c r="B42" s="8" t="str">
        <f>'Criaturas - Base de Dados'!B8</f>
        <v>Ordem Celestial</v>
      </c>
      <c r="C42" s="8" t="str">
        <f>'Criaturas - Base de Dados'!C8</f>
        <v>Luz</v>
      </c>
      <c r="D42" s="8" t="str">
        <f>'Criaturas - Base de Dados'!D8</f>
        <v>Lamassu Dourado</v>
      </c>
      <c r="E42" s="8" t="str">
        <f>'Sistema de Raridade e Evolução'!B6</f>
        <v>Platina</v>
      </c>
      <c r="F42" s="9">
        <f>ROUND(('Criaturas - Base de Dados'!H8*'Sistema de Raridade e Evolução'!E6)*1000,2)</f>
        <v>1000000</v>
      </c>
      <c r="G42" s="8">
        <f>ROUND('Criaturas - Base de Dados'!I8*'Sistema de Raridade e Evolução'!E6,0)</f>
        <v>600</v>
      </c>
      <c r="H42" s="8">
        <f>ROUND('Criaturas - Base de Dados'!J8*'Sistema de Raridade e Evolução'!E6,0)</f>
        <v>500</v>
      </c>
      <c r="I42" s="8">
        <f>ROUND('Criaturas - Base de Dados'!K8*'Sistema de Raridade e Evolução'!E6,0)</f>
        <v>3200</v>
      </c>
      <c r="J42" s="8">
        <f>'Sistema de Raridade e Evolução'!D6</f>
        <v>56</v>
      </c>
      <c r="K42" s="8" t="s">
        <v>12</v>
      </c>
      <c r="L42" s="9">
        <f t="shared" si="0"/>
        <v>2380952.38</v>
      </c>
    </row>
    <row r="43" spans="1:12" ht="14.25" hidden="1" customHeight="1" x14ac:dyDescent="0.3">
      <c r="A43" s="8">
        <v>42</v>
      </c>
      <c r="B43" s="8" t="str">
        <f>'Criaturas - Base de Dados'!B8</f>
        <v>Ordem Celestial</v>
      </c>
      <c r="C43" s="8" t="str">
        <f>'Criaturas - Base de Dados'!C8</f>
        <v>Luz</v>
      </c>
      <c r="D43" s="8" t="str">
        <f>'Criaturas - Base de Dados'!D8</f>
        <v>Lamassu Dourado</v>
      </c>
      <c r="E43" s="8" t="str">
        <f>'Sistema de Raridade e Evolução'!B7</f>
        <v>Lendário</v>
      </c>
      <c r="F43" s="9">
        <f>ROUND(('Criaturas - Base de Dados'!H8*'Sistema de Raridade e Evolução'!E7)*1000,2)</f>
        <v>3000000</v>
      </c>
      <c r="G43" s="8">
        <f>ROUND('Criaturas - Base de Dados'!I8*'Sistema de Raridade e Evolução'!E7,0)</f>
        <v>1800</v>
      </c>
      <c r="H43" s="8">
        <f>ROUND('Criaturas - Base de Dados'!J8*'Sistema de Raridade e Evolução'!E7,0)</f>
        <v>1500</v>
      </c>
      <c r="I43" s="8">
        <f>ROUND('Criaturas - Base de Dados'!K8*'Sistema de Raridade e Evolução'!E7,0)</f>
        <v>9600</v>
      </c>
      <c r="J43" s="8">
        <f>'Sistema de Raridade e Evolução'!D7</f>
        <v>91</v>
      </c>
      <c r="K43" s="8" t="s">
        <v>925</v>
      </c>
      <c r="L43" s="9">
        <f t="shared" si="0"/>
        <v>7142857.1399999997</v>
      </c>
    </row>
    <row r="44" spans="1:12" ht="14.25" customHeight="1" x14ac:dyDescent="0.3">
      <c r="A44" s="8">
        <v>43</v>
      </c>
      <c r="B44" s="8" t="str">
        <f>'Criaturas - Base de Dados'!B9</f>
        <v>Ordem Celestial</v>
      </c>
      <c r="C44" s="8" t="str">
        <f>'Criaturas - Base de Dados'!C9</f>
        <v>Luz</v>
      </c>
      <c r="D44" s="8" t="str">
        <f>'Criaturas - Base de Dados'!D9</f>
        <v>Bennu Ancestral</v>
      </c>
      <c r="E44" s="8" t="str">
        <f>'Sistema de Raridade e Evolução'!B2</f>
        <v>Default</v>
      </c>
      <c r="F44" s="9" t="e">
        <f>ROUND(('Criaturas - Base de Dados'!H9*'Sistema de Raridade e Evolução'!E2)*1000,2)</f>
        <v>#VALUE!</v>
      </c>
      <c r="G44" s="8" t="e">
        <f>ROUND('Criaturas - Base de Dados'!I9*'Sistema de Raridade e Evolução'!E2,0)</f>
        <v>#VALUE!</v>
      </c>
      <c r="H44" s="8" t="e">
        <f>ROUND('Criaturas - Base de Dados'!J9*'Sistema de Raridade e Evolução'!E2,0)</f>
        <v>#VALUE!</v>
      </c>
      <c r="I44" s="8" t="e">
        <f>ROUND('Criaturas - Base de Dados'!K9*'Sistema de Raridade e Evolução'!E2,0)</f>
        <v>#VALUE!</v>
      </c>
      <c r="J44" s="8">
        <f>'Sistema de Raridade e Evolução'!D2</f>
        <v>1</v>
      </c>
      <c r="K44" s="8" t="s">
        <v>8</v>
      </c>
      <c r="L44" s="9" t="e">
        <f t="shared" si="0"/>
        <v>#VALUE!</v>
      </c>
    </row>
    <row r="45" spans="1:12" ht="14.25" hidden="1" customHeight="1" x14ac:dyDescent="0.3">
      <c r="A45" s="8">
        <v>44</v>
      </c>
      <c r="B45" s="8" t="str">
        <f>'Criaturas - Base de Dados'!B9</f>
        <v>Ordem Celestial</v>
      </c>
      <c r="C45" s="8" t="str">
        <f>'Criaturas - Base de Dados'!C9</f>
        <v>Luz</v>
      </c>
      <c r="D45" s="8" t="str">
        <f>'Criaturas - Base de Dados'!D9</f>
        <v>Bennu Ancestral</v>
      </c>
      <c r="E45" s="8" t="str">
        <f>'Sistema de Raridade e Evolução'!B3</f>
        <v>Bronze</v>
      </c>
      <c r="F45" s="9">
        <f>ROUND(('Criaturas - Base de Dados'!H9*'Sistema de Raridade e Evolução'!E3)*1000,2)</f>
        <v>22000</v>
      </c>
      <c r="G45" s="8">
        <f>ROUND('Criaturas - Base de Dados'!I9*'Sistema de Raridade e Evolução'!E3,0)</f>
        <v>13</v>
      </c>
      <c r="H45" s="8">
        <f>ROUND('Criaturas - Base de Dados'!J9*'Sistema de Raridade e Evolução'!E3,0)</f>
        <v>11</v>
      </c>
      <c r="I45" s="8">
        <f>ROUND('Criaturas - Base de Dados'!K9*'Sistema de Raridade e Evolução'!E3,0)</f>
        <v>70</v>
      </c>
      <c r="J45" s="8">
        <f>'Sistema de Raridade e Evolução'!D3</f>
        <v>6</v>
      </c>
      <c r="K45" s="8" t="s">
        <v>9</v>
      </c>
      <c r="L45" s="9">
        <f t="shared" si="0"/>
        <v>52380.95</v>
      </c>
    </row>
    <row r="46" spans="1:12" ht="14.25" hidden="1" customHeight="1" x14ac:dyDescent="0.3">
      <c r="A46" s="8">
        <v>45</v>
      </c>
      <c r="B46" s="8" t="str">
        <f>'Criaturas - Base de Dados'!B9</f>
        <v>Ordem Celestial</v>
      </c>
      <c r="C46" s="8" t="str">
        <f>'Criaturas - Base de Dados'!C9</f>
        <v>Luz</v>
      </c>
      <c r="D46" s="8" t="str">
        <f>'Criaturas - Base de Dados'!D9</f>
        <v>Bennu Ancestral</v>
      </c>
      <c r="E46" s="8" t="str">
        <f>'Sistema de Raridade e Evolução'!B4</f>
        <v>Prata</v>
      </c>
      <c r="F46" s="9">
        <f>ROUND(('Criaturas - Base de Dados'!H9*'Sistema de Raridade e Evolução'!E4)*1000,2)</f>
        <v>132000</v>
      </c>
      <c r="G46" s="8">
        <f>ROUND('Criaturas - Base de Dados'!I9*'Sistema de Raridade e Evolução'!E4,0)</f>
        <v>78</v>
      </c>
      <c r="H46" s="8">
        <f>ROUND('Criaturas - Base de Dados'!J9*'Sistema de Raridade e Evolução'!E4,0)</f>
        <v>66</v>
      </c>
      <c r="I46" s="8">
        <f>ROUND('Criaturas - Base de Dados'!K9*'Sistema de Raridade e Evolução'!E4,0)</f>
        <v>420</v>
      </c>
      <c r="J46" s="8">
        <f>'Sistema de Raridade e Evolução'!D4</f>
        <v>16</v>
      </c>
      <c r="K46" s="8" t="s">
        <v>10</v>
      </c>
      <c r="L46" s="9">
        <f t="shared" si="0"/>
        <v>314285.71000000002</v>
      </c>
    </row>
    <row r="47" spans="1:12" ht="14.25" hidden="1" customHeight="1" x14ac:dyDescent="0.3">
      <c r="A47" s="8">
        <v>46</v>
      </c>
      <c r="B47" s="8" t="str">
        <f>'Criaturas - Base de Dados'!B9</f>
        <v>Ordem Celestial</v>
      </c>
      <c r="C47" s="8" t="str">
        <f>'Criaturas - Base de Dados'!C9</f>
        <v>Luz</v>
      </c>
      <c r="D47" s="8" t="str">
        <f>'Criaturas - Base de Dados'!D9</f>
        <v>Bennu Ancestral</v>
      </c>
      <c r="E47" s="8" t="str">
        <f>'Sistema de Raridade e Evolução'!B5</f>
        <v>Ouro</v>
      </c>
      <c r="F47" s="9">
        <f>ROUND(('Criaturas - Base de Dados'!H9*'Sistema de Raridade e Evolução'!E5)*1000,2)</f>
        <v>396000</v>
      </c>
      <c r="G47" s="8">
        <f>ROUND('Criaturas - Base de Dados'!I9*'Sistema de Raridade e Evolução'!E5,0)</f>
        <v>234</v>
      </c>
      <c r="H47" s="8">
        <f>ROUND('Criaturas - Base de Dados'!J9*'Sistema de Raridade e Evolução'!E5,0)</f>
        <v>198</v>
      </c>
      <c r="I47" s="8">
        <f>ROUND('Criaturas - Base de Dados'!K9*'Sistema de Raridade e Evolução'!E5,0)</f>
        <v>1260</v>
      </c>
      <c r="J47" s="8">
        <f>'Sistema de Raridade e Evolução'!D5</f>
        <v>31</v>
      </c>
      <c r="K47" s="8" t="s">
        <v>11</v>
      </c>
      <c r="L47" s="9">
        <f t="shared" si="0"/>
        <v>942857.14</v>
      </c>
    </row>
    <row r="48" spans="1:12" ht="14.25" hidden="1" customHeight="1" x14ac:dyDescent="0.3">
      <c r="A48" s="8">
        <v>47</v>
      </c>
      <c r="B48" s="8" t="str">
        <f>'Criaturas - Base de Dados'!B9</f>
        <v>Ordem Celestial</v>
      </c>
      <c r="C48" s="8" t="str">
        <f>'Criaturas - Base de Dados'!C9</f>
        <v>Luz</v>
      </c>
      <c r="D48" s="8" t="str">
        <f>'Criaturas - Base de Dados'!D9</f>
        <v>Bennu Ancestral</v>
      </c>
      <c r="E48" s="8" t="str">
        <f>'Sistema de Raridade e Evolução'!B6</f>
        <v>Platina</v>
      </c>
      <c r="F48" s="9">
        <f>ROUND(('Criaturas - Base de Dados'!H9*'Sistema de Raridade e Evolução'!E6)*1000,2)</f>
        <v>1100000</v>
      </c>
      <c r="G48" s="8">
        <f>ROUND('Criaturas - Base de Dados'!I9*'Sistema de Raridade e Evolução'!E6,0)</f>
        <v>650</v>
      </c>
      <c r="H48" s="8">
        <f>ROUND('Criaturas - Base de Dados'!J9*'Sistema de Raridade e Evolução'!E6,0)</f>
        <v>550</v>
      </c>
      <c r="I48" s="8">
        <f>ROUND('Criaturas - Base de Dados'!K9*'Sistema de Raridade e Evolução'!E6,0)</f>
        <v>3500</v>
      </c>
      <c r="J48" s="8">
        <f>'Sistema de Raridade e Evolução'!D6</f>
        <v>56</v>
      </c>
      <c r="K48" s="8" t="s">
        <v>12</v>
      </c>
      <c r="L48" s="9">
        <f t="shared" si="0"/>
        <v>2619047.62</v>
      </c>
    </row>
    <row r="49" spans="1:12" ht="14.25" hidden="1" customHeight="1" x14ac:dyDescent="0.3">
      <c r="A49" s="8">
        <v>48</v>
      </c>
      <c r="B49" s="8" t="str">
        <f>'Criaturas - Base de Dados'!B9</f>
        <v>Ordem Celestial</v>
      </c>
      <c r="C49" s="8" t="str">
        <f>'Criaturas - Base de Dados'!C9</f>
        <v>Luz</v>
      </c>
      <c r="D49" s="8" t="str">
        <f>'Criaturas - Base de Dados'!D9</f>
        <v>Bennu Ancestral</v>
      </c>
      <c r="E49" s="8" t="str">
        <f>'Sistema de Raridade e Evolução'!B7</f>
        <v>Lendário</v>
      </c>
      <c r="F49" s="9">
        <f>ROUND(('Criaturas - Base de Dados'!H9*'Sistema de Raridade e Evolução'!E7)*1000,2)</f>
        <v>3300000</v>
      </c>
      <c r="G49" s="8">
        <f>ROUND('Criaturas - Base de Dados'!I9*'Sistema de Raridade e Evolução'!E7,0)</f>
        <v>1950</v>
      </c>
      <c r="H49" s="8">
        <f>ROUND('Criaturas - Base de Dados'!J9*'Sistema de Raridade e Evolução'!E7,0)</f>
        <v>1650</v>
      </c>
      <c r="I49" s="8">
        <f>ROUND('Criaturas - Base de Dados'!K9*'Sistema de Raridade e Evolução'!E7,0)</f>
        <v>10500</v>
      </c>
      <c r="J49" s="8">
        <f>'Sistema de Raridade e Evolução'!D7</f>
        <v>91</v>
      </c>
      <c r="K49" s="8" t="s">
        <v>925</v>
      </c>
      <c r="L49" s="9">
        <f t="shared" si="0"/>
        <v>7857142.8600000003</v>
      </c>
    </row>
    <row r="50" spans="1:12" ht="14.25" customHeight="1" x14ac:dyDescent="0.3">
      <c r="A50" s="8">
        <v>49</v>
      </c>
      <c r="B50" s="8" t="str">
        <f>'Criaturas - Base de Dados'!B10</f>
        <v>Ordem Celestial</v>
      </c>
      <c r="C50" s="8" t="str">
        <f>'Criaturas - Base de Dados'!C10</f>
        <v>Luz</v>
      </c>
      <c r="D50" s="8" t="str">
        <f>'Criaturas - Base de Dados'!D10</f>
        <v>Garuda Radiante</v>
      </c>
      <c r="E50" s="8" t="str">
        <f>'Sistema de Raridade e Evolução'!B2</f>
        <v>Default</v>
      </c>
      <c r="F50" s="9" t="e">
        <f>ROUND(('Criaturas - Base de Dados'!H10*'Sistema de Raridade e Evolução'!E2)*1000,2)</f>
        <v>#VALUE!</v>
      </c>
      <c r="G50" s="8" t="e">
        <f>ROUND('Criaturas - Base de Dados'!I10*'Sistema de Raridade e Evolução'!E2,0)</f>
        <v>#VALUE!</v>
      </c>
      <c r="H50" s="8" t="e">
        <f>ROUND('Criaturas - Base de Dados'!J10*'Sistema de Raridade e Evolução'!E2,0)</f>
        <v>#VALUE!</v>
      </c>
      <c r="I50" s="8" t="e">
        <f>ROUND('Criaturas - Base de Dados'!K10*'Sistema de Raridade e Evolução'!E2,0)</f>
        <v>#VALUE!</v>
      </c>
      <c r="J50" s="8">
        <f>'Sistema de Raridade e Evolução'!D2</f>
        <v>1</v>
      </c>
      <c r="K50" s="8" t="s">
        <v>8</v>
      </c>
      <c r="L50" s="9" t="e">
        <f t="shared" si="0"/>
        <v>#VALUE!</v>
      </c>
    </row>
    <row r="51" spans="1:12" ht="14.25" hidden="1" customHeight="1" x14ac:dyDescent="0.3">
      <c r="A51" s="8">
        <v>50</v>
      </c>
      <c r="B51" s="8" t="str">
        <f>'Criaturas - Base de Dados'!B10</f>
        <v>Ordem Celestial</v>
      </c>
      <c r="C51" s="8" t="str">
        <f>'Criaturas - Base de Dados'!C10</f>
        <v>Luz</v>
      </c>
      <c r="D51" s="8" t="str">
        <f>'Criaturas - Base de Dados'!D10</f>
        <v>Garuda Radiante</v>
      </c>
      <c r="E51" s="8" t="str">
        <f>'Sistema de Raridade e Evolução'!B3</f>
        <v>Bronze</v>
      </c>
      <c r="F51" s="9">
        <f>ROUND(('Criaturas - Base de Dados'!H10*'Sistema de Raridade e Evolução'!E3)*1000,2)</f>
        <v>24000</v>
      </c>
      <c r="G51" s="8">
        <f>ROUND('Criaturas - Base de Dados'!I10*'Sistema de Raridade e Evolução'!E3,0)</f>
        <v>14</v>
      </c>
      <c r="H51" s="8">
        <f>ROUND('Criaturas - Base de Dados'!J10*'Sistema de Raridade e Evolução'!E3,0)</f>
        <v>12</v>
      </c>
      <c r="I51" s="8">
        <f>ROUND('Criaturas - Base de Dados'!K10*'Sistema de Raridade e Evolução'!E3,0)</f>
        <v>77</v>
      </c>
      <c r="J51" s="8">
        <f>'Sistema de Raridade e Evolução'!D3</f>
        <v>6</v>
      </c>
      <c r="K51" s="8" t="s">
        <v>9</v>
      </c>
      <c r="L51" s="9">
        <f t="shared" si="0"/>
        <v>57142.86</v>
      </c>
    </row>
    <row r="52" spans="1:12" ht="14.25" hidden="1" customHeight="1" x14ac:dyDescent="0.3">
      <c r="A52" s="8">
        <v>51</v>
      </c>
      <c r="B52" s="8" t="str">
        <f>'Criaturas - Base de Dados'!B10</f>
        <v>Ordem Celestial</v>
      </c>
      <c r="C52" s="8" t="str">
        <f>'Criaturas - Base de Dados'!C10</f>
        <v>Luz</v>
      </c>
      <c r="D52" s="8" t="str">
        <f>'Criaturas - Base de Dados'!D10</f>
        <v>Garuda Radiante</v>
      </c>
      <c r="E52" s="8" t="str">
        <f>'Sistema de Raridade e Evolução'!B4</f>
        <v>Prata</v>
      </c>
      <c r="F52" s="9">
        <f>ROUND(('Criaturas - Base de Dados'!H10*'Sistema de Raridade e Evolução'!E4)*1000,2)</f>
        <v>144000</v>
      </c>
      <c r="G52" s="8">
        <f>ROUND('Criaturas - Base de Dados'!I10*'Sistema de Raridade e Evolução'!E4,0)</f>
        <v>84</v>
      </c>
      <c r="H52" s="8">
        <f>ROUND('Criaturas - Base de Dados'!J10*'Sistema de Raridade e Evolução'!E4,0)</f>
        <v>72</v>
      </c>
      <c r="I52" s="8">
        <f>ROUND('Criaturas - Base de Dados'!K10*'Sistema de Raridade e Evolução'!E4,0)</f>
        <v>462</v>
      </c>
      <c r="J52" s="8">
        <f>'Sistema de Raridade e Evolução'!D4</f>
        <v>16</v>
      </c>
      <c r="K52" s="8" t="s">
        <v>10</v>
      </c>
      <c r="L52" s="9">
        <f t="shared" si="0"/>
        <v>342857.14</v>
      </c>
    </row>
    <row r="53" spans="1:12" ht="14.25" hidden="1" customHeight="1" x14ac:dyDescent="0.3">
      <c r="A53" s="8">
        <v>52</v>
      </c>
      <c r="B53" s="8" t="str">
        <f>'Criaturas - Base de Dados'!B10</f>
        <v>Ordem Celestial</v>
      </c>
      <c r="C53" s="8" t="str">
        <f>'Criaturas - Base de Dados'!C10</f>
        <v>Luz</v>
      </c>
      <c r="D53" s="8" t="str">
        <f>'Criaturas - Base de Dados'!D10</f>
        <v>Garuda Radiante</v>
      </c>
      <c r="E53" s="8" t="str">
        <f>'Sistema de Raridade e Evolução'!B5</f>
        <v>Ouro</v>
      </c>
      <c r="F53" s="9">
        <f>ROUND(('Criaturas - Base de Dados'!H10*'Sistema de Raridade e Evolução'!E5)*1000,2)</f>
        <v>432000</v>
      </c>
      <c r="G53" s="8">
        <f>ROUND('Criaturas - Base de Dados'!I10*'Sistema de Raridade e Evolução'!E5,0)</f>
        <v>252</v>
      </c>
      <c r="H53" s="8">
        <f>ROUND('Criaturas - Base de Dados'!J10*'Sistema de Raridade e Evolução'!E5,0)</f>
        <v>216</v>
      </c>
      <c r="I53" s="8">
        <f>ROUND('Criaturas - Base de Dados'!K10*'Sistema de Raridade e Evolução'!E5,0)</f>
        <v>1386</v>
      </c>
      <c r="J53" s="8">
        <f>'Sistema de Raridade e Evolução'!D5</f>
        <v>31</v>
      </c>
      <c r="K53" s="8" t="s">
        <v>11</v>
      </c>
      <c r="L53" s="9">
        <f t="shared" si="0"/>
        <v>1028571.43</v>
      </c>
    </row>
    <row r="54" spans="1:12" ht="14.25" hidden="1" customHeight="1" x14ac:dyDescent="0.3">
      <c r="A54" s="8">
        <v>53</v>
      </c>
      <c r="B54" s="8" t="str">
        <f>'Criaturas - Base de Dados'!B10</f>
        <v>Ordem Celestial</v>
      </c>
      <c r="C54" s="8" t="str">
        <f>'Criaturas - Base de Dados'!C10</f>
        <v>Luz</v>
      </c>
      <c r="D54" s="8" t="str">
        <f>'Criaturas - Base de Dados'!D10</f>
        <v>Garuda Radiante</v>
      </c>
      <c r="E54" s="8" t="str">
        <f>'Sistema de Raridade e Evolução'!B6</f>
        <v>Platina</v>
      </c>
      <c r="F54" s="9">
        <f>ROUND(('Criaturas - Base de Dados'!H10*'Sistema de Raridade e Evolução'!E6)*1000,2)</f>
        <v>1200000</v>
      </c>
      <c r="G54" s="8">
        <f>ROUND('Criaturas - Base de Dados'!I10*'Sistema de Raridade e Evolução'!E6,0)</f>
        <v>700</v>
      </c>
      <c r="H54" s="8">
        <f>ROUND('Criaturas - Base de Dados'!J10*'Sistema de Raridade e Evolução'!E6,0)</f>
        <v>600</v>
      </c>
      <c r="I54" s="8">
        <f>ROUND('Criaturas - Base de Dados'!K10*'Sistema de Raridade e Evolução'!E6,0)</f>
        <v>3850</v>
      </c>
      <c r="J54" s="8">
        <f>'Sistema de Raridade e Evolução'!D6</f>
        <v>56</v>
      </c>
      <c r="K54" s="8" t="s">
        <v>12</v>
      </c>
      <c r="L54" s="9">
        <f t="shared" si="0"/>
        <v>2857142.86</v>
      </c>
    </row>
    <row r="55" spans="1:12" ht="14.25" hidden="1" customHeight="1" x14ac:dyDescent="0.3">
      <c r="A55" s="8">
        <v>54</v>
      </c>
      <c r="B55" s="8" t="str">
        <f>'Criaturas - Base de Dados'!B10</f>
        <v>Ordem Celestial</v>
      </c>
      <c r="C55" s="8" t="str">
        <f>'Criaturas - Base de Dados'!C10</f>
        <v>Luz</v>
      </c>
      <c r="D55" s="8" t="str">
        <f>'Criaturas - Base de Dados'!D10</f>
        <v>Garuda Radiante</v>
      </c>
      <c r="E55" s="8" t="str">
        <f>'Sistema de Raridade e Evolução'!B7</f>
        <v>Lendário</v>
      </c>
      <c r="F55" s="9">
        <f>ROUND(('Criaturas - Base de Dados'!H10*'Sistema de Raridade e Evolução'!E7)*1000,2)</f>
        <v>3600000</v>
      </c>
      <c r="G55" s="8">
        <f>ROUND('Criaturas - Base de Dados'!I10*'Sistema de Raridade e Evolução'!E7,0)</f>
        <v>2100</v>
      </c>
      <c r="H55" s="8">
        <f>ROUND('Criaturas - Base de Dados'!J10*'Sistema de Raridade e Evolução'!E7,0)</f>
        <v>1800</v>
      </c>
      <c r="I55" s="8">
        <f>ROUND('Criaturas - Base de Dados'!K10*'Sistema de Raridade e Evolução'!E7,0)</f>
        <v>11550</v>
      </c>
      <c r="J55" s="8">
        <f>'Sistema de Raridade e Evolução'!D7</f>
        <v>91</v>
      </c>
      <c r="K55" s="8" t="s">
        <v>925</v>
      </c>
      <c r="L55" s="9">
        <f t="shared" si="0"/>
        <v>8571428.5700000003</v>
      </c>
    </row>
    <row r="56" spans="1:12" ht="14.25" customHeight="1" x14ac:dyDescent="0.3">
      <c r="A56" s="8">
        <v>55</v>
      </c>
      <c r="B56" s="8" t="str">
        <f>'Criaturas - Base de Dados'!B11</f>
        <v>Ordem Celestial</v>
      </c>
      <c r="C56" s="8" t="str">
        <f>'Criaturas - Base de Dados'!C11</f>
        <v>Luz</v>
      </c>
      <c r="D56" s="8" t="str">
        <f>'Criaturas - Base de Dados'!D11</f>
        <v>Simurgh Eterno</v>
      </c>
      <c r="E56" s="8" t="str">
        <f>'Sistema de Raridade e Evolução'!B2</f>
        <v>Default</v>
      </c>
      <c r="F56" s="9" t="e">
        <f>ROUND(('Criaturas - Base de Dados'!H11*'Sistema de Raridade e Evolução'!E2)*1000,2)</f>
        <v>#VALUE!</v>
      </c>
      <c r="G56" s="8" t="e">
        <f>ROUND('Criaturas - Base de Dados'!I11*'Sistema de Raridade e Evolução'!E2,0)</f>
        <v>#VALUE!</v>
      </c>
      <c r="H56" s="8" t="e">
        <f>ROUND('Criaturas - Base de Dados'!J11*'Sistema de Raridade e Evolução'!E2,0)</f>
        <v>#VALUE!</v>
      </c>
      <c r="I56" s="8" t="e">
        <f>ROUND('Criaturas - Base de Dados'!K11*'Sistema de Raridade e Evolução'!E2,0)</f>
        <v>#VALUE!</v>
      </c>
      <c r="J56" s="8">
        <f>'Sistema de Raridade e Evolução'!D2</f>
        <v>1</v>
      </c>
      <c r="K56" s="8" t="s">
        <v>8</v>
      </c>
      <c r="L56" s="9" t="e">
        <f t="shared" si="0"/>
        <v>#VALUE!</v>
      </c>
    </row>
    <row r="57" spans="1:12" ht="14.25" hidden="1" customHeight="1" x14ac:dyDescent="0.3">
      <c r="A57" s="8">
        <v>56</v>
      </c>
      <c r="B57" s="8" t="str">
        <f>'Criaturas - Base de Dados'!B11</f>
        <v>Ordem Celestial</v>
      </c>
      <c r="C57" s="8" t="str">
        <f>'Criaturas - Base de Dados'!C11</f>
        <v>Luz</v>
      </c>
      <c r="D57" s="8" t="str">
        <f>'Criaturas - Base de Dados'!D11</f>
        <v>Simurgh Eterno</v>
      </c>
      <c r="E57" s="8" t="str">
        <f>'Sistema de Raridade e Evolução'!B3</f>
        <v>Bronze</v>
      </c>
      <c r="F57" s="9">
        <f>ROUND(('Criaturas - Base de Dados'!H11*'Sistema de Raridade e Evolução'!E3)*1000,2)</f>
        <v>26000</v>
      </c>
      <c r="G57" s="8">
        <f>ROUND('Criaturas - Base de Dados'!I11*'Sistema de Raridade e Evolução'!E3,0)</f>
        <v>16</v>
      </c>
      <c r="H57" s="8">
        <f>ROUND('Criaturas - Base de Dados'!J11*'Sistema de Raridade e Evolução'!E3,0)</f>
        <v>13</v>
      </c>
      <c r="I57" s="8">
        <f>ROUND('Criaturas - Base de Dados'!K11*'Sistema de Raridade e Evolução'!E3,0)</f>
        <v>83</v>
      </c>
      <c r="J57" s="8">
        <f>'Sistema de Raridade e Evolução'!D3</f>
        <v>6</v>
      </c>
      <c r="K57" s="8" t="s">
        <v>9</v>
      </c>
      <c r="L57" s="9">
        <f t="shared" si="0"/>
        <v>61904.76</v>
      </c>
    </row>
    <row r="58" spans="1:12" ht="14.25" hidden="1" customHeight="1" x14ac:dyDescent="0.3">
      <c r="A58" s="8">
        <v>57</v>
      </c>
      <c r="B58" s="8" t="str">
        <f>'Criaturas - Base de Dados'!B11</f>
        <v>Ordem Celestial</v>
      </c>
      <c r="C58" s="8" t="str">
        <f>'Criaturas - Base de Dados'!C11</f>
        <v>Luz</v>
      </c>
      <c r="D58" s="8" t="str">
        <f>'Criaturas - Base de Dados'!D11</f>
        <v>Simurgh Eterno</v>
      </c>
      <c r="E58" s="8" t="str">
        <f>'Sistema de Raridade e Evolução'!B4</f>
        <v>Prata</v>
      </c>
      <c r="F58" s="9">
        <f>ROUND(('Criaturas - Base de Dados'!H11*'Sistema de Raridade e Evolução'!E4)*1000,2)</f>
        <v>156000</v>
      </c>
      <c r="G58" s="8">
        <f>ROUND('Criaturas - Base de Dados'!I11*'Sistema de Raridade e Evolução'!E4,0)</f>
        <v>96</v>
      </c>
      <c r="H58" s="8">
        <f>ROUND('Criaturas - Base de Dados'!J11*'Sistema de Raridade e Evolução'!E4,0)</f>
        <v>78</v>
      </c>
      <c r="I58" s="8">
        <f>ROUND('Criaturas - Base de Dados'!K11*'Sistema de Raridade e Evolução'!E4,0)</f>
        <v>498</v>
      </c>
      <c r="J58" s="8">
        <f>'Sistema de Raridade e Evolução'!D4</f>
        <v>16</v>
      </c>
      <c r="K58" s="8" t="s">
        <v>10</v>
      </c>
      <c r="L58" s="9">
        <f t="shared" si="0"/>
        <v>371428.57</v>
      </c>
    </row>
    <row r="59" spans="1:12" ht="14.25" hidden="1" customHeight="1" x14ac:dyDescent="0.3">
      <c r="A59" s="8">
        <v>58</v>
      </c>
      <c r="B59" s="8" t="str">
        <f>'Criaturas - Base de Dados'!B11</f>
        <v>Ordem Celestial</v>
      </c>
      <c r="C59" s="8" t="str">
        <f>'Criaturas - Base de Dados'!C11</f>
        <v>Luz</v>
      </c>
      <c r="D59" s="8" t="str">
        <f>'Criaturas - Base de Dados'!D11</f>
        <v>Simurgh Eterno</v>
      </c>
      <c r="E59" s="8" t="str">
        <f>'Sistema de Raridade e Evolução'!B5</f>
        <v>Ouro</v>
      </c>
      <c r="F59" s="9">
        <f>ROUND(('Criaturas - Base de Dados'!H11*'Sistema de Raridade e Evolução'!E5)*1000,2)</f>
        <v>468000</v>
      </c>
      <c r="G59" s="8">
        <f>ROUND('Criaturas - Base de Dados'!I11*'Sistema de Raridade e Evolução'!E5,0)</f>
        <v>288</v>
      </c>
      <c r="H59" s="8">
        <f>ROUND('Criaturas - Base de Dados'!J11*'Sistema de Raridade e Evolução'!E5,0)</f>
        <v>234</v>
      </c>
      <c r="I59" s="8">
        <f>ROUND('Criaturas - Base de Dados'!K11*'Sistema de Raridade e Evolução'!E5,0)</f>
        <v>1494</v>
      </c>
      <c r="J59" s="8">
        <f>'Sistema de Raridade e Evolução'!D5</f>
        <v>31</v>
      </c>
      <c r="K59" s="8" t="s">
        <v>11</v>
      </c>
      <c r="L59" s="9">
        <f t="shared" si="0"/>
        <v>1114285.71</v>
      </c>
    </row>
    <row r="60" spans="1:12" ht="14.25" hidden="1" customHeight="1" x14ac:dyDescent="0.3">
      <c r="A60" s="8">
        <v>59</v>
      </c>
      <c r="B60" s="8" t="str">
        <f>'Criaturas - Base de Dados'!B11</f>
        <v>Ordem Celestial</v>
      </c>
      <c r="C60" s="8" t="str">
        <f>'Criaturas - Base de Dados'!C11</f>
        <v>Luz</v>
      </c>
      <c r="D60" s="8" t="str">
        <f>'Criaturas - Base de Dados'!D11</f>
        <v>Simurgh Eterno</v>
      </c>
      <c r="E60" s="8" t="str">
        <f>'Sistema de Raridade e Evolução'!B6</f>
        <v>Platina</v>
      </c>
      <c r="F60" s="9">
        <f>ROUND(('Criaturas - Base de Dados'!H11*'Sistema de Raridade e Evolução'!E6)*1000,2)</f>
        <v>1300000</v>
      </c>
      <c r="G60" s="8">
        <f>ROUND('Criaturas - Base de Dados'!I11*'Sistema de Raridade e Evolução'!E6,0)</f>
        <v>800</v>
      </c>
      <c r="H60" s="8">
        <f>ROUND('Criaturas - Base de Dados'!J11*'Sistema de Raridade e Evolução'!E6,0)</f>
        <v>650</v>
      </c>
      <c r="I60" s="8">
        <f>ROUND('Criaturas - Base de Dados'!K11*'Sistema de Raridade e Evolução'!E6,0)</f>
        <v>4150</v>
      </c>
      <c r="J60" s="8">
        <f>'Sistema de Raridade e Evolução'!D6</f>
        <v>56</v>
      </c>
      <c r="K60" s="8" t="s">
        <v>12</v>
      </c>
      <c r="L60" s="9">
        <f t="shared" si="0"/>
        <v>3095238.1</v>
      </c>
    </row>
    <row r="61" spans="1:12" ht="14.25" hidden="1" customHeight="1" x14ac:dyDescent="0.3">
      <c r="A61" s="8">
        <v>60</v>
      </c>
      <c r="B61" s="8" t="str">
        <f>'Criaturas - Base de Dados'!B11</f>
        <v>Ordem Celestial</v>
      </c>
      <c r="C61" s="8" t="str">
        <f>'Criaturas - Base de Dados'!C11</f>
        <v>Luz</v>
      </c>
      <c r="D61" s="8" t="str">
        <f>'Criaturas - Base de Dados'!D11</f>
        <v>Simurgh Eterno</v>
      </c>
      <c r="E61" s="8" t="str">
        <f>'Sistema de Raridade e Evolução'!B7</f>
        <v>Lendário</v>
      </c>
      <c r="F61" s="9">
        <f>ROUND(('Criaturas - Base de Dados'!H11*'Sistema de Raridade e Evolução'!E7)*1000,2)</f>
        <v>3900000</v>
      </c>
      <c r="G61" s="8">
        <f>ROUND('Criaturas - Base de Dados'!I11*'Sistema de Raridade e Evolução'!E7,0)</f>
        <v>2400</v>
      </c>
      <c r="H61" s="8">
        <f>ROUND('Criaturas - Base de Dados'!J11*'Sistema de Raridade e Evolução'!E7,0)</f>
        <v>1950</v>
      </c>
      <c r="I61" s="8">
        <f>ROUND('Criaturas - Base de Dados'!K11*'Sistema de Raridade e Evolução'!E7,0)</f>
        <v>12450</v>
      </c>
      <c r="J61" s="8">
        <f>'Sistema de Raridade e Evolução'!D7</f>
        <v>91</v>
      </c>
      <c r="K61" s="8" t="s">
        <v>925</v>
      </c>
      <c r="L61" s="9">
        <f t="shared" si="0"/>
        <v>9285714.2899999991</v>
      </c>
    </row>
    <row r="62" spans="1:12" ht="14.25" customHeight="1" x14ac:dyDescent="0.3">
      <c r="A62" s="8">
        <v>61</v>
      </c>
      <c r="B62" s="8" t="str">
        <f>'Criaturas - Base de Dados'!B12</f>
        <v>Ordem Celestial</v>
      </c>
      <c r="C62" s="8" t="str">
        <f>'Criaturas - Base de Dados'!C12</f>
        <v>Luz</v>
      </c>
      <c r="D62" s="8" t="str">
        <f>'Criaturas - Base de Dados'!D12</f>
        <v>Kirin Puro</v>
      </c>
      <c r="E62" s="8" t="str">
        <f>'Sistema de Raridade e Evolução'!B2</f>
        <v>Default</v>
      </c>
      <c r="F62" s="9" t="e">
        <f>ROUND(('Criaturas - Base de Dados'!H12*'Sistema de Raridade e Evolução'!E2)*1000,2)</f>
        <v>#VALUE!</v>
      </c>
      <c r="G62" s="8" t="e">
        <f>ROUND('Criaturas - Base de Dados'!I12*'Sistema de Raridade e Evolução'!E2,0)</f>
        <v>#VALUE!</v>
      </c>
      <c r="H62" s="8" t="e">
        <f>ROUND('Criaturas - Base de Dados'!J12*'Sistema de Raridade e Evolução'!E2,0)</f>
        <v>#VALUE!</v>
      </c>
      <c r="I62" s="8" t="e">
        <f>ROUND('Criaturas - Base de Dados'!K12*'Sistema de Raridade e Evolução'!E2,0)</f>
        <v>#VALUE!</v>
      </c>
      <c r="J62" s="8">
        <f>'Sistema de Raridade e Evolução'!D2</f>
        <v>1</v>
      </c>
      <c r="K62" s="8" t="s">
        <v>8</v>
      </c>
      <c r="L62" s="9" t="e">
        <f t="shared" si="0"/>
        <v>#VALUE!</v>
      </c>
    </row>
    <row r="63" spans="1:12" ht="14.25" hidden="1" customHeight="1" x14ac:dyDescent="0.3">
      <c r="A63" s="8">
        <v>62</v>
      </c>
      <c r="B63" s="8" t="str">
        <f>'Criaturas - Base de Dados'!B12</f>
        <v>Ordem Celestial</v>
      </c>
      <c r="C63" s="8" t="str">
        <f>'Criaturas - Base de Dados'!C12</f>
        <v>Luz</v>
      </c>
      <c r="D63" s="8" t="str">
        <f>'Criaturas - Base de Dados'!D12</f>
        <v>Kirin Puro</v>
      </c>
      <c r="E63" s="8" t="str">
        <f>'Sistema de Raridade e Evolução'!B3</f>
        <v>Bronze</v>
      </c>
      <c r="F63" s="9">
        <f>ROUND(('Criaturas - Base de Dados'!H12*'Sistema de Raridade e Evolução'!E3)*1000,2)</f>
        <v>28000</v>
      </c>
      <c r="G63" s="8">
        <f>ROUND('Criaturas - Base de Dados'!I12*'Sistema de Raridade e Evolução'!E3,0)</f>
        <v>17</v>
      </c>
      <c r="H63" s="8">
        <f>ROUND('Criaturas - Base de Dados'!J12*'Sistema de Raridade e Evolução'!E3,0)</f>
        <v>14</v>
      </c>
      <c r="I63" s="8">
        <f>ROUND('Criaturas - Base de Dados'!K12*'Sistema de Raridade e Evolução'!E3,0)</f>
        <v>90</v>
      </c>
      <c r="J63" s="8">
        <f>'Sistema de Raridade e Evolução'!D3</f>
        <v>6</v>
      </c>
      <c r="K63" s="8" t="s">
        <v>9</v>
      </c>
      <c r="L63" s="9">
        <f t="shared" si="0"/>
        <v>66666.67</v>
      </c>
    </row>
    <row r="64" spans="1:12" ht="14.25" hidden="1" customHeight="1" x14ac:dyDescent="0.3">
      <c r="A64" s="8">
        <v>63</v>
      </c>
      <c r="B64" s="8" t="str">
        <f>'Criaturas - Base de Dados'!B12</f>
        <v>Ordem Celestial</v>
      </c>
      <c r="C64" s="8" t="str">
        <f>'Criaturas - Base de Dados'!C12</f>
        <v>Luz</v>
      </c>
      <c r="D64" s="8" t="str">
        <f>'Criaturas - Base de Dados'!D12</f>
        <v>Kirin Puro</v>
      </c>
      <c r="E64" s="8" t="str">
        <f>'Sistema de Raridade e Evolução'!B4</f>
        <v>Prata</v>
      </c>
      <c r="F64" s="9">
        <f>ROUND(('Criaturas - Base de Dados'!H12*'Sistema de Raridade e Evolução'!E4)*1000,2)</f>
        <v>168000</v>
      </c>
      <c r="G64" s="8">
        <f>ROUND('Criaturas - Base de Dados'!I12*'Sistema de Raridade e Evolução'!E4,0)</f>
        <v>102</v>
      </c>
      <c r="H64" s="8">
        <f>ROUND('Criaturas - Base de Dados'!J12*'Sistema de Raridade e Evolução'!E4,0)</f>
        <v>84</v>
      </c>
      <c r="I64" s="8">
        <f>ROUND('Criaturas - Base de Dados'!K12*'Sistema de Raridade e Evolução'!E4,0)</f>
        <v>540</v>
      </c>
      <c r="J64" s="8">
        <f>'Sistema de Raridade e Evolução'!D4</f>
        <v>16</v>
      </c>
      <c r="K64" s="8" t="s">
        <v>10</v>
      </c>
      <c r="L64" s="9">
        <f t="shared" si="0"/>
        <v>400000</v>
      </c>
    </row>
    <row r="65" spans="1:12" ht="14.25" hidden="1" customHeight="1" x14ac:dyDescent="0.3">
      <c r="A65" s="8">
        <v>64</v>
      </c>
      <c r="B65" s="8" t="str">
        <f>'Criaturas - Base de Dados'!B12</f>
        <v>Ordem Celestial</v>
      </c>
      <c r="C65" s="8" t="str">
        <f>'Criaturas - Base de Dados'!C12</f>
        <v>Luz</v>
      </c>
      <c r="D65" s="8" t="str">
        <f>'Criaturas - Base de Dados'!D12</f>
        <v>Kirin Puro</v>
      </c>
      <c r="E65" s="8" t="str">
        <f>'Sistema de Raridade e Evolução'!B5</f>
        <v>Ouro</v>
      </c>
      <c r="F65" s="9">
        <f>ROUND(('Criaturas - Base de Dados'!H12*'Sistema de Raridade e Evolução'!E5)*1000,2)</f>
        <v>504000</v>
      </c>
      <c r="G65" s="8">
        <f>ROUND('Criaturas - Base de Dados'!I12*'Sistema de Raridade e Evolução'!E5,0)</f>
        <v>306</v>
      </c>
      <c r="H65" s="8">
        <f>ROUND('Criaturas - Base de Dados'!J12*'Sistema de Raridade e Evolução'!E5,0)</f>
        <v>252</v>
      </c>
      <c r="I65" s="8">
        <f>ROUND('Criaturas - Base de Dados'!K12*'Sistema de Raridade e Evolução'!E5,0)</f>
        <v>1620</v>
      </c>
      <c r="J65" s="8">
        <f>'Sistema de Raridade e Evolução'!D5</f>
        <v>31</v>
      </c>
      <c r="K65" s="8" t="s">
        <v>11</v>
      </c>
      <c r="L65" s="9">
        <f t="shared" si="0"/>
        <v>1200000</v>
      </c>
    </row>
    <row r="66" spans="1:12" ht="14.25" hidden="1" customHeight="1" x14ac:dyDescent="0.3">
      <c r="A66" s="8">
        <v>65</v>
      </c>
      <c r="B66" s="8" t="str">
        <f>'Criaturas - Base de Dados'!B12</f>
        <v>Ordem Celestial</v>
      </c>
      <c r="C66" s="8" t="str">
        <f>'Criaturas - Base de Dados'!C12</f>
        <v>Luz</v>
      </c>
      <c r="D66" s="8" t="str">
        <f>'Criaturas - Base de Dados'!D12</f>
        <v>Kirin Puro</v>
      </c>
      <c r="E66" s="8" t="str">
        <f>'Sistema de Raridade e Evolução'!B6</f>
        <v>Platina</v>
      </c>
      <c r="F66" s="9">
        <f>ROUND(('Criaturas - Base de Dados'!H12*'Sistema de Raridade e Evolução'!E6)*1000,2)</f>
        <v>1400000</v>
      </c>
      <c r="G66" s="8">
        <f>ROUND('Criaturas - Base de Dados'!I12*'Sistema de Raridade e Evolução'!E6,0)</f>
        <v>850</v>
      </c>
      <c r="H66" s="8">
        <f>ROUND('Criaturas - Base de Dados'!J12*'Sistema de Raridade e Evolução'!E6,0)</f>
        <v>700</v>
      </c>
      <c r="I66" s="8">
        <f>ROUND('Criaturas - Base de Dados'!K12*'Sistema de Raridade e Evolução'!E6,0)</f>
        <v>4500</v>
      </c>
      <c r="J66" s="8">
        <f>'Sistema de Raridade e Evolução'!D6</f>
        <v>56</v>
      </c>
      <c r="K66" s="8" t="s">
        <v>12</v>
      </c>
      <c r="L66" s="9">
        <f t="shared" ref="L66:L129" si="1">ROUND(F66*(2.5/1.05),2)</f>
        <v>3333333.33</v>
      </c>
    </row>
    <row r="67" spans="1:12" ht="14.25" hidden="1" customHeight="1" x14ac:dyDescent="0.3">
      <c r="A67" s="8">
        <v>66</v>
      </c>
      <c r="B67" s="8" t="str">
        <f>'Criaturas - Base de Dados'!B12</f>
        <v>Ordem Celestial</v>
      </c>
      <c r="C67" s="8" t="str">
        <f>'Criaturas - Base de Dados'!C12</f>
        <v>Luz</v>
      </c>
      <c r="D67" s="8" t="str">
        <f>'Criaturas - Base de Dados'!D12</f>
        <v>Kirin Puro</v>
      </c>
      <c r="E67" s="8" t="str">
        <f>'Sistema de Raridade e Evolução'!B7</f>
        <v>Lendário</v>
      </c>
      <c r="F67" s="9">
        <f>ROUND(('Criaturas - Base de Dados'!H12*'Sistema de Raridade e Evolução'!E7)*1000,2)</f>
        <v>4200000</v>
      </c>
      <c r="G67" s="8">
        <f>ROUND('Criaturas - Base de Dados'!I12*'Sistema de Raridade e Evolução'!E7,0)</f>
        <v>2550</v>
      </c>
      <c r="H67" s="8">
        <f>ROUND('Criaturas - Base de Dados'!J12*'Sistema de Raridade e Evolução'!E7,0)</f>
        <v>2100</v>
      </c>
      <c r="I67" s="8">
        <f>ROUND('Criaturas - Base de Dados'!K12*'Sistema de Raridade e Evolução'!E7,0)</f>
        <v>13500</v>
      </c>
      <c r="J67" s="8">
        <f>'Sistema de Raridade e Evolução'!D7</f>
        <v>91</v>
      </c>
      <c r="K67" s="8" t="s">
        <v>925</v>
      </c>
      <c r="L67" s="9">
        <f t="shared" si="1"/>
        <v>10000000</v>
      </c>
    </row>
    <row r="68" spans="1:12" ht="14.25" customHeight="1" x14ac:dyDescent="0.3">
      <c r="A68" s="8">
        <v>67</v>
      </c>
      <c r="B68" s="8" t="str">
        <f>'Criaturas - Base de Dados'!B13</f>
        <v>Ordem Celestial</v>
      </c>
      <c r="C68" s="8" t="str">
        <f>'Criaturas - Base de Dados'!C13</f>
        <v>Luz</v>
      </c>
      <c r="D68" s="8" t="str">
        <f>'Criaturas - Base de Dados'!D13</f>
        <v>Huma Abençoada</v>
      </c>
      <c r="E68" s="8" t="str">
        <f>'Sistema de Raridade e Evolução'!B2</f>
        <v>Default</v>
      </c>
      <c r="F68" s="9" t="e">
        <f>ROUND(('Criaturas - Base de Dados'!H13*'Sistema de Raridade e Evolução'!E2)*1000,2)</f>
        <v>#VALUE!</v>
      </c>
      <c r="G68" s="8" t="e">
        <f>ROUND('Criaturas - Base de Dados'!I13*'Sistema de Raridade e Evolução'!E2,0)</f>
        <v>#VALUE!</v>
      </c>
      <c r="H68" s="8" t="e">
        <f>ROUND('Criaturas - Base de Dados'!J13*'Sistema de Raridade e Evolução'!E2,0)</f>
        <v>#VALUE!</v>
      </c>
      <c r="I68" s="8" t="e">
        <f>ROUND('Criaturas - Base de Dados'!K13*'Sistema de Raridade e Evolução'!E2,0)</f>
        <v>#VALUE!</v>
      </c>
      <c r="J68" s="8">
        <f>'Sistema de Raridade e Evolução'!D2</f>
        <v>1</v>
      </c>
      <c r="K68" s="8" t="s">
        <v>8</v>
      </c>
      <c r="L68" s="9" t="e">
        <f t="shared" si="1"/>
        <v>#VALUE!</v>
      </c>
    </row>
    <row r="69" spans="1:12" ht="14.25" hidden="1" customHeight="1" x14ac:dyDescent="0.3">
      <c r="A69" s="8">
        <v>68</v>
      </c>
      <c r="B69" s="8" t="str">
        <f>'Criaturas - Base de Dados'!B13</f>
        <v>Ordem Celestial</v>
      </c>
      <c r="C69" s="8" t="str">
        <f>'Criaturas - Base de Dados'!C13</f>
        <v>Luz</v>
      </c>
      <c r="D69" s="8" t="str">
        <f>'Criaturas - Base de Dados'!D13</f>
        <v>Huma Abençoada</v>
      </c>
      <c r="E69" s="8" t="str">
        <f>'Sistema de Raridade e Evolução'!B3</f>
        <v>Bronze</v>
      </c>
      <c r="F69" s="9">
        <f>ROUND(('Criaturas - Base de Dados'!H13*'Sistema de Raridade e Evolução'!E3)*1000,2)</f>
        <v>30000</v>
      </c>
      <c r="G69" s="8">
        <f>ROUND('Criaturas - Base de Dados'!I13*'Sistema de Raridade e Evolução'!E3,0)</f>
        <v>18</v>
      </c>
      <c r="H69" s="8">
        <f>ROUND('Criaturas - Base de Dados'!J13*'Sistema de Raridade e Evolução'!E3,0)</f>
        <v>15</v>
      </c>
      <c r="I69" s="8">
        <f>ROUND('Criaturas - Base de Dados'!K13*'Sistema de Raridade e Evolução'!E3,0)</f>
        <v>96</v>
      </c>
      <c r="J69" s="8">
        <f>'Sistema de Raridade e Evolução'!D3</f>
        <v>6</v>
      </c>
      <c r="K69" s="8" t="s">
        <v>9</v>
      </c>
      <c r="L69" s="9">
        <f t="shared" si="1"/>
        <v>71428.570000000007</v>
      </c>
    </row>
    <row r="70" spans="1:12" ht="14.25" hidden="1" customHeight="1" x14ac:dyDescent="0.3">
      <c r="A70" s="8">
        <v>69</v>
      </c>
      <c r="B70" s="8" t="str">
        <f>'Criaturas - Base de Dados'!B13</f>
        <v>Ordem Celestial</v>
      </c>
      <c r="C70" s="8" t="str">
        <f>'Criaturas - Base de Dados'!C13</f>
        <v>Luz</v>
      </c>
      <c r="D70" s="8" t="str">
        <f>'Criaturas - Base de Dados'!D13</f>
        <v>Huma Abençoada</v>
      </c>
      <c r="E70" s="8" t="str">
        <f>'Sistema de Raridade e Evolução'!B4</f>
        <v>Prata</v>
      </c>
      <c r="F70" s="9">
        <f>ROUND(('Criaturas - Base de Dados'!H13*'Sistema de Raridade e Evolução'!E4)*1000,2)</f>
        <v>180000</v>
      </c>
      <c r="G70" s="8">
        <f>ROUND('Criaturas - Base de Dados'!I13*'Sistema de Raridade e Evolução'!E4,0)</f>
        <v>108</v>
      </c>
      <c r="H70" s="8">
        <f>ROUND('Criaturas - Base de Dados'!J13*'Sistema de Raridade e Evolução'!E4,0)</f>
        <v>90</v>
      </c>
      <c r="I70" s="8">
        <f>ROUND('Criaturas - Base de Dados'!K13*'Sistema de Raridade e Evolução'!E4,0)</f>
        <v>576</v>
      </c>
      <c r="J70" s="8">
        <f>'Sistema de Raridade e Evolução'!D4</f>
        <v>16</v>
      </c>
      <c r="K70" s="8" t="s">
        <v>10</v>
      </c>
      <c r="L70" s="9">
        <f t="shared" si="1"/>
        <v>428571.43</v>
      </c>
    </row>
    <row r="71" spans="1:12" ht="14.25" hidden="1" customHeight="1" x14ac:dyDescent="0.3">
      <c r="A71" s="8">
        <v>70</v>
      </c>
      <c r="B71" s="8" t="str">
        <f>'Criaturas - Base de Dados'!B13</f>
        <v>Ordem Celestial</v>
      </c>
      <c r="C71" s="8" t="str">
        <f>'Criaturas - Base de Dados'!C13</f>
        <v>Luz</v>
      </c>
      <c r="D71" s="8" t="str">
        <f>'Criaturas - Base de Dados'!D13</f>
        <v>Huma Abençoada</v>
      </c>
      <c r="E71" s="8" t="str">
        <f>'Sistema de Raridade e Evolução'!B5</f>
        <v>Ouro</v>
      </c>
      <c r="F71" s="9">
        <f>ROUND(('Criaturas - Base de Dados'!H13*'Sistema de Raridade e Evolução'!E5)*1000,2)</f>
        <v>540000</v>
      </c>
      <c r="G71" s="8">
        <f>ROUND('Criaturas - Base de Dados'!I13*'Sistema de Raridade e Evolução'!E5,0)</f>
        <v>324</v>
      </c>
      <c r="H71" s="8">
        <f>ROUND('Criaturas - Base de Dados'!J13*'Sistema de Raridade e Evolução'!E5,0)</f>
        <v>270</v>
      </c>
      <c r="I71" s="8">
        <f>ROUND('Criaturas - Base de Dados'!K13*'Sistema de Raridade e Evolução'!E5,0)</f>
        <v>1728</v>
      </c>
      <c r="J71" s="8">
        <f>'Sistema de Raridade e Evolução'!D5</f>
        <v>31</v>
      </c>
      <c r="K71" s="8" t="s">
        <v>11</v>
      </c>
      <c r="L71" s="9">
        <f t="shared" si="1"/>
        <v>1285714.29</v>
      </c>
    </row>
    <row r="72" spans="1:12" ht="14.25" hidden="1" customHeight="1" x14ac:dyDescent="0.3">
      <c r="A72" s="8">
        <v>71</v>
      </c>
      <c r="B72" s="8" t="str">
        <f>'Criaturas - Base de Dados'!B13</f>
        <v>Ordem Celestial</v>
      </c>
      <c r="C72" s="8" t="str">
        <f>'Criaturas - Base de Dados'!C13</f>
        <v>Luz</v>
      </c>
      <c r="D72" s="8" t="str">
        <f>'Criaturas - Base de Dados'!D13</f>
        <v>Huma Abençoada</v>
      </c>
      <c r="E72" s="8" t="str">
        <f>'Sistema de Raridade e Evolução'!B6</f>
        <v>Platina</v>
      </c>
      <c r="F72" s="9">
        <f>ROUND(('Criaturas - Base de Dados'!H13*'Sistema de Raridade e Evolução'!E6)*1000,2)</f>
        <v>1500000</v>
      </c>
      <c r="G72" s="8">
        <f>ROUND('Criaturas - Base de Dados'!I13*'Sistema de Raridade e Evolução'!E6,0)</f>
        <v>900</v>
      </c>
      <c r="H72" s="8">
        <f>ROUND('Criaturas - Base de Dados'!J13*'Sistema de Raridade e Evolução'!E6,0)</f>
        <v>750</v>
      </c>
      <c r="I72" s="8">
        <f>ROUND('Criaturas - Base de Dados'!K13*'Sistema de Raridade e Evolução'!E6,0)</f>
        <v>4800</v>
      </c>
      <c r="J72" s="8">
        <f>'Sistema de Raridade e Evolução'!D6</f>
        <v>56</v>
      </c>
      <c r="K72" s="8" t="s">
        <v>12</v>
      </c>
      <c r="L72" s="9">
        <f t="shared" si="1"/>
        <v>3571428.57</v>
      </c>
    </row>
    <row r="73" spans="1:12" ht="14.25" hidden="1" customHeight="1" x14ac:dyDescent="0.3">
      <c r="A73" s="8">
        <v>72</v>
      </c>
      <c r="B73" s="8" t="str">
        <f>'Criaturas - Base de Dados'!B13</f>
        <v>Ordem Celestial</v>
      </c>
      <c r="C73" s="8" t="str">
        <f>'Criaturas - Base de Dados'!C13</f>
        <v>Luz</v>
      </c>
      <c r="D73" s="8" t="str">
        <f>'Criaturas - Base de Dados'!D13</f>
        <v>Huma Abençoada</v>
      </c>
      <c r="E73" s="8" t="str">
        <f>'Sistema de Raridade e Evolução'!B7</f>
        <v>Lendário</v>
      </c>
      <c r="F73" s="9">
        <f>ROUND(('Criaturas - Base de Dados'!H13*'Sistema de Raridade e Evolução'!E7)*1000,2)</f>
        <v>4500000</v>
      </c>
      <c r="G73" s="8">
        <f>ROUND('Criaturas - Base de Dados'!I13*'Sistema de Raridade e Evolução'!E7,0)</f>
        <v>2700</v>
      </c>
      <c r="H73" s="8">
        <f>ROUND('Criaturas - Base de Dados'!J13*'Sistema de Raridade e Evolução'!E7,0)</f>
        <v>2250</v>
      </c>
      <c r="I73" s="8">
        <f>ROUND('Criaturas - Base de Dados'!K13*'Sistema de Raridade e Evolução'!E7,0)</f>
        <v>14400</v>
      </c>
      <c r="J73" s="8">
        <f>'Sistema de Raridade e Evolução'!D7</f>
        <v>91</v>
      </c>
      <c r="K73" s="8" t="s">
        <v>925</v>
      </c>
      <c r="L73" s="9">
        <f t="shared" si="1"/>
        <v>10714285.710000001</v>
      </c>
    </row>
    <row r="74" spans="1:12" ht="14.25" customHeight="1" x14ac:dyDescent="0.3">
      <c r="A74" s="8">
        <v>73</v>
      </c>
      <c r="B74" s="8" t="str">
        <f>'Criaturas - Base de Dados'!B14</f>
        <v>Ordem Celestial</v>
      </c>
      <c r="C74" s="8" t="str">
        <f>'Criaturas - Base de Dados'!C14</f>
        <v>Luz</v>
      </c>
      <c r="D74" s="8" t="str">
        <f>'Criaturas - Base de Dados'!D14</f>
        <v>Peri da Luz</v>
      </c>
      <c r="E74" s="8" t="str">
        <f>'Sistema de Raridade e Evolução'!B2</f>
        <v>Default</v>
      </c>
      <c r="F74" s="9" t="e">
        <f>ROUND(('Criaturas - Base de Dados'!H14*'Sistema de Raridade e Evolução'!E2)*1000,2)</f>
        <v>#VALUE!</v>
      </c>
      <c r="G74" s="8" t="e">
        <f>ROUND('Criaturas - Base de Dados'!I14*'Sistema de Raridade e Evolução'!E2,0)</f>
        <v>#VALUE!</v>
      </c>
      <c r="H74" s="8" t="e">
        <f>ROUND('Criaturas - Base de Dados'!J14*'Sistema de Raridade e Evolução'!E2,0)</f>
        <v>#VALUE!</v>
      </c>
      <c r="I74" s="8" t="e">
        <f>ROUND('Criaturas - Base de Dados'!K14*'Sistema de Raridade e Evolução'!E2,0)</f>
        <v>#VALUE!</v>
      </c>
      <c r="J74" s="8">
        <f>'Sistema de Raridade e Evolução'!D2</f>
        <v>1</v>
      </c>
      <c r="K74" s="8" t="s">
        <v>8</v>
      </c>
      <c r="L74" s="9" t="e">
        <f t="shared" si="1"/>
        <v>#VALUE!</v>
      </c>
    </row>
    <row r="75" spans="1:12" ht="14.25" hidden="1" customHeight="1" x14ac:dyDescent="0.3">
      <c r="A75" s="8">
        <v>74</v>
      </c>
      <c r="B75" s="8" t="str">
        <f>'Criaturas - Base de Dados'!B14</f>
        <v>Ordem Celestial</v>
      </c>
      <c r="C75" s="8" t="str">
        <f>'Criaturas - Base de Dados'!C14</f>
        <v>Luz</v>
      </c>
      <c r="D75" s="8" t="str">
        <f>'Criaturas - Base de Dados'!D14</f>
        <v>Peri da Luz</v>
      </c>
      <c r="E75" s="8" t="str">
        <f>'Sistema de Raridade e Evolução'!B3</f>
        <v>Bronze</v>
      </c>
      <c r="F75" s="9">
        <f>ROUND(('Criaturas - Base de Dados'!H14*'Sistema de Raridade e Evolução'!E3)*1000,2)</f>
        <v>34000</v>
      </c>
      <c r="G75" s="8">
        <f>ROUND('Criaturas - Base de Dados'!I14*'Sistema de Raridade e Evolução'!E3,0)</f>
        <v>20</v>
      </c>
      <c r="H75" s="8">
        <f>ROUND('Criaturas - Base de Dados'!J14*'Sistema de Raridade e Evolução'!E3,0)</f>
        <v>17</v>
      </c>
      <c r="I75" s="8">
        <f>ROUND('Criaturas - Base de Dados'!K14*'Sistema de Raridade e Evolução'!E3,0)</f>
        <v>109</v>
      </c>
      <c r="J75" s="8">
        <f>'Sistema de Raridade e Evolução'!D3</f>
        <v>6</v>
      </c>
      <c r="K75" s="8" t="s">
        <v>9</v>
      </c>
      <c r="L75" s="9">
        <f t="shared" si="1"/>
        <v>80952.38</v>
      </c>
    </row>
    <row r="76" spans="1:12" ht="14.25" hidden="1" customHeight="1" x14ac:dyDescent="0.3">
      <c r="A76" s="8">
        <v>75</v>
      </c>
      <c r="B76" s="8" t="str">
        <f>'Criaturas - Base de Dados'!B14</f>
        <v>Ordem Celestial</v>
      </c>
      <c r="C76" s="8" t="str">
        <f>'Criaturas - Base de Dados'!C14</f>
        <v>Luz</v>
      </c>
      <c r="D76" s="8" t="str">
        <f>'Criaturas - Base de Dados'!D14</f>
        <v>Peri da Luz</v>
      </c>
      <c r="E76" s="8" t="str">
        <f>'Sistema de Raridade e Evolução'!B4</f>
        <v>Prata</v>
      </c>
      <c r="F76" s="9">
        <f>ROUND(('Criaturas - Base de Dados'!H14*'Sistema de Raridade e Evolução'!E4)*1000,2)</f>
        <v>204000</v>
      </c>
      <c r="G76" s="8">
        <f>ROUND('Criaturas - Base de Dados'!I14*'Sistema de Raridade e Evolução'!E4,0)</f>
        <v>120</v>
      </c>
      <c r="H76" s="8">
        <f>ROUND('Criaturas - Base de Dados'!J14*'Sistema de Raridade e Evolução'!E4,0)</f>
        <v>102</v>
      </c>
      <c r="I76" s="8">
        <f>ROUND('Criaturas - Base de Dados'!K14*'Sistema de Raridade e Evolução'!E4,0)</f>
        <v>654</v>
      </c>
      <c r="J76" s="8">
        <f>'Sistema de Raridade e Evolução'!D4</f>
        <v>16</v>
      </c>
      <c r="K76" s="8" t="s">
        <v>10</v>
      </c>
      <c r="L76" s="9">
        <f t="shared" si="1"/>
        <v>485714.29</v>
      </c>
    </row>
    <row r="77" spans="1:12" ht="14.25" hidden="1" customHeight="1" x14ac:dyDescent="0.3">
      <c r="A77" s="8">
        <v>76</v>
      </c>
      <c r="B77" s="8" t="str">
        <f>'Criaturas - Base de Dados'!B14</f>
        <v>Ordem Celestial</v>
      </c>
      <c r="C77" s="8" t="str">
        <f>'Criaturas - Base de Dados'!C14</f>
        <v>Luz</v>
      </c>
      <c r="D77" s="8" t="str">
        <f>'Criaturas - Base de Dados'!D14</f>
        <v>Peri da Luz</v>
      </c>
      <c r="E77" s="8" t="str">
        <f>'Sistema de Raridade e Evolução'!B5</f>
        <v>Ouro</v>
      </c>
      <c r="F77" s="9">
        <f>ROUND(('Criaturas - Base de Dados'!H14*'Sistema de Raridade e Evolução'!E5)*1000,2)</f>
        <v>612000</v>
      </c>
      <c r="G77" s="8">
        <f>ROUND('Criaturas - Base de Dados'!I14*'Sistema de Raridade e Evolução'!E5,0)</f>
        <v>360</v>
      </c>
      <c r="H77" s="8">
        <f>ROUND('Criaturas - Base de Dados'!J14*'Sistema de Raridade e Evolução'!E5,0)</f>
        <v>306</v>
      </c>
      <c r="I77" s="8">
        <f>ROUND('Criaturas - Base de Dados'!K14*'Sistema de Raridade e Evolução'!E5,0)</f>
        <v>1962</v>
      </c>
      <c r="J77" s="8">
        <f>'Sistema de Raridade e Evolução'!D5</f>
        <v>31</v>
      </c>
      <c r="K77" s="8" t="s">
        <v>11</v>
      </c>
      <c r="L77" s="9">
        <f t="shared" si="1"/>
        <v>1457142.86</v>
      </c>
    </row>
    <row r="78" spans="1:12" ht="14.25" hidden="1" customHeight="1" x14ac:dyDescent="0.3">
      <c r="A78" s="8">
        <v>77</v>
      </c>
      <c r="B78" s="8" t="str">
        <f>'Criaturas - Base de Dados'!B14</f>
        <v>Ordem Celestial</v>
      </c>
      <c r="C78" s="8" t="str">
        <f>'Criaturas - Base de Dados'!C14</f>
        <v>Luz</v>
      </c>
      <c r="D78" s="8" t="str">
        <f>'Criaturas - Base de Dados'!D14</f>
        <v>Peri da Luz</v>
      </c>
      <c r="E78" s="8" t="str">
        <f>'Sistema de Raridade e Evolução'!B6</f>
        <v>Platina</v>
      </c>
      <c r="F78" s="9">
        <f>ROUND(('Criaturas - Base de Dados'!H14*'Sistema de Raridade e Evolução'!E6)*1000,2)</f>
        <v>1700000</v>
      </c>
      <c r="G78" s="8">
        <f>ROUND('Criaturas - Base de Dados'!I14*'Sistema de Raridade e Evolução'!E6,0)</f>
        <v>1000</v>
      </c>
      <c r="H78" s="8">
        <f>ROUND('Criaturas - Base de Dados'!J14*'Sistema de Raridade e Evolução'!E6,0)</f>
        <v>850</v>
      </c>
      <c r="I78" s="8">
        <f>ROUND('Criaturas - Base de Dados'!K14*'Sistema de Raridade e Evolução'!E6,0)</f>
        <v>5450</v>
      </c>
      <c r="J78" s="8">
        <f>'Sistema de Raridade e Evolução'!D6</f>
        <v>56</v>
      </c>
      <c r="K78" s="8" t="s">
        <v>12</v>
      </c>
      <c r="L78" s="9">
        <f t="shared" si="1"/>
        <v>4047619.05</v>
      </c>
    </row>
    <row r="79" spans="1:12" ht="14.25" hidden="1" customHeight="1" x14ac:dyDescent="0.3">
      <c r="A79" s="8">
        <v>78</v>
      </c>
      <c r="B79" s="8" t="str">
        <f>'Criaturas - Base de Dados'!B14</f>
        <v>Ordem Celestial</v>
      </c>
      <c r="C79" s="8" t="str">
        <f>'Criaturas - Base de Dados'!C14</f>
        <v>Luz</v>
      </c>
      <c r="D79" s="8" t="str">
        <f>'Criaturas - Base de Dados'!D14</f>
        <v>Peri da Luz</v>
      </c>
      <c r="E79" s="8" t="str">
        <f>'Sistema de Raridade e Evolução'!B7</f>
        <v>Lendário</v>
      </c>
      <c r="F79" s="9">
        <f>ROUND(('Criaturas - Base de Dados'!H14*'Sistema de Raridade e Evolução'!E7)*1000,2)</f>
        <v>5100000</v>
      </c>
      <c r="G79" s="8">
        <f>ROUND('Criaturas - Base de Dados'!I14*'Sistema de Raridade e Evolução'!E7,0)</f>
        <v>3000</v>
      </c>
      <c r="H79" s="8">
        <f>ROUND('Criaturas - Base de Dados'!J14*'Sistema de Raridade e Evolução'!E7,0)</f>
        <v>2550</v>
      </c>
      <c r="I79" s="8">
        <f>ROUND('Criaturas - Base de Dados'!K14*'Sistema de Raridade e Evolução'!E7,0)</f>
        <v>16350</v>
      </c>
      <c r="J79" s="8">
        <f>'Sistema de Raridade e Evolução'!D7</f>
        <v>91</v>
      </c>
      <c r="K79" s="8" t="s">
        <v>925</v>
      </c>
      <c r="L79" s="9">
        <f t="shared" si="1"/>
        <v>12142857.140000001</v>
      </c>
    </row>
    <row r="80" spans="1:12" ht="14.25" customHeight="1" x14ac:dyDescent="0.3">
      <c r="A80" s="8">
        <v>79</v>
      </c>
      <c r="B80" s="8" t="str">
        <f>'Criaturas - Base de Dados'!B15</f>
        <v>Ordem Celestial</v>
      </c>
      <c r="C80" s="8" t="str">
        <f>'Criaturas - Base de Dados'!C15</f>
        <v>Luz</v>
      </c>
      <c r="D80" s="8" t="str">
        <f>'Criaturas - Base de Dados'!D15</f>
        <v>Serafim de Seis Asas</v>
      </c>
      <c r="E80" s="8" t="str">
        <f>'Sistema de Raridade e Evolução'!B2</f>
        <v>Default</v>
      </c>
      <c r="F80" s="9" t="e">
        <f>ROUND(('Criaturas - Base de Dados'!H15*'Sistema de Raridade e Evolução'!E2)*1000,2)</f>
        <v>#VALUE!</v>
      </c>
      <c r="G80" s="8" t="e">
        <f>ROUND('Criaturas - Base de Dados'!I15*'Sistema de Raridade e Evolução'!E2,0)</f>
        <v>#VALUE!</v>
      </c>
      <c r="H80" s="8" t="e">
        <f>ROUND('Criaturas - Base de Dados'!J15*'Sistema de Raridade e Evolução'!E2,0)</f>
        <v>#VALUE!</v>
      </c>
      <c r="I80" s="8" t="e">
        <f>ROUND('Criaturas - Base de Dados'!K15*'Sistema de Raridade e Evolução'!E2,0)</f>
        <v>#VALUE!</v>
      </c>
      <c r="J80" s="8">
        <f>'Sistema de Raridade e Evolução'!D2</f>
        <v>1</v>
      </c>
      <c r="K80" s="8" t="s">
        <v>8</v>
      </c>
      <c r="L80" s="9" t="e">
        <f t="shared" si="1"/>
        <v>#VALUE!</v>
      </c>
    </row>
    <row r="81" spans="1:12" ht="14.25" hidden="1" customHeight="1" x14ac:dyDescent="0.3">
      <c r="A81" s="8">
        <v>80</v>
      </c>
      <c r="B81" s="8" t="str">
        <f>'Criaturas - Base de Dados'!B15</f>
        <v>Ordem Celestial</v>
      </c>
      <c r="C81" s="8" t="str">
        <f>'Criaturas - Base de Dados'!C15</f>
        <v>Luz</v>
      </c>
      <c r="D81" s="8" t="str">
        <f>'Criaturas - Base de Dados'!D15</f>
        <v>Serafim de Seis Asas</v>
      </c>
      <c r="E81" s="8" t="str">
        <f>'Sistema de Raridade e Evolução'!B3</f>
        <v>Bronze</v>
      </c>
      <c r="F81" s="9">
        <f>ROUND(('Criaturas - Base de Dados'!H15*'Sistema de Raridade e Evolução'!E3)*1000,2)</f>
        <v>36000</v>
      </c>
      <c r="G81" s="8">
        <f>ROUND('Criaturas - Base de Dados'!I15*'Sistema de Raridade e Evolução'!E3,0)</f>
        <v>22</v>
      </c>
      <c r="H81" s="8">
        <f>ROUND('Criaturas - Base de Dados'!J15*'Sistema de Raridade e Evolução'!E3,0)</f>
        <v>18</v>
      </c>
      <c r="I81" s="8">
        <f>ROUND('Criaturas - Base de Dados'!K15*'Sistema de Raridade e Evolução'!E3,0)</f>
        <v>115</v>
      </c>
      <c r="J81" s="8">
        <f>'Sistema de Raridade e Evolução'!D3</f>
        <v>6</v>
      </c>
      <c r="K81" s="8" t="s">
        <v>9</v>
      </c>
      <c r="L81" s="9">
        <f t="shared" si="1"/>
        <v>85714.29</v>
      </c>
    </row>
    <row r="82" spans="1:12" ht="14.25" hidden="1" customHeight="1" x14ac:dyDescent="0.3">
      <c r="A82" s="8">
        <v>81</v>
      </c>
      <c r="B82" s="8" t="str">
        <f>'Criaturas - Base de Dados'!B15</f>
        <v>Ordem Celestial</v>
      </c>
      <c r="C82" s="8" t="str">
        <f>'Criaturas - Base de Dados'!C15</f>
        <v>Luz</v>
      </c>
      <c r="D82" s="8" t="str">
        <f>'Criaturas - Base de Dados'!D15</f>
        <v>Serafim de Seis Asas</v>
      </c>
      <c r="E82" s="8" t="str">
        <f>'Sistema de Raridade e Evolução'!B4</f>
        <v>Prata</v>
      </c>
      <c r="F82" s="9">
        <f>ROUND(('Criaturas - Base de Dados'!H15*'Sistema de Raridade e Evolução'!E4)*1000,2)</f>
        <v>216000</v>
      </c>
      <c r="G82" s="8">
        <f>ROUND('Criaturas - Base de Dados'!I15*'Sistema de Raridade e Evolução'!E4,0)</f>
        <v>132</v>
      </c>
      <c r="H82" s="8">
        <f>ROUND('Criaturas - Base de Dados'!J15*'Sistema de Raridade e Evolução'!E4,0)</f>
        <v>108</v>
      </c>
      <c r="I82" s="8">
        <f>ROUND('Criaturas - Base de Dados'!K15*'Sistema de Raridade e Evolução'!E4,0)</f>
        <v>690</v>
      </c>
      <c r="J82" s="8">
        <f>'Sistema de Raridade e Evolução'!D4</f>
        <v>16</v>
      </c>
      <c r="K82" s="8" t="s">
        <v>10</v>
      </c>
      <c r="L82" s="9">
        <f t="shared" si="1"/>
        <v>514285.71</v>
      </c>
    </row>
    <row r="83" spans="1:12" ht="14.25" hidden="1" customHeight="1" x14ac:dyDescent="0.3">
      <c r="A83" s="8">
        <v>82</v>
      </c>
      <c r="B83" s="8" t="str">
        <f>'Criaturas - Base de Dados'!B15</f>
        <v>Ordem Celestial</v>
      </c>
      <c r="C83" s="8" t="str">
        <f>'Criaturas - Base de Dados'!C15</f>
        <v>Luz</v>
      </c>
      <c r="D83" s="8" t="str">
        <f>'Criaturas - Base de Dados'!D15</f>
        <v>Serafim de Seis Asas</v>
      </c>
      <c r="E83" s="8" t="str">
        <f>'Sistema de Raridade e Evolução'!B5</f>
        <v>Ouro</v>
      </c>
      <c r="F83" s="9">
        <f>ROUND(('Criaturas - Base de Dados'!H15*'Sistema de Raridade e Evolução'!E5)*1000,2)</f>
        <v>648000</v>
      </c>
      <c r="G83" s="8">
        <f>ROUND('Criaturas - Base de Dados'!I15*'Sistema de Raridade e Evolução'!E5,0)</f>
        <v>396</v>
      </c>
      <c r="H83" s="8">
        <f>ROUND('Criaturas - Base de Dados'!J15*'Sistema de Raridade e Evolução'!E5,0)</f>
        <v>324</v>
      </c>
      <c r="I83" s="8">
        <f>ROUND('Criaturas - Base de Dados'!K15*'Sistema de Raridade e Evolução'!E5,0)</f>
        <v>2070</v>
      </c>
      <c r="J83" s="8">
        <f>'Sistema de Raridade e Evolução'!D5</f>
        <v>31</v>
      </c>
      <c r="K83" s="8" t="s">
        <v>11</v>
      </c>
      <c r="L83" s="9">
        <f t="shared" si="1"/>
        <v>1542857.14</v>
      </c>
    </row>
    <row r="84" spans="1:12" ht="14.25" hidden="1" customHeight="1" x14ac:dyDescent="0.3">
      <c r="A84" s="8">
        <v>83</v>
      </c>
      <c r="B84" s="8" t="str">
        <f>'Criaturas - Base de Dados'!B15</f>
        <v>Ordem Celestial</v>
      </c>
      <c r="C84" s="8" t="str">
        <f>'Criaturas - Base de Dados'!C15</f>
        <v>Luz</v>
      </c>
      <c r="D84" s="8" t="str">
        <f>'Criaturas - Base de Dados'!D15</f>
        <v>Serafim de Seis Asas</v>
      </c>
      <c r="E84" s="8" t="str">
        <f>'Sistema de Raridade e Evolução'!B6</f>
        <v>Platina</v>
      </c>
      <c r="F84" s="9">
        <f>ROUND(('Criaturas - Base de Dados'!H15*'Sistema de Raridade e Evolução'!E6)*1000,2)</f>
        <v>1800000</v>
      </c>
      <c r="G84" s="8">
        <f>ROUND('Criaturas - Base de Dados'!I15*'Sistema de Raridade e Evolução'!E6,0)</f>
        <v>1100</v>
      </c>
      <c r="H84" s="8">
        <f>ROUND('Criaturas - Base de Dados'!J15*'Sistema de Raridade e Evolução'!E6,0)</f>
        <v>900</v>
      </c>
      <c r="I84" s="8">
        <f>ROUND('Criaturas - Base de Dados'!K15*'Sistema de Raridade e Evolução'!E6,0)</f>
        <v>5750</v>
      </c>
      <c r="J84" s="8">
        <f>'Sistema de Raridade e Evolução'!D6</f>
        <v>56</v>
      </c>
      <c r="K84" s="8" t="s">
        <v>12</v>
      </c>
      <c r="L84" s="9">
        <f t="shared" si="1"/>
        <v>4285714.29</v>
      </c>
    </row>
    <row r="85" spans="1:12" ht="14.25" hidden="1" customHeight="1" x14ac:dyDescent="0.3">
      <c r="A85" s="8">
        <v>84</v>
      </c>
      <c r="B85" s="8" t="str">
        <f>'Criaturas - Base de Dados'!B15</f>
        <v>Ordem Celestial</v>
      </c>
      <c r="C85" s="8" t="str">
        <f>'Criaturas - Base de Dados'!C15</f>
        <v>Luz</v>
      </c>
      <c r="D85" s="8" t="str">
        <f>'Criaturas - Base de Dados'!D15</f>
        <v>Serafim de Seis Asas</v>
      </c>
      <c r="E85" s="8" t="str">
        <f>'Sistema de Raridade e Evolução'!B7</f>
        <v>Lendário</v>
      </c>
      <c r="F85" s="9">
        <f>ROUND(('Criaturas - Base de Dados'!H15*'Sistema de Raridade e Evolução'!E7)*1000,2)</f>
        <v>5400000</v>
      </c>
      <c r="G85" s="8">
        <f>ROUND('Criaturas - Base de Dados'!I15*'Sistema de Raridade e Evolução'!E7,0)</f>
        <v>3300</v>
      </c>
      <c r="H85" s="8">
        <f>ROUND('Criaturas - Base de Dados'!J15*'Sistema de Raridade e Evolução'!E7,0)</f>
        <v>2700</v>
      </c>
      <c r="I85" s="8">
        <f>ROUND('Criaturas - Base de Dados'!K15*'Sistema de Raridade e Evolução'!E7,0)</f>
        <v>17250</v>
      </c>
      <c r="J85" s="8">
        <f>'Sistema de Raridade e Evolução'!D7</f>
        <v>91</v>
      </c>
      <c r="K85" s="8" t="s">
        <v>925</v>
      </c>
      <c r="L85" s="9">
        <f t="shared" si="1"/>
        <v>12857142.859999999</v>
      </c>
    </row>
    <row r="86" spans="1:12" ht="14.25" customHeight="1" x14ac:dyDescent="0.3">
      <c r="A86" s="8">
        <v>85</v>
      </c>
      <c r="B86" s="8" t="str">
        <f>'Criaturas - Base de Dados'!B16</f>
        <v>Ordem Celestial</v>
      </c>
      <c r="C86" s="8" t="str">
        <f>'Criaturas - Base de Dados'!C16</f>
        <v>Luz</v>
      </c>
      <c r="D86" s="8" t="str">
        <f>'Criaturas - Base de Dados'!D16</f>
        <v>Ave-Sol Inca</v>
      </c>
      <c r="E86" s="8" t="str">
        <f>'Sistema de Raridade e Evolução'!B2</f>
        <v>Default</v>
      </c>
      <c r="F86" s="9" t="e">
        <f>ROUND(('Criaturas - Base de Dados'!H16*'Sistema de Raridade e Evolução'!E2)*1000,2)</f>
        <v>#VALUE!</v>
      </c>
      <c r="G86" s="8" t="e">
        <f>ROUND('Criaturas - Base de Dados'!I16*'Sistema de Raridade e Evolução'!E2,0)</f>
        <v>#VALUE!</v>
      </c>
      <c r="H86" s="8" t="e">
        <f>ROUND('Criaturas - Base de Dados'!J16*'Sistema de Raridade e Evolução'!E2,0)</f>
        <v>#VALUE!</v>
      </c>
      <c r="I86" s="8" t="e">
        <f>ROUND('Criaturas - Base de Dados'!K16*'Sistema de Raridade e Evolução'!E2,0)</f>
        <v>#VALUE!</v>
      </c>
      <c r="J86" s="8">
        <f>'Sistema de Raridade e Evolução'!D2</f>
        <v>1</v>
      </c>
      <c r="K86" s="8" t="s">
        <v>8</v>
      </c>
      <c r="L86" s="9" t="e">
        <f t="shared" si="1"/>
        <v>#VALUE!</v>
      </c>
    </row>
    <row r="87" spans="1:12" ht="14.25" hidden="1" customHeight="1" x14ac:dyDescent="0.3">
      <c r="A87" s="8">
        <v>86</v>
      </c>
      <c r="B87" s="8" t="str">
        <f>'Criaturas - Base de Dados'!B16</f>
        <v>Ordem Celestial</v>
      </c>
      <c r="C87" s="8" t="str">
        <f>'Criaturas - Base de Dados'!C16</f>
        <v>Luz</v>
      </c>
      <c r="D87" s="8" t="str">
        <f>'Criaturas - Base de Dados'!D16</f>
        <v>Ave-Sol Inca</v>
      </c>
      <c r="E87" s="8" t="str">
        <f>'Sistema de Raridade e Evolução'!B3</f>
        <v>Bronze</v>
      </c>
      <c r="F87" s="9">
        <f>ROUND(('Criaturas - Base de Dados'!H16*'Sistema de Raridade e Evolução'!E3)*1000,2)</f>
        <v>38000</v>
      </c>
      <c r="G87" s="8">
        <f>ROUND('Criaturas - Base de Dados'!I16*'Sistema de Raridade e Evolução'!E3,0)</f>
        <v>23</v>
      </c>
      <c r="H87" s="8">
        <f>ROUND('Criaturas - Base de Dados'!J16*'Sistema de Raridade e Evolução'!E3,0)</f>
        <v>19</v>
      </c>
      <c r="I87" s="8">
        <f>ROUND('Criaturas - Base de Dados'!K16*'Sistema de Raridade e Evolução'!E3,0)</f>
        <v>122</v>
      </c>
      <c r="J87" s="8">
        <f>'Sistema de Raridade e Evolução'!D3</f>
        <v>6</v>
      </c>
      <c r="K87" s="8" t="s">
        <v>9</v>
      </c>
      <c r="L87" s="9">
        <f t="shared" si="1"/>
        <v>90476.19</v>
      </c>
    </row>
    <row r="88" spans="1:12" ht="14.25" hidden="1" customHeight="1" x14ac:dyDescent="0.3">
      <c r="A88" s="8">
        <v>87</v>
      </c>
      <c r="B88" s="8" t="str">
        <f>'Criaturas - Base de Dados'!B16</f>
        <v>Ordem Celestial</v>
      </c>
      <c r="C88" s="8" t="str">
        <f>'Criaturas - Base de Dados'!C16</f>
        <v>Luz</v>
      </c>
      <c r="D88" s="8" t="str">
        <f>'Criaturas - Base de Dados'!D16</f>
        <v>Ave-Sol Inca</v>
      </c>
      <c r="E88" s="8" t="str">
        <f>'Sistema de Raridade e Evolução'!B4</f>
        <v>Prata</v>
      </c>
      <c r="F88" s="9">
        <f>ROUND(('Criaturas - Base de Dados'!H16*'Sistema de Raridade e Evolução'!E4)*1000,2)</f>
        <v>228000</v>
      </c>
      <c r="G88" s="8">
        <f>ROUND('Criaturas - Base de Dados'!I16*'Sistema de Raridade e Evolução'!E4,0)</f>
        <v>138</v>
      </c>
      <c r="H88" s="8">
        <f>ROUND('Criaturas - Base de Dados'!J16*'Sistema de Raridade e Evolução'!E4,0)</f>
        <v>114</v>
      </c>
      <c r="I88" s="8">
        <f>ROUND('Criaturas - Base de Dados'!K16*'Sistema de Raridade e Evolução'!E4,0)</f>
        <v>732</v>
      </c>
      <c r="J88" s="8">
        <f>'Sistema de Raridade e Evolução'!D4</f>
        <v>16</v>
      </c>
      <c r="K88" s="8" t="s">
        <v>10</v>
      </c>
      <c r="L88" s="9">
        <f t="shared" si="1"/>
        <v>542857.14</v>
      </c>
    </row>
    <row r="89" spans="1:12" ht="14.25" hidden="1" customHeight="1" x14ac:dyDescent="0.3">
      <c r="A89" s="8">
        <v>88</v>
      </c>
      <c r="B89" s="8" t="str">
        <f>'Criaturas - Base de Dados'!B16</f>
        <v>Ordem Celestial</v>
      </c>
      <c r="C89" s="8" t="str">
        <f>'Criaturas - Base de Dados'!C16</f>
        <v>Luz</v>
      </c>
      <c r="D89" s="8" t="str">
        <f>'Criaturas - Base de Dados'!D16</f>
        <v>Ave-Sol Inca</v>
      </c>
      <c r="E89" s="8" t="str">
        <f>'Sistema de Raridade e Evolução'!B5</f>
        <v>Ouro</v>
      </c>
      <c r="F89" s="9">
        <f>ROUND(('Criaturas - Base de Dados'!H16*'Sistema de Raridade e Evolução'!E5)*1000,2)</f>
        <v>684000</v>
      </c>
      <c r="G89" s="8">
        <f>ROUND('Criaturas - Base de Dados'!I16*'Sistema de Raridade e Evolução'!E5,0)</f>
        <v>414</v>
      </c>
      <c r="H89" s="8">
        <f>ROUND('Criaturas - Base de Dados'!J16*'Sistema de Raridade e Evolução'!E5,0)</f>
        <v>342</v>
      </c>
      <c r="I89" s="8">
        <f>ROUND('Criaturas - Base de Dados'!K16*'Sistema de Raridade e Evolução'!E5,0)</f>
        <v>2196</v>
      </c>
      <c r="J89" s="8">
        <f>'Sistema de Raridade e Evolução'!D5</f>
        <v>31</v>
      </c>
      <c r="K89" s="8" t="s">
        <v>11</v>
      </c>
      <c r="L89" s="9">
        <f t="shared" si="1"/>
        <v>1628571.43</v>
      </c>
    </row>
    <row r="90" spans="1:12" ht="14.25" hidden="1" customHeight="1" x14ac:dyDescent="0.3">
      <c r="A90" s="8">
        <v>89</v>
      </c>
      <c r="B90" s="8" t="str">
        <f>'Criaturas - Base de Dados'!B16</f>
        <v>Ordem Celestial</v>
      </c>
      <c r="C90" s="8" t="str">
        <f>'Criaturas - Base de Dados'!C16</f>
        <v>Luz</v>
      </c>
      <c r="D90" s="8" t="str">
        <f>'Criaturas - Base de Dados'!D16</f>
        <v>Ave-Sol Inca</v>
      </c>
      <c r="E90" s="8" t="str">
        <f>'Sistema de Raridade e Evolução'!B6</f>
        <v>Platina</v>
      </c>
      <c r="F90" s="9">
        <f>ROUND(('Criaturas - Base de Dados'!H16*'Sistema de Raridade e Evolução'!E6)*1000,2)</f>
        <v>1900000</v>
      </c>
      <c r="G90" s="8">
        <f>ROUND('Criaturas - Base de Dados'!I16*'Sistema de Raridade e Evolução'!E6,0)</f>
        <v>1150</v>
      </c>
      <c r="H90" s="8">
        <f>ROUND('Criaturas - Base de Dados'!J16*'Sistema de Raridade e Evolução'!E6,0)</f>
        <v>950</v>
      </c>
      <c r="I90" s="8">
        <f>ROUND('Criaturas - Base de Dados'!K16*'Sistema de Raridade e Evolução'!E6,0)</f>
        <v>6100</v>
      </c>
      <c r="J90" s="8">
        <f>'Sistema de Raridade e Evolução'!D6</f>
        <v>56</v>
      </c>
      <c r="K90" s="8" t="s">
        <v>12</v>
      </c>
      <c r="L90" s="9">
        <f t="shared" si="1"/>
        <v>4523809.5199999996</v>
      </c>
    </row>
    <row r="91" spans="1:12" ht="14.25" hidden="1" customHeight="1" x14ac:dyDescent="0.3">
      <c r="A91" s="8">
        <v>90</v>
      </c>
      <c r="B91" s="8" t="str">
        <f>'Criaturas - Base de Dados'!B16</f>
        <v>Ordem Celestial</v>
      </c>
      <c r="C91" s="8" t="str">
        <f>'Criaturas - Base de Dados'!C16</f>
        <v>Luz</v>
      </c>
      <c r="D91" s="8" t="str">
        <f>'Criaturas - Base de Dados'!D16</f>
        <v>Ave-Sol Inca</v>
      </c>
      <c r="E91" s="8" t="str">
        <f>'Sistema de Raridade e Evolução'!B7</f>
        <v>Lendário</v>
      </c>
      <c r="F91" s="9">
        <f>ROUND(('Criaturas - Base de Dados'!H16*'Sistema de Raridade e Evolução'!E7)*1000,2)</f>
        <v>5700000</v>
      </c>
      <c r="G91" s="8">
        <f>ROUND('Criaturas - Base de Dados'!I16*'Sistema de Raridade e Evolução'!E7,0)</f>
        <v>3450</v>
      </c>
      <c r="H91" s="8">
        <f>ROUND('Criaturas - Base de Dados'!J16*'Sistema de Raridade e Evolução'!E7,0)</f>
        <v>2850</v>
      </c>
      <c r="I91" s="8">
        <f>ROUND('Criaturas - Base de Dados'!K16*'Sistema de Raridade e Evolução'!E7,0)</f>
        <v>18300</v>
      </c>
      <c r="J91" s="8">
        <f>'Sistema de Raridade e Evolução'!D7</f>
        <v>91</v>
      </c>
      <c r="K91" s="8" t="s">
        <v>925</v>
      </c>
      <c r="L91" s="9">
        <f t="shared" si="1"/>
        <v>13571428.57</v>
      </c>
    </row>
    <row r="92" spans="1:12" ht="14.25" customHeight="1" x14ac:dyDescent="0.3">
      <c r="A92" s="8">
        <v>91</v>
      </c>
      <c r="B92" s="8" t="str">
        <f>'Criaturas - Base de Dados'!B17</f>
        <v>Ordem Celestial</v>
      </c>
      <c r="C92" s="8" t="str">
        <f>'Criaturas - Base de Dados'!C17</f>
        <v>Luz</v>
      </c>
      <c r="D92" s="8" t="str">
        <f>'Criaturas - Base de Dados'!D17</f>
        <v>Alicanto Radiante</v>
      </c>
      <c r="E92" s="8" t="str">
        <f>'Sistema de Raridade e Evolução'!B2</f>
        <v>Default</v>
      </c>
      <c r="F92" s="9" t="e">
        <f>ROUND(('Criaturas - Base de Dados'!H17*'Sistema de Raridade e Evolução'!E2)*1000,2)</f>
        <v>#VALUE!</v>
      </c>
      <c r="G92" s="8" t="e">
        <f>ROUND('Criaturas - Base de Dados'!I17*'Sistema de Raridade e Evolução'!E2,0)</f>
        <v>#VALUE!</v>
      </c>
      <c r="H92" s="8" t="e">
        <f>ROUND('Criaturas - Base de Dados'!J17*'Sistema de Raridade e Evolução'!E2,0)</f>
        <v>#VALUE!</v>
      </c>
      <c r="I92" s="8" t="e">
        <f>ROUND('Criaturas - Base de Dados'!K17*'Sistema de Raridade e Evolução'!E2,0)</f>
        <v>#VALUE!</v>
      </c>
      <c r="J92" s="8">
        <f>'Sistema de Raridade e Evolução'!D2</f>
        <v>1</v>
      </c>
      <c r="K92" s="8" t="s">
        <v>8</v>
      </c>
      <c r="L92" s="9" t="e">
        <f t="shared" si="1"/>
        <v>#VALUE!</v>
      </c>
    </row>
    <row r="93" spans="1:12" ht="14.25" hidden="1" customHeight="1" x14ac:dyDescent="0.3">
      <c r="A93" s="8">
        <v>92</v>
      </c>
      <c r="B93" s="8" t="str">
        <f>'Criaturas - Base de Dados'!B17</f>
        <v>Ordem Celestial</v>
      </c>
      <c r="C93" s="8" t="str">
        <f>'Criaturas - Base de Dados'!C17</f>
        <v>Luz</v>
      </c>
      <c r="D93" s="8" t="str">
        <f>'Criaturas - Base de Dados'!D17</f>
        <v>Alicanto Radiante</v>
      </c>
      <c r="E93" s="8" t="str">
        <f>'Sistema de Raridade e Evolução'!B3</f>
        <v>Bronze</v>
      </c>
      <c r="F93" s="9">
        <f>ROUND(('Criaturas - Base de Dados'!H17*'Sistema de Raridade e Evolução'!E3)*1000,2)</f>
        <v>54000</v>
      </c>
      <c r="G93" s="8">
        <f>ROUND('Criaturas - Base de Dados'!I17*'Sistema de Raridade e Evolução'!E3,0)</f>
        <v>32</v>
      </c>
      <c r="H93" s="8">
        <f>ROUND('Criaturas - Base de Dados'!J17*'Sistema de Raridade e Evolução'!E3,0)</f>
        <v>27</v>
      </c>
      <c r="I93" s="8">
        <f>ROUND('Criaturas - Base de Dados'!K17*'Sistema de Raridade e Evolução'!E3,0)</f>
        <v>173</v>
      </c>
      <c r="J93" s="8">
        <f>'Sistema de Raridade e Evolução'!D3</f>
        <v>6</v>
      </c>
      <c r="K93" s="8" t="s">
        <v>9</v>
      </c>
      <c r="L93" s="9">
        <f t="shared" si="1"/>
        <v>128571.43</v>
      </c>
    </row>
    <row r="94" spans="1:12" ht="14.25" hidden="1" customHeight="1" x14ac:dyDescent="0.3">
      <c r="A94" s="8">
        <v>93</v>
      </c>
      <c r="B94" s="8" t="str">
        <f>'Criaturas - Base de Dados'!B17</f>
        <v>Ordem Celestial</v>
      </c>
      <c r="C94" s="8" t="str">
        <f>'Criaturas - Base de Dados'!C17</f>
        <v>Luz</v>
      </c>
      <c r="D94" s="8" t="str">
        <f>'Criaturas - Base de Dados'!D17</f>
        <v>Alicanto Radiante</v>
      </c>
      <c r="E94" s="8" t="str">
        <f>'Sistema de Raridade e Evolução'!B4</f>
        <v>Prata</v>
      </c>
      <c r="F94" s="9">
        <f>ROUND(('Criaturas - Base de Dados'!H17*'Sistema de Raridade e Evolução'!E4)*1000,2)</f>
        <v>324000</v>
      </c>
      <c r="G94" s="8">
        <f>ROUND('Criaturas - Base de Dados'!I17*'Sistema de Raridade e Evolução'!E4,0)</f>
        <v>192</v>
      </c>
      <c r="H94" s="8">
        <f>ROUND('Criaturas - Base de Dados'!J17*'Sistema de Raridade e Evolução'!E4,0)</f>
        <v>162</v>
      </c>
      <c r="I94" s="8">
        <f>ROUND('Criaturas - Base de Dados'!K17*'Sistema de Raridade e Evolução'!E4,0)</f>
        <v>1038</v>
      </c>
      <c r="J94" s="8">
        <f>'Sistema de Raridade e Evolução'!D4</f>
        <v>16</v>
      </c>
      <c r="K94" s="8" t="s">
        <v>10</v>
      </c>
      <c r="L94" s="9">
        <f t="shared" si="1"/>
        <v>771428.57</v>
      </c>
    </row>
    <row r="95" spans="1:12" ht="14.25" hidden="1" customHeight="1" x14ac:dyDescent="0.3">
      <c r="A95" s="8">
        <v>94</v>
      </c>
      <c r="B95" s="8" t="str">
        <f>'Criaturas - Base de Dados'!B17</f>
        <v>Ordem Celestial</v>
      </c>
      <c r="C95" s="8" t="str">
        <f>'Criaturas - Base de Dados'!C17</f>
        <v>Luz</v>
      </c>
      <c r="D95" s="8" t="str">
        <f>'Criaturas - Base de Dados'!D17</f>
        <v>Alicanto Radiante</v>
      </c>
      <c r="E95" s="8" t="str">
        <f>'Sistema de Raridade e Evolução'!B5</f>
        <v>Ouro</v>
      </c>
      <c r="F95" s="9">
        <f>ROUND(('Criaturas - Base de Dados'!H17*'Sistema de Raridade e Evolução'!E5)*1000,2)</f>
        <v>972000</v>
      </c>
      <c r="G95" s="8">
        <f>ROUND('Criaturas - Base de Dados'!I17*'Sistema de Raridade e Evolução'!E5,0)</f>
        <v>576</v>
      </c>
      <c r="H95" s="8">
        <f>ROUND('Criaturas - Base de Dados'!J17*'Sistema de Raridade e Evolução'!E5,0)</f>
        <v>486</v>
      </c>
      <c r="I95" s="8">
        <f>ROUND('Criaturas - Base de Dados'!K17*'Sistema de Raridade e Evolução'!E5,0)</f>
        <v>3114</v>
      </c>
      <c r="J95" s="8">
        <f>'Sistema de Raridade e Evolução'!D5</f>
        <v>31</v>
      </c>
      <c r="K95" s="8" t="s">
        <v>11</v>
      </c>
      <c r="L95" s="9">
        <f t="shared" si="1"/>
        <v>2314285.71</v>
      </c>
    </row>
    <row r="96" spans="1:12" ht="14.25" hidden="1" customHeight="1" x14ac:dyDescent="0.3">
      <c r="A96" s="8">
        <v>95</v>
      </c>
      <c r="B96" s="8" t="str">
        <f>'Criaturas - Base de Dados'!B17</f>
        <v>Ordem Celestial</v>
      </c>
      <c r="C96" s="8" t="str">
        <f>'Criaturas - Base de Dados'!C17</f>
        <v>Luz</v>
      </c>
      <c r="D96" s="8" t="str">
        <f>'Criaturas - Base de Dados'!D17</f>
        <v>Alicanto Radiante</v>
      </c>
      <c r="E96" s="8" t="str">
        <f>'Sistema de Raridade e Evolução'!B6</f>
        <v>Platina</v>
      </c>
      <c r="F96" s="9">
        <f>ROUND(('Criaturas - Base de Dados'!H17*'Sistema de Raridade e Evolução'!E6)*1000,2)</f>
        <v>2700000</v>
      </c>
      <c r="G96" s="8">
        <f>ROUND('Criaturas - Base de Dados'!I17*'Sistema de Raridade e Evolução'!E6,0)</f>
        <v>1600</v>
      </c>
      <c r="H96" s="8">
        <f>ROUND('Criaturas - Base de Dados'!J17*'Sistema de Raridade e Evolução'!E6,0)</f>
        <v>1350</v>
      </c>
      <c r="I96" s="8">
        <f>ROUND('Criaturas - Base de Dados'!K17*'Sistema de Raridade e Evolução'!E6,0)</f>
        <v>8650</v>
      </c>
      <c r="J96" s="8">
        <f>'Sistema de Raridade e Evolução'!D6</f>
        <v>56</v>
      </c>
      <c r="K96" s="8" t="s">
        <v>12</v>
      </c>
      <c r="L96" s="9">
        <f t="shared" si="1"/>
        <v>6428571.4299999997</v>
      </c>
    </row>
    <row r="97" spans="1:12" ht="14.25" hidden="1" customHeight="1" x14ac:dyDescent="0.3">
      <c r="A97" s="8">
        <v>96</v>
      </c>
      <c r="B97" s="8" t="str">
        <f>'Criaturas - Base de Dados'!B17</f>
        <v>Ordem Celestial</v>
      </c>
      <c r="C97" s="8" t="str">
        <f>'Criaturas - Base de Dados'!C17</f>
        <v>Luz</v>
      </c>
      <c r="D97" s="8" t="str">
        <f>'Criaturas - Base de Dados'!D17</f>
        <v>Alicanto Radiante</v>
      </c>
      <c r="E97" s="8" t="str">
        <f>'Sistema de Raridade e Evolução'!B7</f>
        <v>Lendário</v>
      </c>
      <c r="F97" s="9">
        <f>ROUND(('Criaturas - Base de Dados'!H17*'Sistema de Raridade e Evolução'!E7)*1000,2)</f>
        <v>8100000</v>
      </c>
      <c r="G97" s="8">
        <f>ROUND('Criaturas - Base de Dados'!I17*'Sistema de Raridade e Evolução'!E7,0)</f>
        <v>4800</v>
      </c>
      <c r="H97" s="8">
        <f>ROUND('Criaturas - Base de Dados'!J17*'Sistema de Raridade e Evolução'!E7,0)</f>
        <v>4050</v>
      </c>
      <c r="I97" s="8">
        <f>ROUND('Criaturas - Base de Dados'!K17*'Sistema de Raridade e Evolução'!E7,0)</f>
        <v>25950</v>
      </c>
      <c r="J97" s="8">
        <f>'Sistema de Raridade e Evolução'!D7</f>
        <v>91</v>
      </c>
      <c r="K97" s="8" t="s">
        <v>925</v>
      </c>
      <c r="L97" s="9">
        <f t="shared" si="1"/>
        <v>19285714.289999999</v>
      </c>
    </row>
    <row r="98" spans="1:12" ht="14.25" customHeight="1" x14ac:dyDescent="0.3">
      <c r="A98" s="8">
        <v>97</v>
      </c>
      <c r="B98" s="8" t="str">
        <f>'Criaturas - Base de Dados'!B18</f>
        <v>Ordem Celestial</v>
      </c>
      <c r="C98" s="8" t="str">
        <f>'Criaturas - Base de Dados'!C18</f>
        <v>Luz</v>
      </c>
      <c r="D98" s="8" t="str">
        <f>'Criaturas - Base de Dados'!D18</f>
        <v>Aurora Ancestral</v>
      </c>
      <c r="E98" s="8" t="str">
        <f>'Sistema de Raridade e Evolução'!B2</f>
        <v>Default</v>
      </c>
      <c r="F98" s="9" t="e">
        <f>ROUND(('Criaturas - Base de Dados'!H18*'Sistema de Raridade e Evolução'!E2)*1000,2)</f>
        <v>#VALUE!</v>
      </c>
      <c r="G98" s="8" t="e">
        <f>ROUND('Criaturas - Base de Dados'!I18*'Sistema de Raridade e Evolução'!E2,0)</f>
        <v>#VALUE!</v>
      </c>
      <c r="H98" s="8" t="e">
        <f>ROUND('Criaturas - Base de Dados'!J18*'Sistema de Raridade e Evolução'!E2,0)</f>
        <v>#VALUE!</v>
      </c>
      <c r="I98" s="8" t="e">
        <f>ROUND('Criaturas - Base de Dados'!K18*'Sistema de Raridade e Evolução'!E2,0)</f>
        <v>#VALUE!</v>
      </c>
      <c r="J98" s="8">
        <f>'Sistema de Raridade e Evolução'!D2</f>
        <v>1</v>
      </c>
      <c r="K98" s="8" t="s">
        <v>8</v>
      </c>
      <c r="L98" s="9" t="e">
        <f t="shared" si="1"/>
        <v>#VALUE!</v>
      </c>
    </row>
    <row r="99" spans="1:12" ht="14.25" hidden="1" customHeight="1" x14ac:dyDescent="0.3">
      <c r="A99" s="8">
        <v>98</v>
      </c>
      <c r="B99" s="8" t="str">
        <f>'Criaturas - Base de Dados'!B18</f>
        <v>Ordem Celestial</v>
      </c>
      <c r="C99" s="8" t="str">
        <f>'Criaturas - Base de Dados'!C18</f>
        <v>Luz</v>
      </c>
      <c r="D99" s="8" t="str">
        <f>'Criaturas - Base de Dados'!D18</f>
        <v>Aurora Ancestral</v>
      </c>
      <c r="E99" s="8" t="str">
        <f>'Sistema de Raridade e Evolução'!B3</f>
        <v>Bronze</v>
      </c>
      <c r="F99" s="9">
        <f>ROUND(('Criaturas - Base de Dados'!H18*'Sistema de Raridade e Evolução'!E3)*1000,2)</f>
        <v>48000</v>
      </c>
      <c r="G99" s="8">
        <f>ROUND('Criaturas - Base de Dados'!I18*'Sistema de Raridade e Evolução'!E3,0)</f>
        <v>29</v>
      </c>
      <c r="H99" s="8">
        <f>ROUND('Criaturas - Base de Dados'!J18*'Sistema de Raridade e Evolução'!E3,0)</f>
        <v>24</v>
      </c>
      <c r="I99" s="8">
        <f>ROUND('Criaturas - Base de Dados'!K18*'Sistema de Raridade e Evolução'!E3,0)</f>
        <v>154</v>
      </c>
      <c r="J99" s="8">
        <f>'Sistema de Raridade e Evolução'!D3</f>
        <v>6</v>
      </c>
      <c r="K99" s="8" t="s">
        <v>9</v>
      </c>
      <c r="L99" s="9">
        <f t="shared" si="1"/>
        <v>114285.71</v>
      </c>
    </row>
    <row r="100" spans="1:12" ht="14.25" hidden="1" customHeight="1" x14ac:dyDescent="0.3">
      <c r="A100" s="8">
        <v>99</v>
      </c>
      <c r="B100" s="8" t="str">
        <f>'Criaturas - Base de Dados'!B18</f>
        <v>Ordem Celestial</v>
      </c>
      <c r="C100" s="8" t="str">
        <f>'Criaturas - Base de Dados'!C18</f>
        <v>Luz</v>
      </c>
      <c r="D100" s="8" t="str">
        <f>'Criaturas - Base de Dados'!D18</f>
        <v>Aurora Ancestral</v>
      </c>
      <c r="E100" s="8" t="str">
        <f>'Sistema de Raridade e Evolução'!B4</f>
        <v>Prata</v>
      </c>
      <c r="F100" s="9">
        <f>ROUND(('Criaturas - Base de Dados'!H18*'Sistema de Raridade e Evolução'!E4)*1000,2)</f>
        <v>288000</v>
      </c>
      <c r="G100" s="8">
        <f>ROUND('Criaturas - Base de Dados'!I18*'Sistema de Raridade e Evolução'!E4,0)</f>
        <v>174</v>
      </c>
      <c r="H100" s="8">
        <f>ROUND('Criaturas - Base de Dados'!J18*'Sistema de Raridade e Evolução'!E4,0)</f>
        <v>144</v>
      </c>
      <c r="I100" s="8">
        <f>ROUND('Criaturas - Base de Dados'!K18*'Sistema de Raridade e Evolução'!E4,0)</f>
        <v>924</v>
      </c>
      <c r="J100" s="8">
        <f>'Sistema de Raridade e Evolução'!D4</f>
        <v>16</v>
      </c>
      <c r="K100" s="8" t="s">
        <v>10</v>
      </c>
      <c r="L100" s="9">
        <f t="shared" si="1"/>
        <v>685714.29</v>
      </c>
    </row>
    <row r="101" spans="1:12" ht="14.25" hidden="1" customHeight="1" x14ac:dyDescent="0.3">
      <c r="A101" s="8">
        <v>100</v>
      </c>
      <c r="B101" s="8" t="str">
        <f>'Criaturas - Base de Dados'!B18</f>
        <v>Ordem Celestial</v>
      </c>
      <c r="C101" s="8" t="str">
        <f>'Criaturas - Base de Dados'!C18</f>
        <v>Luz</v>
      </c>
      <c r="D101" s="8" t="str">
        <f>'Criaturas - Base de Dados'!D18</f>
        <v>Aurora Ancestral</v>
      </c>
      <c r="E101" s="8" t="str">
        <f>'Sistema de Raridade e Evolução'!B5</f>
        <v>Ouro</v>
      </c>
      <c r="F101" s="9">
        <f>ROUND(('Criaturas - Base de Dados'!H18*'Sistema de Raridade e Evolução'!E5)*1000,2)</f>
        <v>864000</v>
      </c>
      <c r="G101" s="8">
        <f>ROUND('Criaturas - Base de Dados'!I18*'Sistema de Raridade e Evolução'!E5,0)</f>
        <v>522</v>
      </c>
      <c r="H101" s="8">
        <f>ROUND('Criaturas - Base de Dados'!J18*'Sistema de Raridade e Evolução'!E5,0)</f>
        <v>432</v>
      </c>
      <c r="I101" s="8">
        <f>ROUND('Criaturas - Base de Dados'!K18*'Sistema de Raridade e Evolução'!E5,0)</f>
        <v>2772</v>
      </c>
      <c r="J101" s="8">
        <f>'Sistema de Raridade e Evolução'!D5</f>
        <v>31</v>
      </c>
      <c r="K101" s="8" t="s">
        <v>11</v>
      </c>
      <c r="L101" s="9">
        <f t="shared" si="1"/>
        <v>2057142.86</v>
      </c>
    </row>
    <row r="102" spans="1:12" ht="14.25" hidden="1" customHeight="1" x14ac:dyDescent="0.3">
      <c r="A102" s="8">
        <v>101</v>
      </c>
      <c r="B102" s="8" t="str">
        <f>'Criaturas - Base de Dados'!B18</f>
        <v>Ordem Celestial</v>
      </c>
      <c r="C102" s="8" t="str">
        <f>'Criaturas - Base de Dados'!C18</f>
        <v>Luz</v>
      </c>
      <c r="D102" s="8" t="str">
        <f>'Criaturas - Base de Dados'!D18</f>
        <v>Aurora Ancestral</v>
      </c>
      <c r="E102" s="8" t="str">
        <f>'Sistema de Raridade e Evolução'!B6</f>
        <v>Platina</v>
      </c>
      <c r="F102" s="9">
        <f>ROUND(('Criaturas - Base de Dados'!H18*'Sistema de Raridade e Evolução'!E6)*1000,2)</f>
        <v>2400000</v>
      </c>
      <c r="G102" s="8">
        <f>ROUND('Criaturas - Base de Dados'!I18*'Sistema de Raridade e Evolução'!E6,0)</f>
        <v>1450</v>
      </c>
      <c r="H102" s="8">
        <f>ROUND('Criaturas - Base de Dados'!J18*'Sistema de Raridade e Evolução'!E6,0)</f>
        <v>1200</v>
      </c>
      <c r="I102" s="8">
        <f>ROUND('Criaturas - Base de Dados'!K18*'Sistema de Raridade e Evolução'!E6,0)</f>
        <v>7700</v>
      </c>
      <c r="J102" s="8">
        <f>'Sistema de Raridade e Evolução'!D6</f>
        <v>56</v>
      </c>
      <c r="K102" s="8" t="s">
        <v>12</v>
      </c>
      <c r="L102" s="9">
        <f t="shared" si="1"/>
        <v>5714285.71</v>
      </c>
    </row>
    <row r="103" spans="1:12" ht="14.25" hidden="1" customHeight="1" x14ac:dyDescent="0.3">
      <c r="A103" s="8">
        <v>102</v>
      </c>
      <c r="B103" s="8" t="str">
        <f>'Criaturas - Base de Dados'!B18</f>
        <v>Ordem Celestial</v>
      </c>
      <c r="C103" s="8" t="str">
        <f>'Criaturas - Base de Dados'!C18</f>
        <v>Luz</v>
      </c>
      <c r="D103" s="8" t="str">
        <f>'Criaturas - Base de Dados'!D18</f>
        <v>Aurora Ancestral</v>
      </c>
      <c r="E103" s="8" t="str">
        <f>'Sistema de Raridade e Evolução'!B7</f>
        <v>Lendário</v>
      </c>
      <c r="F103" s="9">
        <f>ROUND(('Criaturas - Base de Dados'!H18*'Sistema de Raridade e Evolução'!E7)*1000,2)</f>
        <v>7200000</v>
      </c>
      <c r="G103" s="8">
        <f>ROUND('Criaturas - Base de Dados'!I18*'Sistema de Raridade e Evolução'!E7,0)</f>
        <v>4350</v>
      </c>
      <c r="H103" s="8">
        <f>ROUND('Criaturas - Base de Dados'!J18*'Sistema de Raridade e Evolução'!E7,0)</f>
        <v>3600</v>
      </c>
      <c r="I103" s="8">
        <f>ROUND('Criaturas - Base de Dados'!K18*'Sistema de Raridade e Evolução'!E7,0)</f>
        <v>23100</v>
      </c>
      <c r="J103" s="8">
        <f>'Sistema de Raridade e Evolução'!D7</f>
        <v>91</v>
      </c>
      <c r="K103" s="8" t="s">
        <v>925</v>
      </c>
      <c r="L103" s="9">
        <f t="shared" si="1"/>
        <v>17142857.140000001</v>
      </c>
    </row>
    <row r="104" spans="1:12" ht="14.25" customHeight="1" x14ac:dyDescent="0.3">
      <c r="A104" s="8">
        <v>103</v>
      </c>
      <c r="B104" s="8" t="str">
        <f>'Criaturas - Base de Dados'!B19</f>
        <v>Ordem Celestial</v>
      </c>
      <c r="C104" s="8" t="str">
        <f>'Criaturas - Base de Dados'!C19</f>
        <v>Luz</v>
      </c>
      <c r="D104" s="8" t="str">
        <f>'Criaturas - Base de Dados'!D19</f>
        <v>Corcel de Apolo</v>
      </c>
      <c r="E104" s="8" t="str">
        <f>'Sistema de Raridade e Evolução'!B2</f>
        <v>Default</v>
      </c>
      <c r="F104" s="9" t="e">
        <f>ROUND(('Criaturas - Base de Dados'!H19*'Sistema de Raridade e Evolução'!E2)*1000,2)</f>
        <v>#VALUE!</v>
      </c>
      <c r="G104" s="8" t="e">
        <f>ROUND('Criaturas - Base de Dados'!I19*'Sistema de Raridade e Evolução'!E2,0)</f>
        <v>#VALUE!</v>
      </c>
      <c r="H104" s="8" t="e">
        <f>ROUND('Criaturas - Base de Dados'!J19*'Sistema de Raridade e Evolução'!E2,0)</f>
        <v>#VALUE!</v>
      </c>
      <c r="I104" s="8" t="e">
        <f>ROUND('Criaturas - Base de Dados'!K19*'Sistema de Raridade e Evolução'!E2,0)</f>
        <v>#VALUE!</v>
      </c>
      <c r="J104" s="8">
        <f>'Sistema de Raridade e Evolução'!D2</f>
        <v>1</v>
      </c>
      <c r="K104" s="8" t="s">
        <v>8</v>
      </c>
      <c r="L104" s="9" t="e">
        <f t="shared" si="1"/>
        <v>#VALUE!</v>
      </c>
    </row>
    <row r="105" spans="1:12" ht="14.25" hidden="1" customHeight="1" x14ac:dyDescent="0.3">
      <c r="A105" s="8">
        <v>104</v>
      </c>
      <c r="B105" s="8" t="str">
        <f>'Criaturas - Base de Dados'!B19</f>
        <v>Ordem Celestial</v>
      </c>
      <c r="C105" s="8" t="str">
        <f>'Criaturas - Base de Dados'!C19</f>
        <v>Luz</v>
      </c>
      <c r="D105" s="8" t="str">
        <f>'Criaturas - Base de Dados'!D19</f>
        <v>Corcel de Apolo</v>
      </c>
      <c r="E105" s="8" t="str">
        <f>'Sistema de Raridade e Evolução'!B3</f>
        <v>Bronze</v>
      </c>
      <c r="F105" s="9">
        <f>ROUND(('Criaturas - Base de Dados'!H19*'Sistema de Raridade e Evolução'!E3)*1000,2)</f>
        <v>50000</v>
      </c>
      <c r="G105" s="8">
        <f>ROUND('Criaturas - Base de Dados'!I19*'Sistema de Raridade e Evolução'!E3,0)</f>
        <v>30</v>
      </c>
      <c r="H105" s="8">
        <f>ROUND('Criaturas - Base de Dados'!J19*'Sistema de Raridade e Evolução'!E3,0)</f>
        <v>25</v>
      </c>
      <c r="I105" s="8">
        <f>ROUND('Criaturas - Base de Dados'!K19*'Sistema de Raridade e Evolução'!E3,0)</f>
        <v>160</v>
      </c>
      <c r="J105" s="8">
        <f>'Sistema de Raridade e Evolução'!D3</f>
        <v>6</v>
      </c>
      <c r="K105" s="8" t="s">
        <v>9</v>
      </c>
      <c r="L105" s="9">
        <f t="shared" si="1"/>
        <v>119047.62</v>
      </c>
    </row>
    <row r="106" spans="1:12" ht="14.25" hidden="1" customHeight="1" x14ac:dyDescent="0.3">
      <c r="A106" s="8">
        <v>105</v>
      </c>
      <c r="B106" s="8" t="str">
        <f>'Criaturas - Base de Dados'!B19</f>
        <v>Ordem Celestial</v>
      </c>
      <c r="C106" s="8" t="str">
        <f>'Criaturas - Base de Dados'!C19</f>
        <v>Luz</v>
      </c>
      <c r="D106" s="8" t="str">
        <f>'Criaturas - Base de Dados'!D19</f>
        <v>Corcel de Apolo</v>
      </c>
      <c r="E106" s="8" t="str">
        <f>'Sistema de Raridade e Evolução'!B4</f>
        <v>Prata</v>
      </c>
      <c r="F106" s="9">
        <f>ROUND(('Criaturas - Base de Dados'!H19*'Sistema de Raridade e Evolução'!E4)*1000,2)</f>
        <v>300000</v>
      </c>
      <c r="G106" s="8">
        <f>ROUND('Criaturas - Base de Dados'!I19*'Sistema de Raridade e Evolução'!E4,0)</f>
        <v>180</v>
      </c>
      <c r="H106" s="8">
        <f>ROUND('Criaturas - Base de Dados'!J19*'Sistema de Raridade e Evolução'!E4,0)</f>
        <v>150</v>
      </c>
      <c r="I106" s="8">
        <f>ROUND('Criaturas - Base de Dados'!K19*'Sistema de Raridade e Evolução'!E4,0)</f>
        <v>960</v>
      </c>
      <c r="J106" s="8">
        <f>'Sistema de Raridade e Evolução'!D4</f>
        <v>16</v>
      </c>
      <c r="K106" s="8" t="s">
        <v>10</v>
      </c>
      <c r="L106" s="9">
        <f t="shared" si="1"/>
        <v>714285.71</v>
      </c>
    </row>
    <row r="107" spans="1:12" ht="14.25" hidden="1" customHeight="1" x14ac:dyDescent="0.3">
      <c r="A107" s="8">
        <v>106</v>
      </c>
      <c r="B107" s="8" t="str">
        <f>'Criaturas - Base de Dados'!B19</f>
        <v>Ordem Celestial</v>
      </c>
      <c r="C107" s="8" t="str">
        <f>'Criaturas - Base de Dados'!C19</f>
        <v>Luz</v>
      </c>
      <c r="D107" s="8" t="str">
        <f>'Criaturas - Base de Dados'!D19</f>
        <v>Corcel de Apolo</v>
      </c>
      <c r="E107" s="8" t="str">
        <f>'Sistema de Raridade e Evolução'!B5</f>
        <v>Ouro</v>
      </c>
      <c r="F107" s="9">
        <f>ROUND(('Criaturas - Base de Dados'!H19*'Sistema de Raridade e Evolução'!E5)*1000,2)</f>
        <v>900000</v>
      </c>
      <c r="G107" s="8">
        <f>ROUND('Criaturas - Base de Dados'!I19*'Sistema de Raridade e Evolução'!E5,0)</f>
        <v>540</v>
      </c>
      <c r="H107" s="8">
        <f>ROUND('Criaturas - Base de Dados'!J19*'Sistema de Raridade e Evolução'!E5,0)</f>
        <v>450</v>
      </c>
      <c r="I107" s="8">
        <f>ROUND('Criaturas - Base de Dados'!K19*'Sistema de Raridade e Evolução'!E5,0)</f>
        <v>2880</v>
      </c>
      <c r="J107" s="8">
        <f>'Sistema de Raridade e Evolução'!D5</f>
        <v>31</v>
      </c>
      <c r="K107" s="8" t="s">
        <v>11</v>
      </c>
      <c r="L107" s="9">
        <f t="shared" si="1"/>
        <v>2142857.14</v>
      </c>
    </row>
    <row r="108" spans="1:12" ht="14.25" hidden="1" customHeight="1" x14ac:dyDescent="0.3">
      <c r="A108" s="8">
        <v>107</v>
      </c>
      <c r="B108" s="8" t="str">
        <f>'Criaturas - Base de Dados'!B19</f>
        <v>Ordem Celestial</v>
      </c>
      <c r="C108" s="8" t="str">
        <f>'Criaturas - Base de Dados'!C19</f>
        <v>Luz</v>
      </c>
      <c r="D108" s="8" t="str">
        <f>'Criaturas - Base de Dados'!D19</f>
        <v>Corcel de Apolo</v>
      </c>
      <c r="E108" s="8" t="str">
        <f>'Sistema de Raridade e Evolução'!B6</f>
        <v>Platina</v>
      </c>
      <c r="F108" s="9">
        <f>ROUND(('Criaturas - Base de Dados'!H19*'Sistema de Raridade e Evolução'!E6)*1000,2)</f>
        <v>2500000</v>
      </c>
      <c r="G108" s="8">
        <f>ROUND('Criaturas - Base de Dados'!I19*'Sistema de Raridade e Evolução'!E6,0)</f>
        <v>1500</v>
      </c>
      <c r="H108" s="8">
        <f>ROUND('Criaturas - Base de Dados'!J19*'Sistema de Raridade e Evolução'!E6,0)</f>
        <v>1250</v>
      </c>
      <c r="I108" s="8">
        <f>ROUND('Criaturas - Base de Dados'!K19*'Sistema de Raridade e Evolução'!E6,0)</f>
        <v>8000</v>
      </c>
      <c r="J108" s="8">
        <f>'Sistema de Raridade e Evolução'!D6</f>
        <v>56</v>
      </c>
      <c r="K108" s="8" t="s">
        <v>12</v>
      </c>
      <c r="L108" s="9">
        <f t="shared" si="1"/>
        <v>5952380.9500000002</v>
      </c>
    </row>
    <row r="109" spans="1:12" ht="14.25" hidden="1" customHeight="1" x14ac:dyDescent="0.3">
      <c r="A109" s="8">
        <v>108</v>
      </c>
      <c r="B109" s="8" t="str">
        <f>'Criaturas - Base de Dados'!B19</f>
        <v>Ordem Celestial</v>
      </c>
      <c r="C109" s="8" t="str">
        <f>'Criaturas - Base de Dados'!C19</f>
        <v>Luz</v>
      </c>
      <c r="D109" s="8" t="str">
        <f>'Criaturas - Base de Dados'!D19</f>
        <v>Corcel de Apolo</v>
      </c>
      <c r="E109" s="8" t="str">
        <f>'Sistema de Raridade e Evolução'!B7</f>
        <v>Lendário</v>
      </c>
      <c r="F109" s="9">
        <f>ROUND(('Criaturas - Base de Dados'!H19*'Sistema de Raridade e Evolução'!E7)*1000,2)</f>
        <v>7500000</v>
      </c>
      <c r="G109" s="8">
        <f>ROUND('Criaturas - Base de Dados'!I19*'Sistema de Raridade e Evolução'!E7,0)</f>
        <v>4500</v>
      </c>
      <c r="H109" s="8">
        <f>ROUND('Criaturas - Base de Dados'!J19*'Sistema de Raridade e Evolução'!E7,0)</f>
        <v>3750</v>
      </c>
      <c r="I109" s="8">
        <f>ROUND('Criaturas - Base de Dados'!K19*'Sistema de Raridade e Evolução'!E7,0)</f>
        <v>24000</v>
      </c>
      <c r="J109" s="8">
        <f>'Sistema de Raridade e Evolução'!D7</f>
        <v>91</v>
      </c>
      <c r="K109" s="8" t="s">
        <v>925</v>
      </c>
      <c r="L109" s="9">
        <f t="shared" si="1"/>
        <v>17857142.859999999</v>
      </c>
    </row>
    <row r="110" spans="1:12" ht="14.25" customHeight="1" x14ac:dyDescent="0.3">
      <c r="A110" s="8">
        <v>109</v>
      </c>
      <c r="B110" s="8" t="str">
        <f>'Criaturas - Base de Dados'!B20</f>
        <v>Ordem Celestial</v>
      </c>
      <c r="C110" s="8" t="str">
        <f>'Criaturas - Base de Dados'!C20</f>
        <v>Luz</v>
      </c>
      <c r="D110" s="8" t="str">
        <f>'Criaturas - Base de Dados'!D20</f>
        <v>Anjo Guardião Menor</v>
      </c>
      <c r="E110" s="8" t="str">
        <f>'Sistema de Raridade e Evolução'!B2</f>
        <v>Default</v>
      </c>
      <c r="F110" s="9" t="e">
        <f>ROUND(('Criaturas - Base de Dados'!H20*'Sistema de Raridade e Evolução'!E2)*1000,2)</f>
        <v>#VALUE!</v>
      </c>
      <c r="G110" s="8" t="e">
        <f>ROUND('Criaturas - Base de Dados'!I20*'Sistema de Raridade e Evolução'!E2,0)</f>
        <v>#VALUE!</v>
      </c>
      <c r="H110" s="8" t="e">
        <f>ROUND('Criaturas - Base de Dados'!J20*'Sistema de Raridade e Evolução'!E2,0)</f>
        <v>#VALUE!</v>
      </c>
      <c r="I110" s="8" t="e">
        <f>ROUND('Criaturas - Base de Dados'!K20*'Sistema de Raridade e Evolução'!E2,0)</f>
        <v>#VALUE!</v>
      </c>
      <c r="J110" s="8">
        <f>'Sistema de Raridade e Evolução'!D2</f>
        <v>1</v>
      </c>
      <c r="K110" s="8" t="s">
        <v>8</v>
      </c>
      <c r="L110" s="9" t="e">
        <f t="shared" si="1"/>
        <v>#VALUE!</v>
      </c>
    </row>
    <row r="111" spans="1:12" ht="14.25" hidden="1" customHeight="1" x14ac:dyDescent="0.3">
      <c r="A111" s="8">
        <v>110</v>
      </c>
      <c r="B111" s="8" t="str">
        <f>'Criaturas - Base de Dados'!B20</f>
        <v>Ordem Celestial</v>
      </c>
      <c r="C111" s="8" t="str">
        <f>'Criaturas - Base de Dados'!C20</f>
        <v>Luz</v>
      </c>
      <c r="D111" s="8" t="str">
        <f>'Criaturas - Base de Dados'!D20</f>
        <v>Anjo Guardião Menor</v>
      </c>
      <c r="E111" s="8" t="str">
        <f>'Sistema de Raridade e Evolução'!B3</f>
        <v>Bronze</v>
      </c>
      <c r="F111" s="9">
        <f>ROUND(('Criaturas - Base de Dados'!H20*'Sistema de Raridade e Evolução'!E3)*1000,2)</f>
        <v>69000</v>
      </c>
      <c r="G111" s="8">
        <f>ROUND('Criaturas - Base de Dados'!I20*'Sistema de Raridade e Evolução'!E3,0)</f>
        <v>41</v>
      </c>
      <c r="H111" s="8">
        <f>ROUND('Criaturas - Base de Dados'!J20*'Sistema de Raridade e Evolução'!E3,0)</f>
        <v>34</v>
      </c>
      <c r="I111" s="8">
        <f>ROUND('Criaturas - Base de Dados'!K20*'Sistema de Raridade e Evolução'!E3,0)</f>
        <v>221</v>
      </c>
      <c r="J111" s="8">
        <f>'Sistema de Raridade e Evolução'!D3</f>
        <v>6</v>
      </c>
      <c r="K111" s="8" t="s">
        <v>9</v>
      </c>
      <c r="L111" s="9">
        <f t="shared" si="1"/>
        <v>164285.71</v>
      </c>
    </row>
    <row r="112" spans="1:12" ht="14.25" hidden="1" customHeight="1" x14ac:dyDescent="0.3">
      <c r="A112" s="8">
        <v>111</v>
      </c>
      <c r="B112" s="8" t="str">
        <f>'Criaturas - Base de Dados'!B20</f>
        <v>Ordem Celestial</v>
      </c>
      <c r="C112" s="8" t="str">
        <f>'Criaturas - Base de Dados'!C20</f>
        <v>Luz</v>
      </c>
      <c r="D112" s="8" t="str">
        <f>'Criaturas - Base de Dados'!D20</f>
        <v>Anjo Guardião Menor</v>
      </c>
      <c r="E112" s="8" t="str">
        <f>'Sistema de Raridade e Evolução'!B4</f>
        <v>Prata</v>
      </c>
      <c r="F112" s="9">
        <f>ROUND(('Criaturas - Base de Dados'!H20*'Sistema de Raridade e Evolução'!E4)*1000,2)</f>
        <v>414000</v>
      </c>
      <c r="G112" s="8">
        <f>ROUND('Criaturas - Base de Dados'!I20*'Sistema de Raridade e Evolução'!E4,0)</f>
        <v>246</v>
      </c>
      <c r="H112" s="8">
        <f>ROUND('Criaturas - Base de Dados'!J20*'Sistema de Raridade e Evolução'!E4,0)</f>
        <v>204</v>
      </c>
      <c r="I112" s="8">
        <f>ROUND('Criaturas - Base de Dados'!K20*'Sistema de Raridade e Evolução'!E4,0)</f>
        <v>1326</v>
      </c>
      <c r="J112" s="8">
        <f>'Sistema de Raridade e Evolução'!D4</f>
        <v>16</v>
      </c>
      <c r="K112" s="8" t="s">
        <v>10</v>
      </c>
      <c r="L112" s="9">
        <f t="shared" si="1"/>
        <v>985714.29</v>
      </c>
    </row>
    <row r="113" spans="1:12" ht="14.25" hidden="1" customHeight="1" x14ac:dyDescent="0.3">
      <c r="A113" s="8">
        <v>112</v>
      </c>
      <c r="B113" s="8" t="str">
        <f>'Criaturas - Base de Dados'!B20</f>
        <v>Ordem Celestial</v>
      </c>
      <c r="C113" s="8" t="str">
        <f>'Criaturas - Base de Dados'!C20</f>
        <v>Luz</v>
      </c>
      <c r="D113" s="8" t="str">
        <f>'Criaturas - Base de Dados'!D20</f>
        <v>Anjo Guardião Menor</v>
      </c>
      <c r="E113" s="8" t="str">
        <f>'Sistema de Raridade e Evolução'!B5</f>
        <v>Ouro</v>
      </c>
      <c r="F113" s="9">
        <f>ROUND(('Criaturas - Base de Dados'!H20*'Sistema de Raridade e Evolução'!E5)*1000,2)</f>
        <v>1242000</v>
      </c>
      <c r="G113" s="8">
        <f>ROUND('Criaturas - Base de Dados'!I20*'Sistema de Raridade e Evolução'!E5,0)</f>
        <v>738</v>
      </c>
      <c r="H113" s="8">
        <f>ROUND('Criaturas - Base de Dados'!J20*'Sistema de Raridade e Evolução'!E5,0)</f>
        <v>612</v>
      </c>
      <c r="I113" s="8">
        <f>ROUND('Criaturas - Base de Dados'!K20*'Sistema de Raridade e Evolução'!E5,0)</f>
        <v>3978</v>
      </c>
      <c r="J113" s="8">
        <f>'Sistema de Raridade e Evolução'!D5</f>
        <v>31</v>
      </c>
      <c r="K113" s="8" t="s">
        <v>11</v>
      </c>
      <c r="L113" s="9">
        <f t="shared" si="1"/>
        <v>2957142.86</v>
      </c>
    </row>
    <row r="114" spans="1:12" ht="14.25" hidden="1" customHeight="1" x14ac:dyDescent="0.3">
      <c r="A114" s="8">
        <v>113</v>
      </c>
      <c r="B114" s="8" t="str">
        <f>'Criaturas - Base de Dados'!B20</f>
        <v>Ordem Celestial</v>
      </c>
      <c r="C114" s="8" t="str">
        <f>'Criaturas - Base de Dados'!C20</f>
        <v>Luz</v>
      </c>
      <c r="D114" s="8" t="str">
        <f>'Criaturas - Base de Dados'!D20</f>
        <v>Anjo Guardião Menor</v>
      </c>
      <c r="E114" s="8" t="str">
        <f>'Sistema de Raridade e Evolução'!B6</f>
        <v>Platina</v>
      </c>
      <c r="F114" s="9">
        <f>ROUND(('Criaturas - Base de Dados'!H20*'Sistema de Raridade e Evolução'!E6)*1000,2)</f>
        <v>3450000</v>
      </c>
      <c r="G114" s="8">
        <f>ROUND('Criaturas - Base de Dados'!I20*'Sistema de Raridade e Evolução'!E6,0)</f>
        <v>2050</v>
      </c>
      <c r="H114" s="8">
        <f>ROUND('Criaturas - Base de Dados'!J20*'Sistema de Raridade e Evolução'!E6,0)</f>
        <v>1700</v>
      </c>
      <c r="I114" s="8">
        <f>ROUND('Criaturas - Base de Dados'!K20*'Sistema de Raridade e Evolução'!E6,0)</f>
        <v>11050</v>
      </c>
      <c r="J114" s="8">
        <f>'Sistema de Raridade e Evolução'!D6</f>
        <v>56</v>
      </c>
      <c r="K114" s="8" t="s">
        <v>12</v>
      </c>
      <c r="L114" s="9">
        <f t="shared" si="1"/>
        <v>8214285.71</v>
      </c>
    </row>
    <row r="115" spans="1:12" ht="14.25" hidden="1" customHeight="1" x14ac:dyDescent="0.3">
      <c r="A115" s="8">
        <v>114</v>
      </c>
      <c r="B115" s="8" t="str">
        <f>'Criaturas - Base de Dados'!B20</f>
        <v>Ordem Celestial</v>
      </c>
      <c r="C115" s="8" t="str">
        <f>'Criaturas - Base de Dados'!C20</f>
        <v>Luz</v>
      </c>
      <c r="D115" s="8" t="str">
        <f>'Criaturas - Base de Dados'!D20</f>
        <v>Anjo Guardião Menor</v>
      </c>
      <c r="E115" s="8" t="str">
        <f>'Sistema de Raridade e Evolução'!B7</f>
        <v>Lendário</v>
      </c>
      <c r="F115" s="9">
        <f>ROUND(('Criaturas - Base de Dados'!H20*'Sistema de Raridade e Evolução'!E7)*1000,2)</f>
        <v>10350000</v>
      </c>
      <c r="G115" s="8">
        <f>ROUND('Criaturas - Base de Dados'!I20*'Sistema de Raridade e Evolução'!E7,0)</f>
        <v>6150</v>
      </c>
      <c r="H115" s="8">
        <f>ROUND('Criaturas - Base de Dados'!J20*'Sistema de Raridade e Evolução'!E7,0)</f>
        <v>5100</v>
      </c>
      <c r="I115" s="8">
        <f>ROUND('Criaturas - Base de Dados'!K20*'Sistema de Raridade e Evolução'!E7,0)</f>
        <v>33150</v>
      </c>
      <c r="J115" s="8">
        <f>'Sistema de Raridade e Evolução'!D7</f>
        <v>91</v>
      </c>
      <c r="K115" s="8" t="s">
        <v>925</v>
      </c>
      <c r="L115" s="9">
        <f t="shared" si="1"/>
        <v>24642857.140000001</v>
      </c>
    </row>
    <row r="116" spans="1:12" ht="14.25" customHeight="1" x14ac:dyDescent="0.3">
      <c r="A116" s="8">
        <v>115</v>
      </c>
      <c r="B116" s="8" t="str">
        <f>'Criaturas - Base de Dados'!B21</f>
        <v>Ordem Celestial</v>
      </c>
      <c r="C116" s="8" t="str">
        <f>'Criaturas - Base de Dados'!C21</f>
        <v>Luz</v>
      </c>
      <c r="D116" s="8" t="str">
        <f>'Criaturas - Base de Dados'!D21</f>
        <v>Zhar-Ptitsa</v>
      </c>
      <c r="E116" s="8" t="str">
        <f>'Sistema de Raridade e Evolução'!B2</f>
        <v>Default</v>
      </c>
      <c r="F116" s="9" t="e">
        <f>ROUND(('Criaturas - Base de Dados'!H21*'Sistema de Raridade e Evolução'!E2)*1000,2)</f>
        <v>#VALUE!</v>
      </c>
      <c r="G116" s="8" t="e">
        <f>ROUND('Criaturas - Base de Dados'!I21*'Sistema de Raridade e Evolução'!E2,0)</f>
        <v>#VALUE!</v>
      </c>
      <c r="H116" s="8" t="e">
        <f>ROUND('Criaturas - Base de Dados'!J21*'Sistema de Raridade e Evolução'!E2,0)</f>
        <v>#VALUE!</v>
      </c>
      <c r="I116" s="8" t="e">
        <f>ROUND('Criaturas - Base de Dados'!K21*'Sistema de Raridade e Evolução'!E2,0)</f>
        <v>#VALUE!</v>
      </c>
      <c r="J116" s="8">
        <f>'Sistema de Raridade e Evolução'!D2</f>
        <v>1</v>
      </c>
      <c r="K116" s="8" t="s">
        <v>8</v>
      </c>
      <c r="L116" s="9" t="e">
        <f t="shared" si="1"/>
        <v>#VALUE!</v>
      </c>
    </row>
    <row r="117" spans="1:12" ht="14.25" hidden="1" customHeight="1" x14ac:dyDescent="0.3">
      <c r="A117" s="8">
        <v>116</v>
      </c>
      <c r="B117" s="8" t="str">
        <f>'Criaturas - Base de Dados'!B21</f>
        <v>Ordem Celestial</v>
      </c>
      <c r="C117" s="8" t="str">
        <f>'Criaturas - Base de Dados'!C21</f>
        <v>Luz</v>
      </c>
      <c r="D117" s="8" t="str">
        <f>'Criaturas - Base de Dados'!D21</f>
        <v>Zhar-Ptitsa</v>
      </c>
      <c r="E117" s="8" t="str">
        <f>'Sistema de Raridade e Evolução'!B3</f>
        <v>Bronze</v>
      </c>
      <c r="F117" s="9">
        <f>ROUND(('Criaturas - Base de Dados'!H21*'Sistema de Raridade e Evolução'!E3)*1000,2)</f>
        <v>71000</v>
      </c>
      <c r="G117" s="8">
        <f>ROUND('Criaturas - Base de Dados'!I21*'Sistema de Raridade e Evolução'!E3,0)</f>
        <v>43</v>
      </c>
      <c r="H117" s="8">
        <f>ROUND('Criaturas - Base de Dados'!J21*'Sistema de Raridade e Evolução'!E3,0)</f>
        <v>36</v>
      </c>
      <c r="I117" s="8">
        <f>ROUND('Criaturas - Base de Dados'!K21*'Sistema de Raridade e Evolução'!E3,0)</f>
        <v>227</v>
      </c>
      <c r="J117" s="8">
        <f>'Sistema de Raridade e Evolução'!D3</f>
        <v>6</v>
      </c>
      <c r="K117" s="8" t="s">
        <v>9</v>
      </c>
      <c r="L117" s="9">
        <f t="shared" si="1"/>
        <v>169047.62</v>
      </c>
    </row>
    <row r="118" spans="1:12" ht="14.25" hidden="1" customHeight="1" x14ac:dyDescent="0.3">
      <c r="A118" s="8">
        <v>117</v>
      </c>
      <c r="B118" s="8" t="str">
        <f>'Criaturas - Base de Dados'!B21</f>
        <v>Ordem Celestial</v>
      </c>
      <c r="C118" s="8" t="str">
        <f>'Criaturas - Base de Dados'!C21</f>
        <v>Luz</v>
      </c>
      <c r="D118" s="8" t="str">
        <f>'Criaturas - Base de Dados'!D21</f>
        <v>Zhar-Ptitsa</v>
      </c>
      <c r="E118" s="8" t="str">
        <f>'Sistema de Raridade e Evolução'!B4</f>
        <v>Prata</v>
      </c>
      <c r="F118" s="9">
        <f>ROUND(('Criaturas - Base de Dados'!H21*'Sistema de Raridade e Evolução'!E4)*1000,2)</f>
        <v>426000</v>
      </c>
      <c r="G118" s="8">
        <f>ROUND('Criaturas - Base de Dados'!I21*'Sistema de Raridade e Evolução'!E4,0)</f>
        <v>258</v>
      </c>
      <c r="H118" s="8">
        <f>ROUND('Criaturas - Base de Dados'!J21*'Sistema de Raridade e Evolução'!E4,0)</f>
        <v>216</v>
      </c>
      <c r="I118" s="8">
        <f>ROUND('Criaturas - Base de Dados'!K21*'Sistema de Raridade e Evolução'!E4,0)</f>
        <v>1362</v>
      </c>
      <c r="J118" s="8">
        <f>'Sistema de Raridade e Evolução'!D4</f>
        <v>16</v>
      </c>
      <c r="K118" s="8" t="s">
        <v>10</v>
      </c>
      <c r="L118" s="9">
        <f t="shared" si="1"/>
        <v>1014285.71</v>
      </c>
    </row>
    <row r="119" spans="1:12" ht="14.25" hidden="1" customHeight="1" x14ac:dyDescent="0.3">
      <c r="A119" s="8">
        <v>118</v>
      </c>
      <c r="B119" s="8" t="str">
        <f>'Criaturas - Base de Dados'!B21</f>
        <v>Ordem Celestial</v>
      </c>
      <c r="C119" s="8" t="str">
        <f>'Criaturas - Base de Dados'!C21</f>
        <v>Luz</v>
      </c>
      <c r="D119" s="8" t="str">
        <f>'Criaturas - Base de Dados'!D21</f>
        <v>Zhar-Ptitsa</v>
      </c>
      <c r="E119" s="8" t="str">
        <f>'Sistema de Raridade e Evolução'!B5</f>
        <v>Ouro</v>
      </c>
      <c r="F119" s="9">
        <f>ROUND(('Criaturas - Base de Dados'!H21*'Sistema de Raridade e Evolução'!E5)*1000,2)</f>
        <v>1278000</v>
      </c>
      <c r="G119" s="8">
        <f>ROUND('Criaturas - Base de Dados'!I21*'Sistema de Raridade e Evolução'!E5,0)</f>
        <v>774</v>
      </c>
      <c r="H119" s="8">
        <f>ROUND('Criaturas - Base de Dados'!J21*'Sistema de Raridade e Evolução'!E5,0)</f>
        <v>648</v>
      </c>
      <c r="I119" s="8">
        <f>ROUND('Criaturas - Base de Dados'!K21*'Sistema de Raridade e Evolução'!E5,0)</f>
        <v>4086</v>
      </c>
      <c r="J119" s="8">
        <f>'Sistema de Raridade e Evolução'!D5</f>
        <v>31</v>
      </c>
      <c r="K119" s="8" t="s">
        <v>11</v>
      </c>
      <c r="L119" s="9">
        <f t="shared" si="1"/>
        <v>3042857.14</v>
      </c>
    </row>
    <row r="120" spans="1:12" ht="14.25" hidden="1" customHeight="1" x14ac:dyDescent="0.3">
      <c r="A120" s="8">
        <v>119</v>
      </c>
      <c r="B120" s="8" t="str">
        <f>'Criaturas - Base de Dados'!B21</f>
        <v>Ordem Celestial</v>
      </c>
      <c r="C120" s="8" t="str">
        <f>'Criaturas - Base de Dados'!C21</f>
        <v>Luz</v>
      </c>
      <c r="D120" s="8" t="str">
        <f>'Criaturas - Base de Dados'!D21</f>
        <v>Zhar-Ptitsa</v>
      </c>
      <c r="E120" s="8" t="str">
        <f>'Sistema de Raridade e Evolução'!B6</f>
        <v>Platina</v>
      </c>
      <c r="F120" s="9">
        <f>ROUND(('Criaturas - Base de Dados'!H21*'Sistema de Raridade e Evolução'!E6)*1000,2)</f>
        <v>3550000</v>
      </c>
      <c r="G120" s="8">
        <f>ROUND('Criaturas - Base de Dados'!I21*'Sistema de Raridade e Evolução'!E6,0)</f>
        <v>2150</v>
      </c>
      <c r="H120" s="8">
        <f>ROUND('Criaturas - Base de Dados'!J21*'Sistema de Raridade e Evolução'!E6,0)</f>
        <v>1800</v>
      </c>
      <c r="I120" s="8">
        <f>ROUND('Criaturas - Base de Dados'!K21*'Sistema de Raridade e Evolução'!E6,0)</f>
        <v>11350</v>
      </c>
      <c r="J120" s="8">
        <f>'Sistema de Raridade e Evolução'!D6</f>
        <v>56</v>
      </c>
      <c r="K120" s="8" t="s">
        <v>12</v>
      </c>
      <c r="L120" s="9">
        <f t="shared" si="1"/>
        <v>8452380.9499999993</v>
      </c>
    </row>
    <row r="121" spans="1:12" ht="14.25" hidden="1" customHeight="1" x14ac:dyDescent="0.3">
      <c r="A121" s="8">
        <v>120</v>
      </c>
      <c r="B121" s="8" t="str">
        <f>'Criaturas - Base de Dados'!B21</f>
        <v>Ordem Celestial</v>
      </c>
      <c r="C121" s="8" t="str">
        <f>'Criaturas - Base de Dados'!C21</f>
        <v>Luz</v>
      </c>
      <c r="D121" s="8" t="str">
        <f>'Criaturas - Base de Dados'!D21</f>
        <v>Zhar-Ptitsa</v>
      </c>
      <c r="E121" s="8" t="str">
        <f>'Sistema de Raridade e Evolução'!B7</f>
        <v>Lendário</v>
      </c>
      <c r="F121" s="9">
        <f>ROUND(('Criaturas - Base de Dados'!H21*'Sistema de Raridade e Evolução'!E7)*1000,2)</f>
        <v>10650000</v>
      </c>
      <c r="G121" s="8">
        <f>ROUND('Criaturas - Base de Dados'!I21*'Sistema de Raridade e Evolução'!E7,0)</f>
        <v>6450</v>
      </c>
      <c r="H121" s="8">
        <f>ROUND('Criaturas - Base de Dados'!J21*'Sistema de Raridade e Evolução'!E7,0)</f>
        <v>5400</v>
      </c>
      <c r="I121" s="8">
        <f>ROUND('Criaturas - Base de Dados'!K21*'Sistema de Raridade e Evolução'!E7,0)</f>
        <v>34050</v>
      </c>
      <c r="J121" s="8">
        <f>'Sistema de Raridade e Evolução'!D7</f>
        <v>91</v>
      </c>
      <c r="K121" s="8" t="s">
        <v>925</v>
      </c>
      <c r="L121" s="9">
        <f t="shared" si="1"/>
        <v>25357142.859999999</v>
      </c>
    </row>
    <row r="122" spans="1:12" ht="14.25" customHeight="1" x14ac:dyDescent="0.3">
      <c r="A122" s="8">
        <v>121</v>
      </c>
      <c r="B122" s="8" t="str">
        <f>'Criaturas - Base de Dados'!B22</f>
        <v>Véu Sombrio</v>
      </c>
      <c r="C122" s="8" t="str">
        <f>'Criaturas - Base de Dados'!C22</f>
        <v>Sombra</v>
      </c>
      <c r="D122" s="8" t="str">
        <f>'Criaturas - Base de Dados'!D22</f>
        <v>Kitsune das Nove Caudas</v>
      </c>
      <c r="E122" s="8" t="str">
        <f>'Sistema de Raridade e Evolução'!B2</f>
        <v>Default</v>
      </c>
      <c r="F122" s="9" t="e">
        <f>ROUND(('Criaturas - Base de Dados'!H22*'Sistema de Raridade e Evolução'!E2)*1000,2)</f>
        <v>#VALUE!</v>
      </c>
      <c r="G122" s="8" t="e">
        <f>ROUND('Criaturas - Base de Dados'!I22*'Sistema de Raridade e Evolução'!E2,0)</f>
        <v>#VALUE!</v>
      </c>
      <c r="H122" s="8" t="e">
        <f>ROUND('Criaturas - Base de Dados'!J22*'Sistema de Raridade e Evolução'!E2,0)</f>
        <v>#VALUE!</v>
      </c>
      <c r="I122" s="8" t="e">
        <f>ROUND('Criaturas - Base de Dados'!K22*'Sistema de Raridade e Evolução'!E2,0)</f>
        <v>#VALUE!</v>
      </c>
      <c r="J122" s="8">
        <f>'Sistema de Raridade e Evolução'!D2</f>
        <v>1</v>
      </c>
      <c r="K122" s="8" t="s">
        <v>8</v>
      </c>
      <c r="L122" s="9" t="e">
        <f t="shared" si="1"/>
        <v>#VALUE!</v>
      </c>
    </row>
    <row r="123" spans="1:12" ht="14.25" hidden="1" customHeight="1" x14ac:dyDescent="0.3">
      <c r="A123" s="8">
        <v>122</v>
      </c>
      <c r="B123" s="8" t="str">
        <f>'Criaturas - Base de Dados'!B22</f>
        <v>Véu Sombrio</v>
      </c>
      <c r="C123" s="8" t="str">
        <f>'Criaturas - Base de Dados'!C22</f>
        <v>Sombra</v>
      </c>
      <c r="D123" s="8" t="str">
        <f>'Criaturas - Base de Dados'!D22</f>
        <v>Kitsune das Nove Caudas</v>
      </c>
      <c r="E123" s="8" t="str">
        <f>'Sistema de Raridade e Evolução'!B3</f>
        <v>Bronze</v>
      </c>
      <c r="F123" s="9">
        <f>ROUND(('Criaturas - Base de Dados'!H22*'Sistema de Raridade e Evolução'!E3)*1000,2)</f>
        <v>10000</v>
      </c>
      <c r="G123" s="8">
        <f>ROUND('Criaturas - Base de Dados'!I22*'Sistema de Raridade e Evolução'!E3,0)</f>
        <v>6</v>
      </c>
      <c r="H123" s="8">
        <f>ROUND('Criaturas - Base de Dados'!J22*'Sistema de Raridade e Evolução'!E3,0)</f>
        <v>5</v>
      </c>
      <c r="I123" s="8">
        <f>ROUND('Criaturas - Base de Dados'!K22*'Sistema de Raridade e Evolução'!E3,0)</f>
        <v>32</v>
      </c>
      <c r="J123" s="8">
        <f>'Sistema de Raridade e Evolução'!D3</f>
        <v>6</v>
      </c>
      <c r="K123" s="8" t="s">
        <v>9</v>
      </c>
      <c r="L123" s="9">
        <f t="shared" si="1"/>
        <v>23809.52</v>
      </c>
    </row>
    <row r="124" spans="1:12" ht="14.25" hidden="1" customHeight="1" x14ac:dyDescent="0.3">
      <c r="A124" s="8">
        <v>123</v>
      </c>
      <c r="B124" s="8" t="str">
        <f>'Criaturas - Base de Dados'!B22</f>
        <v>Véu Sombrio</v>
      </c>
      <c r="C124" s="8" t="str">
        <f>'Criaturas - Base de Dados'!C22</f>
        <v>Sombra</v>
      </c>
      <c r="D124" s="8" t="str">
        <f>'Criaturas - Base de Dados'!D22</f>
        <v>Kitsune das Nove Caudas</v>
      </c>
      <c r="E124" s="8" t="str">
        <f>'Sistema de Raridade e Evolução'!B4</f>
        <v>Prata</v>
      </c>
      <c r="F124" s="9">
        <f>ROUND(('Criaturas - Base de Dados'!H22*'Sistema de Raridade e Evolução'!E4)*1000,2)</f>
        <v>60000</v>
      </c>
      <c r="G124" s="8">
        <f>ROUND('Criaturas - Base de Dados'!I22*'Sistema de Raridade e Evolução'!E4,0)</f>
        <v>36</v>
      </c>
      <c r="H124" s="8">
        <f>ROUND('Criaturas - Base de Dados'!J22*'Sistema de Raridade e Evolução'!E4,0)</f>
        <v>30</v>
      </c>
      <c r="I124" s="8">
        <f>ROUND('Criaturas - Base de Dados'!K22*'Sistema de Raridade e Evolução'!E4,0)</f>
        <v>192</v>
      </c>
      <c r="J124" s="8">
        <f>'Sistema de Raridade e Evolução'!D4</f>
        <v>16</v>
      </c>
      <c r="K124" s="8" t="s">
        <v>10</v>
      </c>
      <c r="L124" s="9">
        <f t="shared" si="1"/>
        <v>142857.14000000001</v>
      </c>
    </row>
    <row r="125" spans="1:12" ht="14.25" hidden="1" customHeight="1" x14ac:dyDescent="0.3">
      <c r="A125" s="8">
        <v>124</v>
      </c>
      <c r="B125" s="8" t="str">
        <f>'Criaturas - Base de Dados'!B22</f>
        <v>Véu Sombrio</v>
      </c>
      <c r="C125" s="8" t="str">
        <f>'Criaturas - Base de Dados'!C22</f>
        <v>Sombra</v>
      </c>
      <c r="D125" s="8" t="str">
        <f>'Criaturas - Base de Dados'!D22</f>
        <v>Kitsune das Nove Caudas</v>
      </c>
      <c r="E125" s="8" t="str">
        <f>'Sistema de Raridade e Evolução'!B5</f>
        <v>Ouro</v>
      </c>
      <c r="F125" s="9">
        <f>ROUND(('Criaturas - Base de Dados'!H22*'Sistema de Raridade e Evolução'!E5)*1000,2)</f>
        <v>180000</v>
      </c>
      <c r="G125" s="8">
        <f>ROUND('Criaturas - Base de Dados'!I22*'Sistema de Raridade e Evolução'!E5,0)</f>
        <v>108</v>
      </c>
      <c r="H125" s="8">
        <f>ROUND('Criaturas - Base de Dados'!J22*'Sistema de Raridade e Evolução'!E5,0)</f>
        <v>90</v>
      </c>
      <c r="I125" s="8">
        <f>ROUND('Criaturas - Base de Dados'!K22*'Sistema de Raridade e Evolução'!E5,0)</f>
        <v>576</v>
      </c>
      <c r="J125" s="8">
        <f>'Sistema de Raridade e Evolução'!D5</f>
        <v>31</v>
      </c>
      <c r="K125" s="8" t="s">
        <v>11</v>
      </c>
      <c r="L125" s="9">
        <f t="shared" si="1"/>
        <v>428571.43</v>
      </c>
    </row>
    <row r="126" spans="1:12" ht="14.25" hidden="1" customHeight="1" x14ac:dyDescent="0.3">
      <c r="A126" s="8">
        <v>125</v>
      </c>
      <c r="B126" s="8" t="str">
        <f>'Criaturas - Base de Dados'!B22</f>
        <v>Véu Sombrio</v>
      </c>
      <c r="C126" s="8" t="str">
        <f>'Criaturas - Base de Dados'!C22</f>
        <v>Sombra</v>
      </c>
      <c r="D126" s="8" t="str">
        <f>'Criaturas - Base de Dados'!D22</f>
        <v>Kitsune das Nove Caudas</v>
      </c>
      <c r="E126" s="8" t="str">
        <f>'Sistema de Raridade e Evolução'!B6</f>
        <v>Platina</v>
      </c>
      <c r="F126" s="9">
        <f>ROUND(('Criaturas - Base de Dados'!H22*'Sistema de Raridade e Evolução'!E6)*1000,2)</f>
        <v>500000</v>
      </c>
      <c r="G126" s="8">
        <f>ROUND('Criaturas - Base de Dados'!I22*'Sistema de Raridade e Evolução'!E6,0)</f>
        <v>300</v>
      </c>
      <c r="H126" s="8">
        <f>ROUND('Criaturas - Base de Dados'!J22*'Sistema de Raridade e Evolução'!E6,0)</f>
        <v>250</v>
      </c>
      <c r="I126" s="8">
        <f>ROUND('Criaturas - Base de Dados'!K22*'Sistema de Raridade e Evolução'!E6,0)</f>
        <v>1600</v>
      </c>
      <c r="J126" s="8">
        <f>'Sistema de Raridade e Evolução'!D6</f>
        <v>56</v>
      </c>
      <c r="K126" s="8" t="s">
        <v>12</v>
      </c>
      <c r="L126" s="9">
        <f t="shared" si="1"/>
        <v>1190476.19</v>
      </c>
    </row>
    <row r="127" spans="1:12" ht="14.25" hidden="1" customHeight="1" x14ac:dyDescent="0.3">
      <c r="A127" s="8">
        <v>126</v>
      </c>
      <c r="B127" s="8" t="str">
        <f>'Criaturas - Base de Dados'!B22</f>
        <v>Véu Sombrio</v>
      </c>
      <c r="C127" s="8" t="str">
        <f>'Criaturas - Base de Dados'!C22</f>
        <v>Sombra</v>
      </c>
      <c r="D127" s="8" t="str">
        <f>'Criaturas - Base de Dados'!D22</f>
        <v>Kitsune das Nove Caudas</v>
      </c>
      <c r="E127" s="8" t="str">
        <f>'Sistema de Raridade e Evolução'!B7</f>
        <v>Lendário</v>
      </c>
      <c r="F127" s="9">
        <f>ROUND(('Criaturas - Base de Dados'!H22*'Sistema de Raridade e Evolução'!E7)*1000,2)</f>
        <v>1500000</v>
      </c>
      <c r="G127" s="8">
        <f>ROUND('Criaturas - Base de Dados'!I22*'Sistema de Raridade e Evolução'!E7,0)</f>
        <v>900</v>
      </c>
      <c r="H127" s="8">
        <f>ROUND('Criaturas - Base de Dados'!J22*'Sistema de Raridade e Evolução'!E7,0)</f>
        <v>750</v>
      </c>
      <c r="I127" s="8">
        <f>ROUND('Criaturas - Base de Dados'!K22*'Sistema de Raridade e Evolução'!E7,0)</f>
        <v>4800</v>
      </c>
      <c r="J127" s="8">
        <f>'Sistema de Raridade e Evolução'!D7</f>
        <v>91</v>
      </c>
      <c r="K127" s="8" t="s">
        <v>925</v>
      </c>
      <c r="L127" s="9">
        <f t="shared" si="1"/>
        <v>3571428.57</v>
      </c>
    </row>
    <row r="128" spans="1:12" ht="14.25" customHeight="1" x14ac:dyDescent="0.3">
      <c r="A128" s="8">
        <v>127</v>
      </c>
      <c r="B128" s="8" t="str">
        <f>'Criaturas - Base de Dados'!B23</f>
        <v>Véu Sombrio</v>
      </c>
      <c r="C128" s="8" t="str">
        <f>'Criaturas - Base de Dados'!C23</f>
        <v>Sombra</v>
      </c>
      <c r="D128" s="8" t="str">
        <f>'Criaturas - Base de Dados'!D23</f>
        <v>Nekomata Ancestral</v>
      </c>
      <c r="E128" s="8" t="str">
        <f>'Sistema de Raridade e Evolução'!B2</f>
        <v>Default</v>
      </c>
      <c r="F128" s="9" t="e">
        <f>ROUND(('Criaturas - Base de Dados'!H23*'Sistema de Raridade e Evolução'!E2)*1000,2)</f>
        <v>#VALUE!</v>
      </c>
      <c r="G128" s="8" t="e">
        <f>ROUND('Criaturas - Base de Dados'!I23*'Sistema de Raridade e Evolução'!E2,0)</f>
        <v>#VALUE!</v>
      </c>
      <c r="H128" s="8" t="e">
        <f>ROUND('Criaturas - Base de Dados'!J23*'Sistema de Raridade e Evolução'!E2,0)</f>
        <v>#VALUE!</v>
      </c>
      <c r="I128" s="8" t="e">
        <f>ROUND('Criaturas - Base de Dados'!K23*'Sistema de Raridade e Evolução'!E2,0)</f>
        <v>#VALUE!</v>
      </c>
      <c r="J128" s="8">
        <f>'Sistema de Raridade e Evolução'!D2</f>
        <v>1</v>
      </c>
      <c r="K128" s="8" t="s">
        <v>8</v>
      </c>
      <c r="L128" s="9" t="e">
        <f t="shared" si="1"/>
        <v>#VALUE!</v>
      </c>
    </row>
    <row r="129" spans="1:12" ht="14.25" hidden="1" customHeight="1" x14ac:dyDescent="0.3">
      <c r="A129" s="8">
        <v>128</v>
      </c>
      <c r="B129" s="8" t="str">
        <f>'Criaturas - Base de Dados'!B23</f>
        <v>Véu Sombrio</v>
      </c>
      <c r="C129" s="8" t="str">
        <f>'Criaturas - Base de Dados'!C23</f>
        <v>Sombra</v>
      </c>
      <c r="D129" s="8" t="str">
        <f>'Criaturas - Base de Dados'!D23</f>
        <v>Nekomata Ancestral</v>
      </c>
      <c r="E129" s="8" t="str">
        <f>'Sistema de Raridade e Evolução'!B3</f>
        <v>Bronze</v>
      </c>
      <c r="F129" s="9">
        <f>ROUND(('Criaturas - Base de Dados'!H23*'Sistema de Raridade e Evolução'!E3)*1000,2)</f>
        <v>12000</v>
      </c>
      <c r="G129" s="8">
        <f>ROUND('Criaturas - Base de Dados'!I23*'Sistema de Raridade e Evolução'!E3,0)</f>
        <v>7</v>
      </c>
      <c r="H129" s="8">
        <f>ROUND('Criaturas - Base de Dados'!J23*'Sistema de Raridade e Evolução'!E3,0)</f>
        <v>6</v>
      </c>
      <c r="I129" s="8">
        <f>ROUND('Criaturas - Base de Dados'!K23*'Sistema de Raridade e Evolução'!E3,0)</f>
        <v>38</v>
      </c>
      <c r="J129" s="8">
        <f>'Sistema de Raridade e Evolução'!D3</f>
        <v>6</v>
      </c>
      <c r="K129" s="8" t="s">
        <v>9</v>
      </c>
      <c r="L129" s="9">
        <f t="shared" si="1"/>
        <v>28571.43</v>
      </c>
    </row>
    <row r="130" spans="1:12" ht="14.25" hidden="1" customHeight="1" x14ac:dyDescent="0.3">
      <c r="A130" s="8">
        <v>129</v>
      </c>
      <c r="B130" s="8" t="str">
        <f>'Criaturas - Base de Dados'!B23</f>
        <v>Véu Sombrio</v>
      </c>
      <c r="C130" s="8" t="str">
        <f>'Criaturas - Base de Dados'!C23</f>
        <v>Sombra</v>
      </c>
      <c r="D130" s="8" t="str">
        <f>'Criaturas - Base de Dados'!D23</f>
        <v>Nekomata Ancestral</v>
      </c>
      <c r="E130" s="8" t="str">
        <f>'Sistema de Raridade e Evolução'!B4</f>
        <v>Prata</v>
      </c>
      <c r="F130" s="9">
        <f>ROUND(('Criaturas - Base de Dados'!H23*'Sistema de Raridade e Evolução'!E4)*1000,2)</f>
        <v>72000</v>
      </c>
      <c r="G130" s="8">
        <f>ROUND('Criaturas - Base de Dados'!I23*'Sistema de Raridade e Evolução'!E4,0)</f>
        <v>42</v>
      </c>
      <c r="H130" s="8">
        <f>ROUND('Criaturas - Base de Dados'!J23*'Sistema de Raridade e Evolução'!E4,0)</f>
        <v>36</v>
      </c>
      <c r="I130" s="8">
        <f>ROUND('Criaturas - Base de Dados'!K23*'Sistema de Raridade e Evolução'!E4,0)</f>
        <v>228</v>
      </c>
      <c r="J130" s="8">
        <f>'Sistema de Raridade e Evolução'!D4</f>
        <v>16</v>
      </c>
      <c r="K130" s="8" t="s">
        <v>10</v>
      </c>
      <c r="L130" s="9">
        <f t="shared" ref="L130:L193" si="2">ROUND(F130*(2.5/1.05),2)</f>
        <v>171428.57</v>
      </c>
    </row>
    <row r="131" spans="1:12" ht="14.25" hidden="1" customHeight="1" x14ac:dyDescent="0.3">
      <c r="A131" s="8">
        <v>130</v>
      </c>
      <c r="B131" s="8" t="str">
        <f>'Criaturas - Base de Dados'!B23</f>
        <v>Véu Sombrio</v>
      </c>
      <c r="C131" s="8" t="str">
        <f>'Criaturas - Base de Dados'!C23</f>
        <v>Sombra</v>
      </c>
      <c r="D131" s="8" t="str">
        <f>'Criaturas - Base de Dados'!D23</f>
        <v>Nekomata Ancestral</v>
      </c>
      <c r="E131" s="8" t="str">
        <f>'Sistema de Raridade e Evolução'!B5</f>
        <v>Ouro</v>
      </c>
      <c r="F131" s="9">
        <f>ROUND(('Criaturas - Base de Dados'!H23*'Sistema de Raridade e Evolução'!E5)*1000,2)</f>
        <v>216000</v>
      </c>
      <c r="G131" s="8">
        <f>ROUND('Criaturas - Base de Dados'!I23*'Sistema de Raridade e Evolução'!E5,0)</f>
        <v>126</v>
      </c>
      <c r="H131" s="8">
        <f>ROUND('Criaturas - Base de Dados'!J23*'Sistema de Raridade e Evolução'!E5,0)</f>
        <v>108</v>
      </c>
      <c r="I131" s="8">
        <f>ROUND('Criaturas - Base de Dados'!K23*'Sistema de Raridade e Evolução'!E5,0)</f>
        <v>684</v>
      </c>
      <c r="J131" s="8">
        <f>'Sistema de Raridade e Evolução'!D5</f>
        <v>31</v>
      </c>
      <c r="K131" s="8" t="s">
        <v>11</v>
      </c>
      <c r="L131" s="9">
        <f t="shared" si="2"/>
        <v>514285.71</v>
      </c>
    </row>
    <row r="132" spans="1:12" ht="14.25" hidden="1" customHeight="1" x14ac:dyDescent="0.3">
      <c r="A132" s="8">
        <v>131</v>
      </c>
      <c r="B132" s="8" t="str">
        <f>'Criaturas - Base de Dados'!B23</f>
        <v>Véu Sombrio</v>
      </c>
      <c r="C132" s="8" t="str">
        <f>'Criaturas - Base de Dados'!C23</f>
        <v>Sombra</v>
      </c>
      <c r="D132" s="8" t="str">
        <f>'Criaturas - Base de Dados'!D23</f>
        <v>Nekomata Ancestral</v>
      </c>
      <c r="E132" s="8" t="str">
        <f>'Sistema de Raridade e Evolução'!B6</f>
        <v>Platina</v>
      </c>
      <c r="F132" s="9">
        <f>ROUND(('Criaturas - Base de Dados'!H23*'Sistema de Raridade e Evolução'!E6)*1000,2)</f>
        <v>600000</v>
      </c>
      <c r="G132" s="8">
        <f>ROUND('Criaturas - Base de Dados'!I23*'Sistema de Raridade e Evolução'!E6,0)</f>
        <v>350</v>
      </c>
      <c r="H132" s="8">
        <f>ROUND('Criaturas - Base de Dados'!J23*'Sistema de Raridade e Evolução'!E6,0)</f>
        <v>300</v>
      </c>
      <c r="I132" s="8">
        <f>ROUND('Criaturas - Base de Dados'!K23*'Sistema de Raridade e Evolução'!E6,0)</f>
        <v>1900</v>
      </c>
      <c r="J132" s="8">
        <f>'Sistema de Raridade e Evolução'!D6</f>
        <v>56</v>
      </c>
      <c r="K132" s="8" t="s">
        <v>12</v>
      </c>
      <c r="L132" s="9">
        <f t="shared" si="2"/>
        <v>1428571.43</v>
      </c>
    </row>
    <row r="133" spans="1:12" ht="14.25" hidden="1" customHeight="1" x14ac:dyDescent="0.3">
      <c r="A133" s="8">
        <v>132</v>
      </c>
      <c r="B133" s="8" t="str">
        <f>'Criaturas - Base de Dados'!B23</f>
        <v>Véu Sombrio</v>
      </c>
      <c r="C133" s="8" t="str">
        <f>'Criaturas - Base de Dados'!C23</f>
        <v>Sombra</v>
      </c>
      <c r="D133" s="8" t="str">
        <f>'Criaturas - Base de Dados'!D23</f>
        <v>Nekomata Ancestral</v>
      </c>
      <c r="E133" s="8" t="str">
        <f>'Sistema de Raridade e Evolução'!B7</f>
        <v>Lendário</v>
      </c>
      <c r="F133" s="9">
        <f>ROUND(('Criaturas - Base de Dados'!H23*'Sistema de Raridade e Evolução'!E7)*1000,2)</f>
        <v>1800000</v>
      </c>
      <c r="G133" s="8">
        <f>ROUND('Criaturas - Base de Dados'!I23*'Sistema de Raridade e Evolução'!E7,0)</f>
        <v>1050</v>
      </c>
      <c r="H133" s="8">
        <f>ROUND('Criaturas - Base de Dados'!J23*'Sistema de Raridade e Evolução'!E7,0)</f>
        <v>900</v>
      </c>
      <c r="I133" s="8">
        <f>ROUND('Criaturas - Base de Dados'!K23*'Sistema de Raridade e Evolução'!E7,0)</f>
        <v>5700</v>
      </c>
      <c r="J133" s="8">
        <f>'Sistema de Raridade e Evolução'!D7</f>
        <v>91</v>
      </c>
      <c r="K133" s="8" t="s">
        <v>925</v>
      </c>
      <c r="L133" s="9">
        <f t="shared" si="2"/>
        <v>4285714.29</v>
      </c>
    </row>
    <row r="134" spans="1:12" ht="14.25" customHeight="1" x14ac:dyDescent="0.3">
      <c r="A134" s="8">
        <v>133</v>
      </c>
      <c r="B134" s="8" t="str">
        <f>'Criaturas - Base de Dados'!B24</f>
        <v>Véu Sombrio</v>
      </c>
      <c r="C134" s="8" t="str">
        <f>'Criaturas - Base de Dados'!C24</f>
        <v>Sombra</v>
      </c>
      <c r="D134" s="8" t="str">
        <f>'Criaturas - Base de Dados'!D24</f>
        <v>Anansi, o Trapaceiro</v>
      </c>
      <c r="E134" s="8" t="str">
        <f>'Sistema de Raridade e Evolução'!B2</f>
        <v>Default</v>
      </c>
      <c r="F134" s="9" t="e">
        <f>ROUND(('Criaturas - Base de Dados'!H24*'Sistema de Raridade e Evolução'!E2)*1000,2)</f>
        <v>#VALUE!</v>
      </c>
      <c r="G134" s="8" t="e">
        <f>ROUND('Criaturas - Base de Dados'!I24*'Sistema de Raridade e Evolução'!E2,0)</f>
        <v>#VALUE!</v>
      </c>
      <c r="H134" s="8" t="e">
        <f>ROUND('Criaturas - Base de Dados'!J24*'Sistema de Raridade e Evolução'!E2,0)</f>
        <v>#VALUE!</v>
      </c>
      <c r="I134" s="8" t="e">
        <f>ROUND('Criaturas - Base de Dados'!K24*'Sistema de Raridade e Evolução'!E2,0)</f>
        <v>#VALUE!</v>
      </c>
      <c r="J134" s="8">
        <f>'Sistema de Raridade e Evolução'!D2</f>
        <v>1</v>
      </c>
      <c r="K134" s="8" t="s">
        <v>8</v>
      </c>
      <c r="L134" s="9" t="e">
        <f t="shared" si="2"/>
        <v>#VALUE!</v>
      </c>
    </row>
    <row r="135" spans="1:12" ht="14.25" hidden="1" customHeight="1" x14ac:dyDescent="0.3">
      <c r="A135" s="8">
        <v>134</v>
      </c>
      <c r="B135" s="8" t="str">
        <f>'Criaturas - Base de Dados'!B24</f>
        <v>Véu Sombrio</v>
      </c>
      <c r="C135" s="8" t="str">
        <f>'Criaturas - Base de Dados'!C24</f>
        <v>Sombra</v>
      </c>
      <c r="D135" s="8" t="str">
        <f>'Criaturas - Base de Dados'!D24</f>
        <v>Anansi, o Trapaceiro</v>
      </c>
      <c r="E135" s="8" t="str">
        <f>'Sistema de Raridade e Evolução'!B3</f>
        <v>Bronze</v>
      </c>
      <c r="F135" s="9">
        <f>ROUND(('Criaturas - Base de Dados'!H24*'Sistema de Raridade e Evolução'!E3)*1000,2)</f>
        <v>14000</v>
      </c>
      <c r="G135" s="8">
        <f>ROUND('Criaturas - Base de Dados'!I24*'Sistema de Raridade e Evolução'!E3,0)</f>
        <v>8</v>
      </c>
      <c r="H135" s="8">
        <f>ROUND('Criaturas - Base de Dados'!J24*'Sistema de Raridade e Evolução'!E3,0)</f>
        <v>7</v>
      </c>
      <c r="I135" s="8">
        <f>ROUND('Criaturas - Base de Dados'!K24*'Sistema de Raridade e Evolução'!E3,0)</f>
        <v>45</v>
      </c>
      <c r="J135" s="8">
        <f>'Sistema de Raridade e Evolução'!D3</f>
        <v>6</v>
      </c>
      <c r="K135" s="8" t="s">
        <v>9</v>
      </c>
      <c r="L135" s="9">
        <f t="shared" si="2"/>
        <v>33333.33</v>
      </c>
    </row>
    <row r="136" spans="1:12" ht="14.25" hidden="1" customHeight="1" x14ac:dyDescent="0.3">
      <c r="A136" s="8">
        <v>135</v>
      </c>
      <c r="B136" s="8" t="str">
        <f>'Criaturas - Base de Dados'!B24</f>
        <v>Véu Sombrio</v>
      </c>
      <c r="C136" s="8" t="str">
        <f>'Criaturas - Base de Dados'!C24</f>
        <v>Sombra</v>
      </c>
      <c r="D136" s="8" t="str">
        <f>'Criaturas - Base de Dados'!D24</f>
        <v>Anansi, o Trapaceiro</v>
      </c>
      <c r="E136" s="8" t="str">
        <f>'Sistema de Raridade e Evolução'!B4</f>
        <v>Prata</v>
      </c>
      <c r="F136" s="9">
        <f>ROUND(('Criaturas - Base de Dados'!H24*'Sistema de Raridade e Evolução'!E4)*1000,2)</f>
        <v>84000</v>
      </c>
      <c r="G136" s="8">
        <f>ROUND('Criaturas - Base de Dados'!I24*'Sistema de Raridade e Evolução'!E4,0)</f>
        <v>48</v>
      </c>
      <c r="H136" s="8">
        <f>ROUND('Criaturas - Base de Dados'!J24*'Sistema de Raridade e Evolução'!E4,0)</f>
        <v>42</v>
      </c>
      <c r="I136" s="8">
        <f>ROUND('Criaturas - Base de Dados'!K24*'Sistema de Raridade e Evolução'!E4,0)</f>
        <v>270</v>
      </c>
      <c r="J136" s="8">
        <f>'Sistema de Raridade e Evolução'!D4</f>
        <v>16</v>
      </c>
      <c r="K136" s="8" t="s">
        <v>10</v>
      </c>
      <c r="L136" s="9">
        <f t="shared" si="2"/>
        <v>200000</v>
      </c>
    </row>
    <row r="137" spans="1:12" ht="14.25" hidden="1" customHeight="1" x14ac:dyDescent="0.3">
      <c r="A137" s="8">
        <v>136</v>
      </c>
      <c r="B137" s="8" t="str">
        <f>'Criaturas - Base de Dados'!B24</f>
        <v>Véu Sombrio</v>
      </c>
      <c r="C137" s="8" t="str">
        <f>'Criaturas - Base de Dados'!C24</f>
        <v>Sombra</v>
      </c>
      <c r="D137" s="8" t="str">
        <f>'Criaturas - Base de Dados'!D24</f>
        <v>Anansi, o Trapaceiro</v>
      </c>
      <c r="E137" s="8" t="str">
        <f>'Sistema de Raridade e Evolução'!B5</f>
        <v>Ouro</v>
      </c>
      <c r="F137" s="9">
        <f>ROUND(('Criaturas - Base de Dados'!H24*'Sistema de Raridade e Evolução'!E5)*1000,2)</f>
        <v>252000</v>
      </c>
      <c r="G137" s="8">
        <f>ROUND('Criaturas - Base de Dados'!I24*'Sistema de Raridade e Evolução'!E5,0)</f>
        <v>144</v>
      </c>
      <c r="H137" s="8">
        <f>ROUND('Criaturas - Base de Dados'!J24*'Sistema de Raridade e Evolução'!E5,0)</f>
        <v>126</v>
      </c>
      <c r="I137" s="8">
        <f>ROUND('Criaturas - Base de Dados'!K24*'Sistema de Raridade e Evolução'!E5,0)</f>
        <v>810</v>
      </c>
      <c r="J137" s="8">
        <f>'Sistema de Raridade e Evolução'!D5</f>
        <v>31</v>
      </c>
      <c r="K137" s="8" t="s">
        <v>11</v>
      </c>
      <c r="L137" s="9">
        <f t="shared" si="2"/>
        <v>600000</v>
      </c>
    </row>
    <row r="138" spans="1:12" ht="14.25" hidden="1" customHeight="1" x14ac:dyDescent="0.3">
      <c r="A138" s="8">
        <v>137</v>
      </c>
      <c r="B138" s="8" t="str">
        <f>'Criaturas - Base de Dados'!B24</f>
        <v>Véu Sombrio</v>
      </c>
      <c r="C138" s="8" t="str">
        <f>'Criaturas - Base de Dados'!C24</f>
        <v>Sombra</v>
      </c>
      <c r="D138" s="8" t="str">
        <f>'Criaturas - Base de Dados'!D24</f>
        <v>Anansi, o Trapaceiro</v>
      </c>
      <c r="E138" s="8" t="str">
        <f>'Sistema de Raridade e Evolução'!B6</f>
        <v>Platina</v>
      </c>
      <c r="F138" s="9">
        <f>ROUND(('Criaturas - Base de Dados'!H24*'Sistema de Raridade e Evolução'!E6)*1000,2)</f>
        <v>700000</v>
      </c>
      <c r="G138" s="8">
        <f>ROUND('Criaturas - Base de Dados'!I24*'Sistema de Raridade e Evolução'!E6,0)</f>
        <v>400</v>
      </c>
      <c r="H138" s="8">
        <f>ROUND('Criaturas - Base de Dados'!J24*'Sistema de Raridade e Evolução'!E6,0)</f>
        <v>350</v>
      </c>
      <c r="I138" s="8">
        <f>ROUND('Criaturas - Base de Dados'!K24*'Sistema de Raridade e Evolução'!E6,0)</f>
        <v>2250</v>
      </c>
      <c r="J138" s="8">
        <f>'Sistema de Raridade e Evolução'!D6</f>
        <v>56</v>
      </c>
      <c r="K138" s="8" t="s">
        <v>12</v>
      </c>
      <c r="L138" s="9">
        <f t="shared" si="2"/>
        <v>1666666.67</v>
      </c>
    </row>
    <row r="139" spans="1:12" ht="14.25" hidden="1" customHeight="1" x14ac:dyDescent="0.3">
      <c r="A139" s="8">
        <v>138</v>
      </c>
      <c r="B139" s="8" t="str">
        <f>'Criaturas - Base de Dados'!B24</f>
        <v>Véu Sombrio</v>
      </c>
      <c r="C139" s="8" t="str">
        <f>'Criaturas - Base de Dados'!C24</f>
        <v>Sombra</v>
      </c>
      <c r="D139" s="8" t="str">
        <f>'Criaturas - Base de Dados'!D24</f>
        <v>Anansi, o Trapaceiro</v>
      </c>
      <c r="E139" s="8" t="str">
        <f>'Sistema de Raridade e Evolução'!B7</f>
        <v>Lendário</v>
      </c>
      <c r="F139" s="9">
        <f>ROUND(('Criaturas - Base de Dados'!H24*'Sistema de Raridade e Evolução'!E7)*1000,2)</f>
        <v>2100000</v>
      </c>
      <c r="G139" s="8">
        <f>ROUND('Criaturas - Base de Dados'!I24*'Sistema de Raridade e Evolução'!E7,0)</f>
        <v>1200</v>
      </c>
      <c r="H139" s="8">
        <f>ROUND('Criaturas - Base de Dados'!J24*'Sistema de Raridade e Evolução'!E7,0)</f>
        <v>1050</v>
      </c>
      <c r="I139" s="8">
        <f>ROUND('Criaturas - Base de Dados'!K24*'Sistema de Raridade e Evolução'!E7,0)</f>
        <v>6750</v>
      </c>
      <c r="J139" s="8">
        <f>'Sistema de Raridade e Evolução'!D7</f>
        <v>91</v>
      </c>
      <c r="K139" s="8" t="s">
        <v>925</v>
      </c>
      <c r="L139" s="9">
        <f t="shared" si="2"/>
        <v>5000000</v>
      </c>
    </row>
    <row r="140" spans="1:12" ht="14.25" customHeight="1" x14ac:dyDescent="0.3">
      <c r="A140" s="8">
        <v>139</v>
      </c>
      <c r="B140" s="8" t="str">
        <f>'Criaturas - Base de Dados'!B25</f>
        <v>Véu Sombrio</v>
      </c>
      <c r="C140" s="8" t="str">
        <f>'Criaturas - Base de Dados'!C25</f>
        <v>Sombra</v>
      </c>
      <c r="D140" s="8" t="str">
        <f>'Criaturas - Base de Dados'!D25</f>
        <v>Baku Devorador</v>
      </c>
      <c r="E140" s="8" t="str">
        <f>'Sistema de Raridade e Evolução'!B2</f>
        <v>Default</v>
      </c>
      <c r="F140" s="9" t="e">
        <f>ROUND(('Criaturas - Base de Dados'!H25*'Sistema de Raridade e Evolução'!E2)*1000,2)</f>
        <v>#VALUE!</v>
      </c>
      <c r="G140" s="8" t="e">
        <f>ROUND('Criaturas - Base de Dados'!I25*'Sistema de Raridade e Evolução'!E2,0)</f>
        <v>#VALUE!</v>
      </c>
      <c r="H140" s="8" t="e">
        <f>ROUND('Criaturas - Base de Dados'!J25*'Sistema de Raridade e Evolução'!E2,0)</f>
        <v>#VALUE!</v>
      </c>
      <c r="I140" s="8" t="e">
        <f>ROUND('Criaturas - Base de Dados'!K25*'Sistema de Raridade e Evolução'!E2,0)</f>
        <v>#VALUE!</v>
      </c>
      <c r="J140" s="8">
        <f>'Sistema de Raridade e Evolução'!D2</f>
        <v>1</v>
      </c>
      <c r="K140" s="8" t="s">
        <v>8</v>
      </c>
      <c r="L140" s="9" t="e">
        <f t="shared" si="2"/>
        <v>#VALUE!</v>
      </c>
    </row>
    <row r="141" spans="1:12" ht="14.25" hidden="1" customHeight="1" x14ac:dyDescent="0.3">
      <c r="A141" s="8">
        <v>140</v>
      </c>
      <c r="B141" s="8" t="str">
        <f>'Criaturas - Base de Dados'!B25</f>
        <v>Véu Sombrio</v>
      </c>
      <c r="C141" s="8" t="str">
        <f>'Criaturas - Base de Dados'!C25</f>
        <v>Sombra</v>
      </c>
      <c r="D141" s="8" t="str">
        <f>'Criaturas - Base de Dados'!D25</f>
        <v>Baku Devorador</v>
      </c>
      <c r="E141" s="8" t="str">
        <f>'Sistema de Raridade e Evolução'!B3</f>
        <v>Bronze</v>
      </c>
      <c r="F141" s="9">
        <f>ROUND(('Criaturas - Base de Dados'!H25*'Sistema de Raridade e Evolução'!E3)*1000,2)</f>
        <v>16000</v>
      </c>
      <c r="G141" s="8">
        <f>ROUND('Criaturas - Base de Dados'!I25*'Sistema de Raridade e Evolução'!E3,0)</f>
        <v>10</v>
      </c>
      <c r="H141" s="8">
        <f>ROUND('Criaturas - Base de Dados'!J25*'Sistema de Raridade e Evolução'!E3,0)</f>
        <v>8</v>
      </c>
      <c r="I141" s="8">
        <f>ROUND('Criaturas - Base de Dados'!K25*'Sistema de Raridade e Evolução'!E3,0)</f>
        <v>51</v>
      </c>
      <c r="J141" s="8">
        <f>'Sistema de Raridade e Evolução'!D3</f>
        <v>6</v>
      </c>
      <c r="K141" s="8" t="s">
        <v>9</v>
      </c>
      <c r="L141" s="9">
        <f t="shared" si="2"/>
        <v>38095.24</v>
      </c>
    </row>
    <row r="142" spans="1:12" ht="14.25" hidden="1" customHeight="1" x14ac:dyDescent="0.3">
      <c r="A142" s="8">
        <v>141</v>
      </c>
      <c r="B142" s="8" t="str">
        <f>'Criaturas - Base de Dados'!B25</f>
        <v>Véu Sombrio</v>
      </c>
      <c r="C142" s="8" t="str">
        <f>'Criaturas - Base de Dados'!C25</f>
        <v>Sombra</v>
      </c>
      <c r="D142" s="8" t="str">
        <f>'Criaturas - Base de Dados'!D25</f>
        <v>Baku Devorador</v>
      </c>
      <c r="E142" s="8" t="str">
        <f>'Sistema de Raridade e Evolução'!B4</f>
        <v>Prata</v>
      </c>
      <c r="F142" s="9">
        <f>ROUND(('Criaturas - Base de Dados'!H25*'Sistema de Raridade e Evolução'!E4)*1000,2)</f>
        <v>96000</v>
      </c>
      <c r="G142" s="8">
        <f>ROUND('Criaturas - Base de Dados'!I25*'Sistema de Raridade e Evolução'!E4,0)</f>
        <v>60</v>
      </c>
      <c r="H142" s="8">
        <f>ROUND('Criaturas - Base de Dados'!J25*'Sistema de Raridade e Evolução'!E4,0)</f>
        <v>48</v>
      </c>
      <c r="I142" s="8">
        <f>ROUND('Criaturas - Base de Dados'!K25*'Sistema de Raridade e Evolução'!E4,0)</f>
        <v>306</v>
      </c>
      <c r="J142" s="8">
        <f>'Sistema de Raridade e Evolução'!D4</f>
        <v>16</v>
      </c>
      <c r="K142" s="8" t="s">
        <v>10</v>
      </c>
      <c r="L142" s="9">
        <f t="shared" si="2"/>
        <v>228571.43</v>
      </c>
    </row>
    <row r="143" spans="1:12" ht="14.25" hidden="1" customHeight="1" x14ac:dyDescent="0.3">
      <c r="A143" s="8">
        <v>142</v>
      </c>
      <c r="B143" s="8" t="str">
        <f>'Criaturas - Base de Dados'!B25</f>
        <v>Véu Sombrio</v>
      </c>
      <c r="C143" s="8" t="str">
        <f>'Criaturas - Base de Dados'!C25</f>
        <v>Sombra</v>
      </c>
      <c r="D143" s="8" t="str">
        <f>'Criaturas - Base de Dados'!D25</f>
        <v>Baku Devorador</v>
      </c>
      <c r="E143" s="8" t="str">
        <f>'Sistema de Raridade e Evolução'!B5</f>
        <v>Ouro</v>
      </c>
      <c r="F143" s="9">
        <f>ROUND(('Criaturas - Base de Dados'!H25*'Sistema de Raridade e Evolução'!E5)*1000,2)</f>
        <v>288000</v>
      </c>
      <c r="G143" s="8">
        <f>ROUND('Criaturas - Base de Dados'!I25*'Sistema de Raridade e Evolução'!E5,0)</f>
        <v>180</v>
      </c>
      <c r="H143" s="8">
        <f>ROUND('Criaturas - Base de Dados'!J25*'Sistema de Raridade e Evolução'!E5,0)</f>
        <v>144</v>
      </c>
      <c r="I143" s="8">
        <f>ROUND('Criaturas - Base de Dados'!K25*'Sistema de Raridade e Evolução'!E5,0)</f>
        <v>918</v>
      </c>
      <c r="J143" s="8">
        <f>'Sistema de Raridade e Evolução'!D5</f>
        <v>31</v>
      </c>
      <c r="K143" s="8" t="s">
        <v>11</v>
      </c>
      <c r="L143" s="9">
        <f t="shared" si="2"/>
        <v>685714.29</v>
      </c>
    </row>
    <row r="144" spans="1:12" ht="14.25" hidden="1" customHeight="1" x14ac:dyDescent="0.3">
      <c r="A144" s="8">
        <v>143</v>
      </c>
      <c r="B144" s="8" t="str">
        <f>'Criaturas - Base de Dados'!B25</f>
        <v>Véu Sombrio</v>
      </c>
      <c r="C144" s="8" t="str">
        <f>'Criaturas - Base de Dados'!C25</f>
        <v>Sombra</v>
      </c>
      <c r="D144" s="8" t="str">
        <f>'Criaturas - Base de Dados'!D25</f>
        <v>Baku Devorador</v>
      </c>
      <c r="E144" s="8" t="str">
        <f>'Sistema de Raridade e Evolução'!B6</f>
        <v>Platina</v>
      </c>
      <c r="F144" s="9">
        <f>ROUND(('Criaturas - Base de Dados'!H25*'Sistema de Raridade e Evolução'!E6)*1000,2)</f>
        <v>800000</v>
      </c>
      <c r="G144" s="8">
        <f>ROUND('Criaturas - Base de Dados'!I25*'Sistema de Raridade e Evolução'!E6,0)</f>
        <v>500</v>
      </c>
      <c r="H144" s="8">
        <f>ROUND('Criaturas - Base de Dados'!J25*'Sistema de Raridade e Evolução'!E6,0)</f>
        <v>400</v>
      </c>
      <c r="I144" s="8">
        <f>ROUND('Criaturas - Base de Dados'!K25*'Sistema de Raridade e Evolução'!E6,0)</f>
        <v>2550</v>
      </c>
      <c r="J144" s="8">
        <f>'Sistema de Raridade e Evolução'!D6</f>
        <v>56</v>
      </c>
      <c r="K144" s="8" t="s">
        <v>12</v>
      </c>
      <c r="L144" s="9">
        <f t="shared" si="2"/>
        <v>1904761.9</v>
      </c>
    </row>
    <row r="145" spans="1:12" ht="14.25" hidden="1" customHeight="1" x14ac:dyDescent="0.3">
      <c r="A145" s="8">
        <v>144</v>
      </c>
      <c r="B145" s="8" t="str">
        <f>'Criaturas - Base de Dados'!B25</f>
        <v>Véu Sombrio</v>
      </c>
      <c r="C145" s="8" t="str">
        <f>'Criaturas - Base de Dados'!C25</f>
        <v>Sombra</v>
      </c>
      <c r="D145" s="8" t="str">
        <f>'Criaturas - Base de Dados'!D25</f>
        <v>Baku Devorador</v>
      </c>
      <c r="E145" s="8" t="str">
        <f>'Sistema de Raridade e Evolução'!B7</f>
        <v>Lendário</v>
      </c>
      <c r="F145" s="9">
        <f>ROUND(('Criaturas - Base de Dados'!H25*'Sistema de Raridade e Evolução'!E7)*1000,2)</f>
        <v>2400000</v>
      </c>
      <c r="G145" s="8">
        <f>ROUND('Criaturas - Base de Dados'!I25*'Sistema de Raridade e Evolução'!E7,0)</f>
        <v>1500</v>
      </c>
      <c r="H145" s="8">
        <f>ROUND('Criaturas - Base de Dados'!J25*'Sistema de Raridade e Evolução'!E7,0)</f>
        <v>1200</v>
      </c>
      <c r="I145" s="8">
        <f>ROUND('Criaturas - Base de Dados'!K25*'Sistema de Raridade e Evolução'!E7,0)</f>
        <v>7650</v>
      </c>
      <c r="J145" s="8">
        <f>'Sistema de Raridade e Evolução'!D7</f>
        <v>91</v>
      </c>
      <c r="K145" s="8" t="s">
        <v>925</v>
      </c>
      <c r="L145" s="9">
        <f t="shared" si="2"/>
        <v>5714285.71</v>
      </c>
    </row>
    <row r="146" spans="1:12" ht="14.25" customHeight="1" x14ac:dyDescent="0.3">
      <c r="A146" s="8">
        <v>145</v>
      </c>
      <c r="B146" s="8" t="str">
        <f>'Criaturas - Base de Dados'!B26</f>
        <v>Véu Sombrio</v>
      </c>
      <c r="C146" s="8" t="str">
        <f>'Criaturas - Base de Dados'!C26</f>
        <v>Sombra</v>
      </c>
      <c r="D146" s="8" t="str">
        <f>'Criaturas - Base de Dados'!D26</f>
        <v>Banshee Lamentosa</v>
      </c>
      <c r="E146" s="8" t="str">
        <f>'Sistema de Raridade e Evolução'!B2</f>
        <v>Default</v>
      </c>
      <c r="F146" s="9" t="e">
        <f>ROUND(('Criaturas - Base de Dados'!H26*'Sistema de Raridade e Evolução'!E2)*1000,2)</f>
        <v>#VALUE!</v>
      </c>
      <c r="G146" s="8" t="e">
        <f>ROUND('Criaturas - Base de Dados'!I26*'Sistema de Raridade e Evolução'!E2,0)</f>
        <v>#VALUE!</v>
      </c>
      <c r="H146" s="8" t="e">
        <f>ROUND('Criaturas - Base de Dados'!J26*'Sistema de Raridade e Evolução'!E2,0)</f>
        <v>#VALUE!</v>
      </c>
      <c r="I146" s="8" t="e">
        <f>ROUND('Criaturas - Base de Dados'!K26*'Sistema de Raridade e Evolução'!E2,0)</f>
        <v>#VALUE!</v>
      </c>
      <c r="J146" s="8">
        <f>'Sistema de Raridade e Evolução'!D2</f>
        <v>1</v>
      </c>
      <c r="K146" s="8" t="s">
        <v>8</v>
      </c>
      <c r="L146" s="9" t="e">
        <f t="shared" si="2"/>
        <v>#VALUE!</v>
      </c>
    </row>
    <row r="147" spans="1:12" ht="14.25" hidden="1" customHeight="1" x14ac:dyDescent="0.3">
      <c r="A147" s="8">
        <v>146</v>
      </c>
      <c r="B147" s="8" t="str">
        <f>'Criaturas - Base de Dados'!B26</f>
        <v>Véu Sombrio</v>
      </c>
      <c r="C147" s="8" t="str">
        <f>'Criaturas - Base de Dados'!C26</f>
        <v>Sombra</v>
      </c>
      <c r="D147" s="8" t="str">
        <f>'Criaturas - Base de Dados'!D26</f>
        <v>Banshee Lamentosa</v>
      </c>
      <c r="E147" s="8" t="str">
        <f>'Sistema de Raridade e Evolução'!B3</f>
        <v>Bronze</v>
      </c>
      <c r="F147" s="9">
        <f>ROUND(('Criaturas - Base de Dados'!H26*'Sistema de Raridade e Evolução'!E3)*1000,2)</f>
        <v>16000</v>
      </c>
      <c r="G147" s="8">
        <f>ROUND('Criaturas - Base de Dados'!I26*'Sistema de Raridade e Evolução'!E3,0)</f>
        <v>10</v>
      </c>
      <c r="H147" s="8">
        <f>ROUND('Criaturas - Base de Dados'!J26*'Sistema de Raridade e Evolução'!E3,0)</f>
        <v>8</v>
      </c>
      <c r="I147" s="8">
        <f>ROUND('Criaturas - Base de Dados'!K26*'Sistema de Raridade e Evolução'!E3,0)</f>
        <v>51</v>
      </c>
      <c r="J147" s="8">
        <f>'Sistema de Raridade e Evolução'!D3</f>
        <v>6</v>
      </c>
      <c r="K147" s="8" t="s">
        <v>9</v>
      </c>
      <c r="L147" s="9">
        <f t="shared" si="2"/>
        <v>38095.24</v>
      </c>
    </row>
    <row r="148" spans="1:12" ht="14.25" hidden="1" customHeight="1" x14ac:dyDescent="0.3">
      <c r="A148" s="8">
        <v>147</v>
      </c>
      <c r="B148" s="8" t="str">
        <f>'Criaturas - Base de Dados'!B26</f>
        <v>Véu Sombrio</v>
      </c>
      <c r="C148" s="8" t="str">
        <f>'Criaturas - Base de Dados'!C26</f>
        <v>Sombra</v>
      </c>
      <c r="D148" s="8" t="str">
        <f>'Criaturas - Base de Dados'!D26</f>
        <v>Banshee Lamentosa</v>
      </c>
      <c r="E148" s="8" t="str">
        <f>'Sistema de Raridade e Evolução'!B4</f>
        <v>Prata</v>
      </c>
      <c r="F148" s="9">
        <f>ROUND(('Criaturas - Base de Dados'!H26*'Sistema de Raridade e Evolução'!E4)*1000,2)</f>
        <v>96000</v>
      </c>
      <c r="G148" s="8">
        <f>ROUND('Criaturas - Base de Dados'!I26*'Sistema de Raridade e Evolução'!E4,0)</f>
        <v>60</v>
      </c>
      <c r="H148" s="8">
        <f>ROUND('Criaturas - Base de Dados'!J26*'Sistema de Raridade e Evolução'!E4,0)</f>
        <v>48</v>
      </c>
      <c r="I148" s="8">
        <f>ROUND('Criaturas - Base de Dados'!K26*'Sistema de Raridade e Evolução'!E4,0)</f>
        <v>306</v>
      </c>
      <c r="J148" s="8">
        <f>'Sistema de Raridade e Evolução'!D4</f>
        <v>16</v>
      </c>
      <c r="K148" s="8" t="s">
        <v>10</v>
      </c>
      <c r="L148" s="9">
        <f t="shared" si="2"/>
        <v>228571.43</v>
      </c>
    </row>
    <row r="149" spans="1:12" ht="14.25" hidden="1" customHeight="1" x14ac:dyDescent="0.3">
      <c r="A149" s="8">
        <v>148</v>
      </c>
      <c r="B149" s="8" t="str">
        <f>'Criaturas - Base de Dados'!B26</f>
        <v>Véu Sombrio</v>
      </c>
      <c r="C149" s="8" t="str">
        <f>'Criaturas - Base de Dados'!C26</f>
        <v>Sombra</v>
      </c>
      <c r="D149" s="8" t="str">
        <f>'Criaturas - Base de Dados'!D26</f>
        <v>Banshee Lamentosa</v>
      </c>
      <c r="E149" s="8" t="str">
        <f>'Sistema de Raridade e Evolução'!B5</f>
        <v>Ouro</v>
      </c>
      <c r="F149" s="9">
        <f>ROUND(('Criaturas - Base de Dados'!H26*'Sistema de Raridade e Evolução'!E5)*1000,2)</f>
        <v>288000</v>
      </c>
      <c r="G149" s="8">
        <f>ROUND('Criaturas - Base de Dados'!I26*'Sistema de Raridade e Evolução'!E5,0)</f>
        <v>180</v>
      </c>
      <c r="H149" s="8">
        <f>ROUND('Criaturas - Base de Dados'!J26*'Sistema de Raridade e Evolução'!E5,0)</f>
        <v>144</v>
      </c>
      <c r="I149" s="8">
        <f>ROUND('Criaturas - Base de Dados'!K26*'Sistema de Raridade e Evolução'!E5,0)</f>
        <v>918</v>
      </c>
      <c r="J149" s="8">
        <f>'Sistema de Raridade e Evolução'!D5</f>
        <v>31</v>
      </c>
      <c r="K149" s="8" t="s">
        <v>11</v>
      </c>
      <c r="L149" s="9">
        <f t="shared" si="2"/>
        <v>685714.29</v>
      </c>
    </row>
    <row r="150" spans="1:12" ht="14.25" hidden="1" customHeight="1" x14ac:dyDescent="0.3">
      <c r="A150" s="8">
        <v>149</v>
      </c>
      <c r="B150" s="8" t="str">
        <f>'Criaturas - Base de Dados'!B26</f>
        <v>Véu Sombrio</v>
      </c>
      <c r="C150" s="8" t="str">
        <f>'Criaturas - Base de Dados'!C26</f>
        <v>Sombra</v>
      </c>
      <c r="D150" s="8" t="str">
        <f>'Criaturas - Base de Dados'!D26</f>
        <v>Banshee Lamentosa</v>
      </c>
      <c r="E150" s="8" t="str">
        <f>'Sistema de Raridade e Evolução'!B6</f>
        <v>Platina</v>
      </c>
      <c r="F150" s="9">
        <f>ROUND(('Criaturas - Base de Dados'!H26*'Sistema de Raridade e Evolução'!E6)*1000,2)</f>
        <v>800000</v>
      </c>
      <c r="G150" s="8">
        <f>ROUND('Criaturas - Base de Dados'!I26*'Sistema de Raridade e Evolução'!E6,0)</f>
        <v>500</v>
      </c>
      <c r="H150" s="8">
        <f>ROUND('Criaturas - Base de Dados'!J26*'Sistema de Raridade e Evolução'!E6,0)</f>
        <v>400</v>
      </c>
      <c r="I150" s="8">
        <f>ROUND('Criaturas - Base de Dados'!K26*'Sistema de Raridade e Evolução'!E6,0)</f>
        <v>2550</v>
      </c>
      <c r="J150" s="8">
        <f>'Sistema de Raridade e Evolução'!D6</f>
        <v>56</v>
      </c>
      <c r="K150" s="8" t="s">
        <v>12</v>
      </c>
      <c r="L150" s="9">
        <f t="shared" si="2"/>
        <v>1904761.9</v>
      </c>
    </row>
    <row r="151" spans="1:12" ht="14.25" hidden="1" customHeight="1" x14ac:dyDescent="0.3">
      <c r="A151" s="8">
        <v>150</v>
      </c>
      <c r="B151" s="8" t="str">
        <f>'Criaturas - Base de Dados'!B26</f>
        <v>Véu Sombrio</v>
      </c>
      <c r="C151" s="8" t="str">
        <f>'Criaturas - Base de Dados'!C26</f>
        <v>Sombra</v>
      </c>
      <c r="D151" s="8" t="str">
        <f>'Criaturas - Base de Dados'!D26</f>
        <v>Banshee Lamentosa</v>
      </c>
      <c r="E151" s="8" t="str">
        <f>'Sistema de Raridade e Evolução'!B7</f>
        <v>Lendário</v>
      </c>
      <c r="F151" s="9">
        <f>ROUND(('Criaturas - Base de Dados'!H26*'Sistema de Raridade e Evolução'!E7)*1000,2)</f>
        <v>2400000</v>
      </c>
      <c r="G151" s="8">
        <f>ROUND('Criaturas - Base de Dados'!I26*'Sistema de Raridade e Evolução'!E7,0)</f>
        <v>1500</v>
      </c>
      <c r="H151" s="8">
        <f>ROUND('Criaturas - Base de Dados'!J26*'Sistema de Raridade e Evolução'!E7,0)</f>
        <v>1200</v>
      </c>
      <c r="I151" s="8">
        <f>ROUND('Criaturas - Base de Dados'!K26*'Sistema de Raridade e Evolução'!E7,0)</f>
        <v>7650</v>
      </c>
      <c r="J151" s="8">
        <f>'Sistema de Raridade e Evolução'!D7</f>
        <v>91</v>
      </c>
      <c r="K151" s="8" t="s">
        <v>925</v>
      </c>
      <c r="L151" s="9">
        <f t="shared" si="2"/>
        <v>5714285.71</v>
      </c>
    </row>
    <row r="152" spans="1:12" ht="14.25" customHeight="1" x14ac:dyDescent="0.3">
      <c r="A152" s="8">
        <v>151</v>
      </c>
      <c r="B152" s="8" t="str">
        <f>'Criaturas - Base de Dados'!B27</f>
        <v>Véu Sombrio</v>
      </c>
      <c r="C152" s="8" t="str">
        <f>'Criaturas - Base de Dados'!C27</f>
        <v>Sombra</v>
      </c>
      <c r="D152" s="8" t="str">
        <f>'Criaturas - Base de Dados'!D27</f>
        <v>Yūrei Errante</v>
      </c>
      <c r="E152" s="8" t="str">
        <f>'Sistema de Raridade e Evolução'!B2</f>
        <v>Default</v>
      </c>
      <c r="F152" s="9" t="e">
        <f>ROUND(('Criaturas - Base de Dados'!H27*'Sistema de Raridade e Evolução'!E2)*1000,2)</f>
        <v>#VALUE!</v>
      </c>
      <c r="G152" s="8" t="e">
        <f>ROUND('Criaturas - Base de Dados'!I27*'Sistema de Raridade e Evolução'!E2,0)</f>
        <v>#VALUE!</v>
      </c>
      <c r="H152" s="8" t="e">
        <f>ROUND('Criaturas - Base de Dados'!J27*'Sistema de Raridade e Evolução'!E2,0)</f>
        <v>#VALUE!</v>
      </c>
      <c r="I152" s="8" t="e">
        <f>ROUND('Criaturas - Base de Dados'!K27*'Sistema de Raridade e Evolução'!E2,0)</f>
        <v>#VALUE!</v>
      </c>
      <c r="J152" s="8">
        <f>'Sistema de Raridade e Evolução'!D2</f>
        <v>1</v>
      </c>
      <c r="K152" s="8" t="s">
        <v>8</v>
      </c>
      <c r="L152" s="9" t="e">
        <f t="shared" si="2"/>
        <v>#VALUE!</v>
      </c>
    </row>
    <row r="153" spans="1:12" ht="14.25" hidden="1" customHeight="1" x14ac:dyDescent="0.3">
      <c r="A153" s="8">
        <v>152</v>
      </c>
      <c r="B153" s="8" t="str">
        <f>'Criaturas - Base de Dados'!B27</f>
        <v>Véu Sombrio</v>
      </c>
      <c r="C153" s="8" t="str">
        <f>'Criaturas - Base de Dados'!C27</f>
        <v>Sombra</v>
      </c>
      <c r="D153" s="8" t="str">
        <f>'Criaturas - Base de Dados'!D27</f>
        <v>Yūrei Errante</v>
      </c>
      <c r="E153" s="8" t="str">
        <f>'Sistema de Raridade e Evolução'!B3</f>
        <v>Bronze</v>
      </c>
      <c r="F153" s="9">
        <f>ROUND(('Criaturas - Base de Dados'!H27*'Sistema de Raridade e Evolução'!E3)*1000,2)</f>
        <v>18000</v>
      </c>
      <c r="G153" s="8">
        <f>ROUND('Criaturas - Base de Dados'!I27*'Sistema de Raridade e Evolução'!E3,0)</f>
        <v>11</v>
      </c>
      <c r="H153" s="8">
        <f>ROUND('Criaturas - Base de Dados'!J27*'Sistema de Raridade e Evolução'!E3,0)</f>
        <v>9</v>
      </c>
      <c r="I153" s="8">
        <f>ROUND('Criaturas - Base de Dados'!K27*'Sistema de Raridade e Evolução'!E3,0)</f>
        <v>58</v>
      </c>
      <c r="J153" s="8">
        <f>'Sistema de Raridade e Evolução'!D3</f>
        <v>6</v>
      </c>
      <c r="K153" s="8" t="s">
        <v>9</v>
      </c>
      <c r="L153" s="9">
        <f t="shared" si="2"/>
        <v>42857.14</v>
      </c>
    </row>
    <row r="154" spans="1:12" ht="14.25" hidden="1" customHeight="1" x14ac:dyDescent="0.3">
      <c r="A154" s="8">
        <v>153</v>
      </c>
      <c r="B154" s="8" t="str">
        <f>'Criaturas - Base de Dados'!B27</f>
        <v>Véu Sombrio</v>
      </c>
      <c r="C154" s="8" t="str">
        <f>'Criaturas - Base de Dados'!C27</f>
        <v>Sombra</v>
      </c>
      <c r="D154" s="8" t="str">
        <f>'Criaturas - Base de Dados'!D27</f>
        <v>Yūrei Errante</v>
      </c>
      <c r="E154" s="8" t="str">
        <f>'Sistema de Raridade e Evolução'!B4</f>
        <v>Prata</v>
      </c>
      <c r="F154" s="9">
        <f>ROUND(('Criaturas - Base de Dados'!H27*'Sistema de Raridade e Evolução'!E4)*1000,2)</f>
        <v>108000</v>
      </c>
      <c r="G154" s="8">
        <f>ROUND('Criaturas - Base de Dados'!I27*'Sistema de Raridade e Evolução'!E4,0)</f>
        <v>66</v>
      </c>
      <c r="H154" s="8">
        <f>ROUND('Criaturas - Base de Dados'!J27*'Sistema de Raridade e Evolução'!E4,0)</f>
        <v>54</v>
      </c>
      <c r="I154" s="8">
        <f>ROUND('Criaturas - Base de Dados'!K27*'Sistema de Raridade e Evolução'!E4,0)</f>
        <v>348</v>
      </c>
      <c r="J154" s="8">
        <f>'Sistema de Raridade e Evolução'!D4</f>
        <v>16</v>
      </c>
      <c r="K154" s="8" t="s">
        <v>10</v>
      </c>
      <c r="L154" s="9">
        <f t="shared" si="2"/>
        <v>257142.86</v>
      </c>
    </row>
    <row r="155" spans="1:12" ht="14.25" hidden="1" customHeight="1" x14ac:dyDescent="0.3">
      <c r="A155" s="8">
        <v>154</v>
      </c>
      <c r="B155" s="8" t="str">
        <f>'Criaturas - Base de Dados'!B27</f>
        <v>Véu Sombrio</v>
      </c>
      <c r="C155" s="8" t="str">
        <f>'Criaturas - Base de Dados'!C27</f>
        <v>Sombra</v>
      </c>
      <c r="D155" s="8" t="str">
        <f>'Criaturas - Base de Dados'!D27</f>
        <v>Yūrei Errante</v>
      </c>
      <c r="E155" s="8" t="str">
        <f>'Sistema de Raridade e Evolução'!B5</f>
        <v>Ouro</v>
      </c>
      <c r="F155" s="9">
        <f>ROUND(('Criaturas - Base de Dados'!H27*'Sistema de Raridade e Evolução'!E5)*1000,2)</f>
        <v>324000</v>
      </c>
      <c r="G155" s="8">
        <f>ROUND('Criaturas - Base de Dados'!I27*'Sistema de Raridade e Evolução'!E5,0)</f>
        <v>198</v>
      </c>
      <c r="H155" s="8">
        <f>ROUND('Criaturas - Base de Dados'!J27*'Sistema de Raridade e Evolução'!E5,0)</f>
        <v>162</v>
      </c>
      <c r="I155" s="8">
        <f>ROUND('Criaturas - Base de Dados'!K27*'Sistema de Raridade e Evolução'!E5,0)</f>
        <v>1044</v>
      </c>
      <c r="J155" s="8">
        <f>'Sistema de Raridade e Evolução'!D5</f>
        <v>31</v>
      </c>
      <c r="K155" s="8" t="s">
        <v>11</v>
      </c>
      <c r="L155" s="9">
        <f t="shared" si="2"/>
        <v>771428.57</v>
      </c>
    </row>
    <row r="156" spans="1:12" ht="14.25" hidden="1" customHeight="1" x14ac:dyDescent="0.3">
      <c r="A156" s="8">
        <v>155</v>
      </c>
      <c r="B156" s="8" t="str">
        <f>'Criaturas - Base de Dados'!B27</f>
        <v>Véu Sombrio</v>
      </c>
      <c r="C156" s="8" t="str">
        <f>'Criaturas - Base de Dados'!C27</f>
        <v>Sombra</v>
      </c>
      <c r="D156" s="8" t="str">
        <f>'Criaturas - Base de Dados'!D27</f>
        <v>Yūrei Errante</v>
      </c>
      <c r="E156" s="8" t="str">
        <f>'Sistema de Raridade e Evolução'!B6</f>
        <v>Platina</v>
      </c>
      <c r="F156" s="9">
        <f>ROUND(('Criaturas - Base de Dados'!H27*'Sistema de Raridade e Evolução'!E6)*1000,2)</f>
        <v>900000</v>
      </c>
      <c r="G156" s="8">
        <f>ROUND('Criaturas - Base de Dados'!I27*'Sistema de Raridade e Evolução'!E6,0)</f>
        <v>550</v>
      </c>
      <c r="H156" s="8">
        <f>ROUND('Criaturas - Base de Dados'!J27*'Sistema de Raridade e Evolução'!E6,0)</f>
        <v>450</v>
      </c>
      <c r="I156" s="8">
        <f>ROUND('Criaturas - Base de Dados'!K27*'Sistema de Raridade e Evolução'!E6,0)</f>
        <v>2900</v>
      </c>
      <c r="J156" s="8">
        <f>'Sistema de Raridade e Evolução'!D6</f>
        <v>56</v>
      </c>
      <c r="K156" s="8" t="s">
        <v>12</v>
      </c>
      <c r="L156" s="9">
        <f t="shared" si="2"/>
        <v>2142857.14</v>
      </c>
    </row>
    <row r="157" spans="1:12" ht="14.25" hidden="1" customHeight="1" x14ac:dyDescent="0.3">
      <c r="A157" s="8">
        <v>156</v>
      </c>
      <c r="B157" s="8" t="str">
        <f>'Criaturas - Base de Dados'!B27</f>
        <v>Véu Sombrio</v>
      </c>
      <c r="C157" s="8" t="str">
        <f>'Criaturas - Base de Dados'!C27</f>
        <v>Sombra</v>
      </c>
      <c r="D157" s="8" t="str">
        <f>'Criaturas - Base de Dados'!D27</f>
        <v>Yūrei Errante</v>
      </c>
      <c r="E157" s="8" t="str">
        <f>'Sistema de Raridade e Evolução'!B7</f>
        <v>Lendário</v>
      </c>
      <c r="F157" s="9">
        <f>ROUND(('Criaturas - Base de Dados'!H27*'Sistema de Raridade e Evolução'!E7)*1000,2)</f>
        <v>2700000</v>
      </c>
      <c r="G157" s="8">
        <f>ROUND('Criaturas - Base de Dados'!I27*'Sistema de Raridade e Evolução'!E7,0)</f>
        <v>1650</v>
      </c>
      <c r="H157" s="8">
        <f>ROUND('Criaturas - Base de Dados'!J27*'Sistema de Raridade e Evolução'!E7,0)</f>
        <v>1350</v>
      </c>
      <c r="I157" s="8">
        <f>ROUND('Criaturas - Base de Dados'!K27*'Sistema de Raridade e Evolução'!E7,0)</f>
        <v>8700</v>
      </c>
      <c r="J157" s="8">
        <f>'Sistema de Raridade e Evolução'!D7</f>
        <v>91</v>
      </c>
      <c r="K157" s="8" t="s">
        <v>925</v>
      </c>
      <c r="L157" s="9">
        <f t="shared" si="2"/>
        <v>6428571.4299999997</v>
      </c>
    </row>
    <row r="158" spans="1:12" ht="14.25" customHeight="1" x14ac:dyDescent="0.3">
      <c r="A158" s="8">
        <v>157</v>
      </c>
      <c r="B158" s="8" t="str">
        <f>'Criaturas - Base de Dados'!B28</f>
        <v>Véu Sombrio</v>
      </c>
      <c r="C158" s="8" t="str">
        <f>'Criaturas - Base de Dados'!C28</f>
        <v>Sombra</v>
      </c>
      <c r="D158" s="8" t="str">
        <f>'Criaturas - Base de Dados'!D28</f>
        <v>Krampus Sombrio</v>
      </c>
      <c r="E158" s="8" t="str">
        <f>'Sistema de Raridade e Evolução'!B2</f>
        <v>Default</v>
      </c>
      <c r="F158" s="9" t="e">
        <f>ROUND(('Criaturas - Base de Dados'!H28*'Sistema de Raridade e Evolução'!E2)*1000,2)</f>
        <v>#VALUE!</v>
      </c>
      <c r="G158" s="8" t="e">
        <f>ROUND('Criaturas - Base de Dados'!I28*'Sistema de Raridade e Evolução'!E2,0)</f>
        <v>#VALUE!</v>
      </c>
      <c r="H158" s="8" t="e">
        <f>ROUND('Criaturas - Base de Dados'!J28*'Sistema de Raridade e Evolução'!E2,0)</f>
        <v>#VALUE!</v>
      </c>
      <c r="I158" s="8" t="e">
        <f>ROUND('Criaturas - Base de Dados'!K28*'Sistema de Raridade e Evolução'!E2,0)</f>
        <v>#VALUE!</v>
      </c>
      <c r="J158" s="8">
        <f>'Sistema de Raridade e Evolução'!D2</f>
        <v>1</v>
      </c>
      <c r="K158" s="8" t="s">
        <v>8</v>
      </c>
      <c r="L158" s="9" t="e">
        <f t="shared" si="2"/>
        <v>#VALUE!</v>
      </c>
    </row>
    <row r="159" spans="1:12" ht="14.25" hidden="1" customHeight="1" x14ac:dyDescent="0.3">
      <c r="A159" s="8">
        <v>158</v>
      </c>
      <c r="B159" s="8" t="str">
        <f>'Criaturas - Base de Dados'!B28</f>
        <v>Véu Sombrio</v>
      </c>
      <c r="C159" s="8" t="str">
        <f>'Criaturas - Base de Dados'!C28</f>
        <v>Sombra</v>
      </c>
      <c r="D159" s="8" t="str">
        <f>'Criaturas - Base de Dados'!D28</f>
        <v>Krampus Sombrio</v>
      </c>
      <c r="E159" s="8" t="str">
        <f>'Sistema de Raridade e Evolução'!B3</f>
        <v>Bronze</v>
      </c>
      <c r="F159" s="9">
        <f>ROUND(('Criaturas - Base de Dados'!H28*'Sistema de Raridade e Evolução'!E3)*1000,2)</f>
        <v>20000</v>
      </c>
      <c r="G159" s="8">
        <f>ROUND('Criaturas - Base de Dados'!I28*'Sistema de Raridade e Evolução'!E3,0)</f>
        <v>12</v>
      </c>
      <c r="H159" s="8">
        <f>ROUND('Criaturas - Base de Dados'!J28*'Sistema de Raridade e Evolução'!E3,0)</f>
        <v>10</v>
      </c>
      <c r="I159" s="8">
        <f>ROUND('Criaturas - Base de Dados'!K28*'Sistema de Raridade e Evolução'!E3,0)</f>
        <v>64</v>
      </c>
      <c r="J159" s="8">
        <f>'Sistema de Raridade e Evolução'!D3</f>
        <v>6</v>
      </c>
      <c r="K159" s="8" t="s">
        <v>9</v>
      </c>
      <c r="L159" s="9">
        <f t="shared" si="2"/>
        <v>47619.05</v>
      </c>
    </row>
    <row r="160" spans="1:12" ht="14.25" hidden="1" customHeight="1" x14ac:dyDescent="0.3">
      <c r="A160" s="8">
        <v>159</v>
      </c>
      <c r="B160" s="8" t="str">
        <f>'Criaturas - Base de Dados'!B28</f>
        <v>Véu Sombrio</v>
      </c>
      <c r="C160" s="8" t="str">
        <f>'Criaturas - Base de Dados'!C28</f>
        <v>Sombra</v>
      </c>
      <c r="D160" s="8" t="str">
        <f>'Criaturas - Base de Dados'!D28</f>
        <v>Krampus Sombrio</v>
      </c>
      <c r="E160" s="8" t="str">
        <f>'Sistema de Raridade e Evolução'!B4</f>
        <v>Prata</v>
      </c>
      <c r="F160" s="9">
        <f>ROUND(('Criaturas - Base de Dados'!H28*'Sistema de Raridade e Evolução'!E4)*1000,2)</f>
        <v>120000</v>
      </c>
      <c r="G160" s="8">
        <f>ROUND('Criaturas - Base de Dados'!I28*'Sistema de Raridade e Evolução'!E4,0)</f>
        <v>72</v>
      </c>
      <c r="H160" s="8">
        <f>ROUND('Criaturas - Base de Dados'!J28*'Sistema de Raridade e Evolução'!E4,0)</f>
        <v>60</v>
      </c>
      <c r="I160" s="8">
        <f>ROUND('Criaturas - Base de Dados'!K28*'Sistema de Raridade e Evolução'!E4,0)</f>
        <v>384</v>
      </c>
      <c r="J160" s="8">
        <f>'Sistema de Raridade e Evolução'!D4</f>
        <v>16</v>
      </c>
      <c r="K160" s="8" t="s">
        <v>10</v>
      </c>
      <c r="L160" s="9">
        <f t="shared" si="2"/>
        <v>285714.28999999998</v>
      </c>
    </row>
    <row r="161" spans="1:12" ht="14.25" hidden="1" customHeight="1" x14ac:dyDescent="0.3">
      <c r="A161" s="8">
        <v>160</v>
      </c>
      <c r="B161" s="8" t="str">
        <f>'Criaturas - Base de Dados'!B28</f>
        <v>Véu Sombrio</v>
      </c>
      <c r="C161" s="8" t="str">
        <f>'Criaturas - Base de Dados'!C28</f>
        <v>Sombra</v>
      </c>
      <c r="D161" s="8" t="str">
        <f>'Criaturas - Base de Dados'!D28</f>
        <v>Krampus Sombrio</v>
      </c>
      <c r="E161" s="8" t="str">
        <f>'Sistema de Raridade e Evolução'!B5</f>
        <v>Ouro</v>
      </c>
      <c r="F161" s="9">
        <f>ROUND(('Criaturas - Base de Dados'!H28*'Sistema de Raridade e Evolução'!E5)*1000,2)</f>
        <v>360000</v>
      </c>
      <c r="G161" s="8">
        <f>ROUND('Criaturas - Base de Dados'!I28*'Sistema de Raridade e Evolução'!E5,0)</f>
        <v>216</v>
      </c>
      <c r="H161" s="8">
        <f>ROUND('Criaturas - Base de Dados'!J28*'Sistema de Raridade e Evolução'!E5,0)</f>
        <v>180</v>
      </c>
      <c r="I161" s="8">
        <f>ROUND('Criaturas - Base de Dados'!K28*'Sistema de Raridade e Evolução'!E5,0)</f>
        <v>1152</v>
      </c>
      <c r="J161" s="8">
        <f>'Sistema de Raridade e Evolução'!D5</f>
        <v>31</v>
      </c>
      <c r="K161" s="8" t="s">
        <v>11</v>
      </c>
      <c r="L161" s="9">
        <f t="shared" si="2"/>
        <v>857142.86</v>
      </c>
    </row>
    <row r="162" spans="1:12" ht="14.25" hidden="1" customHeight="1" x14ac:dyDescent="0.3">
      <c r="A162" s="8">
        <v>161</v>
      </c>
      <c r="B162" s="8" t="str">
        <f>'Criaturas - Base de Dados'!B28</f>
        <v>Véu Sombrio</v>
      </c>
      <c r="C162" s="8" t="str">
        <f>'Criaturas - Base de Dados'!C28</f>
        <v>Sombra</v>
      </c>
      <c r="D162" s="8" t="str">
        <f>'Criaturas - Base de Dados'!D28</f>
        <v>Krampus Sombrio</v>
      </c>
      <c r="E162" s="8" t="str">
        <f>'Sistema de Raridade e Evolução'!B6</f>
        <v>Platina</v>
      </c>
      <c r="F162" s="9">
        <f>ROUND(('Criaturas - Base de Dados'!H28*'Sistema de Raridade e Evolução'!E6)*1000,2)</f>
        <v>1000000</v>
      </c>
      <c r="G162" s="8">
        <f>ROUND('Criaturas - Base de Dados'!I28*'Sistema de Raridade e Evolução'!E6,0)</f>
        <v>600</v>
      </c>
      <c r="H162" s="8">
        <f>ROUND('Criaturas - Base de Dados'!J28*'Sistema de Raridade e Evolução'!E6,0)</f>
        <v>500</v>
      </c>
      <c r="I162" s="8">
        <f>ROUND('Criaturas - Base de Dados'!K28*'Sistema de Raridade e Evolução'!E6,0)</f>
        <v>3200</v>
      </c>
      <c r="J162" s="8">
        <f>'Sistema de Raridade e Evolução'!D6</f>
        <v>56</v>
      </c>
      <c r="K162" s="8" t="s">
        <v>12</v>
      </c>
      <c r="L162" s="9">
        <f t="shared" si="2"/>
        <v>2380952.38</v>
      </c>
    </row>
    <row r="163" spans="1:12" ht="14.25" hidden="1" customHeight="1" x14ac:dyDescent="0.3">
      <c r="A163" s="8">
        <v>162</v>
      </c>
      <c r="B163" s="8" t="str">
        <f>'Criaturas - Base de Dados'!B28</f>
        <v>Véu Sombrio</v>
      </c>
      <c r="C163" s="8" t="str">
        <f>'Criaturas - Base de Dados'!C28</f>
        <v>Sombra</v>
      </c>
      <c r="D163" s="8" t="str">
        <f>'Criaturas - Base de Dados'!D28</f>
        <v>Krampus Sombrio</v>
      </c>
      <c r="E163" s="8" t="str">
        <f>'Sistema de Raridade e Evolução'!B7</f>
        <v>Lendário</v>
      </c>
      <c r="F163" s="9">
        <f>ROUND(('Criaturas - Base de Dados'!H28*'Sistema de Raridade e Evolução'!E7)*1000,2)</f>
        <v>3000000</v>
      </c>
      <c r="G163" s="8">
        <f>ROUND('Criaturas - Base de Dados'!I28*'Sistema de Raridade e Evolução'!E7,0)</f>
        <v>1800</v>
      </c>
      <c r="H163" s="8">
        <f>ROUND('Criaturas - Base de Dados'!J28*'Sistema de Raridade e Evolução'!E7,0)</f>
        <v>1500</v>
      </c>
      <c r="I163" s="8">
        <f>ROUND('Criaturas - Base de Dados'!K28*'Sistema de Raridade e Evolução'!E7,0)</f>
        <v>9600</v>
      </c>
      <c r="J163" s="8">
        <f>'Sistema de Raridade e Evolução'!D7</f>
        <v>91</v>
      </c>
      <c r="K163" s="8" t="s">
        <v>925</v>
      </c>
      <c r="L163" s="9">
        <f t="shared" si="2"/>
        <v>7142857.1399999997</v>
      </c>
    </row>
    <row r="164" spans="1:12" ht="14.25" customHeight="1" x14ac:dyDescent="0.3">
      <c r="A164" s="8">
        <v>163</v>
      </c>
      <c r="B164" s="8" t="str">
        <f>'Criaturas - Base de Dados'!B29</f>
        <v>Véu Sombrio</v>
      </c>
      <c r="C164" s="8" t="str">
        <f>'Criaturas - Base de Dados'!C29</f>
        <v>Sombra</v>
      </c>
      <c r="D164" s="8" t="str">
        <f>'Criaturas - Base de Dados'!D29</f>
        <v>Nuckelavee Amaldiçoado</v>
      </c>
      <c r="E164" s="8" t="str">
        <f>'Sistema de Raridade e Evolução'!B2</f>
        <v>Default</v>
      </c>
      <c r="F164" s="9" t="e">
        <f>ROUND(('Criaturas - Base de Dados'!H29*'Sistema de Raridade e Evolução'!E2)*1000,2)</f>
        <v>#VALUE!</v>
      </c>
      <c r="G164" s="8" t="e">
        <f>ROUND('Criaturas - Base de Dados'!I29*'Sistema de Raridade e Evolução'!E2,0)</f>
        <v>#VALUE!</v>
      </c>
      <c r="H164" s="8" t="e">
        <f>ROUND('Criaturas - Base de Dados'!J29*'Sistema de Raridade e Evolução'!E2,0)</f>
        <v>#VALUE!</v>
      </c>
      <c r="I164" s="8" t="e">
        <f>ROUND('Criaturas - Base de Dados'!K29*'Sistema de Raridade e Evolução'!E2,0)</f>
        <v>#VALUE!</v>
      </c>
      <c r="J164" s="8">
        <f>'Sistema de Raridade e Evolução'!D2</f>
        <v>1</v>
      </c>
      <c r="K164" s="8" t="s">
        <v>8</v>
      </c>
      <c r="L164" s="9" t="e">
        <f t="shared" si="2"/>
        <v>#VALUE!</v>
      </c>
    </row>
    <row r="165" spans="1:12" ht="14.25" hidden="1" customHeight="1" x14ac:dyDescent="0.3">
      <c r="A165" s="8">
        <v>164</v>
      </c>
      <c r="B165" s="8" t="str">
        <f>'Criaturas - Base de Dados'!B29</f>
        <v>Véu Sombrio</v>
      </c>
      <c r="C165" s="8" t="str">
        <f>'Criaturas - Base de Dados'!C29</f>
        <v>Sombra</v>
      </c>
      <c r="D165" s="8" t="str">
        <f>'Criaturas - Base de Dados'!D29</f>
        <v>Nuckelavee Amaldiçoado</v>
      </c>
      <c r="E165" s="8" t="str">
        <f>'Sistema de Raridade e Evolução'!B3</f>
        <v>Bronze</v>
      </c>
      <c r="F165" s="9">
        <f>ROUND(('Criaturas - Base de Dados'!H29*'Sistema de Raridade e Evolução'!E3)*1000,2)</f>
        <v>22000</v>
      </c>
      <c r="G165" s="8">
        <f>ROUND('Criaturas - Base de Dados'!I29*'Sistema de Raridade e Evolução'!E3,0)</f>
        <v>13</v>
      </c>
      <c r="H165" s="8">
        <f>ROUND('Criaturas - Base de Dados'!J29*'Sistema de Raridade e Evolução'!E3,0)</f>
        <v>11</v>
      </c>
      <c r="I165" s="8">
        <f>ROUND('Criaturas - Base de Dados'!K29*'Sistema de Raridade e Evolução'!E3,0)</f>
        <v>70</v>
      </c>
      <c r="J165" s="8">
        <f>'Sistema de Raridade e Evolução'!D3</f>
        <v>6</v>
      </c>
      <c r="K165" s="8" t="s">
        <v>9</v>
      </c>
      <c r="L165" s="9">
        <f t="shared" si="2"/>
        <v>52380.95</v>
      </c>
    </row>
    <row r="166" spans="1:12" ht="14.25" hidden="1" customHeight="1" x14ac:dyDescent="0.3">
      <c r="A166" s="8">
        <v>165</v>
      </c>
      <c r="B166" s="8" t="str">
        <f>'Criaturas - Base de Dados'!B29</f>
        <v>Véu Sombrio</v>
      </c>
      <c r="C166" s="8" t="str">
        <f>'Criaturas - Base de Dados'!C29</f>
        <v>Sombra</v>
      </c>
      <c r="D166" s="8" t="str">
        <f>'Criaturas - Base de Dados'!D29</f>
        <v>Nuckelavee Amaldiçoado</v>
      </c>
      <c r="E166" s="8" t="str">
        <f>'Sistema de Raridade e Evolução'!B4</f>
        <v>Prata</v>
      </c>
      <c r="F166" s="9">
        <f>ROUND(('Criaturas - Base de Dados'!H29*'Sistema de Raridade e Evolução'!E4)*1000,2)</f>
        <v>132000</v>
      </c>
      <c r="G166" s="8">
        <f>ROUND('Criaturas - Base de Dados'!I29*'Sistema de Raridade e Evolução'!E4,0)</f>
        <v>78</v>
      </c>
      <c r="H166" s="8">
        <f>ROUND('Criaturas - Base de Dados'!J29*'Sistema de Raridade e Evolução'!E4,0)</f>
        <v>66</v>
      </c>
      <c r="I166" s="8">
        <f>ROUND('Criaturas - Base de Dados'!K29*'Sistema de Raridade e Evolução'!E4,0)</f>
        <v>420</v>
      </c>
      <c r="J166" s="8">
        <f>'Sistema de Raridade e Evolução'!D4</f>
        <v>16</v>
      </c>
      <c r="K166" s="8" t="s">
        <v>10</v>
      </c>
      <c r="L166" s="9">
        <f t="shared" si="2"/>
        <v>314285.71000000002</v>
      </c>
    </row>
    <row r="167" spans="1:12" ht="14.25" hidden="1" customHeight="1" x14ac:dyDescent="0.3">
      <c r="A167" s="8">
        <v>166</v>
      </c>
      <c r="B167" s="8" t="str">
        <f>'Criaturas - Base de Dados'!B29</f>
        <v>Véu Sombrio</v>
      </c>
      <c r="C167" s="8" t="str">
        <f>'Criaturas - Base de Dados'!C29</f>
        <v>Sombra</v>
      </c>
      <c r="D167" s="8" t="str">
        <f>'Criaturas - Base de Dados'!D29</f>
        <v>Nuckelavee Amaldiçoado</v>
      </c>
      <c r="E167" s="8" t="str">
        <f>'Sistema de Raridade e Evolução'!B5</f>
        <v>Ouro</v>
      </c>
      <c r="F167" s="9">
        <f>ROUND(('Criaturas - Base de Dados'!H29*'Sistema de Raridade e Evolução'!E5)*1000,2)</f>
        <v>396000</v>
      </c>
      <c r="G167" s="8">
        <f>ROUND('Criaturas - Base de Dados'!I29*'Sistema de Raridade e Evolução'!E5,0)</f>
        <v>234</v>
      </c>
      <c r="H167" s="8">
        <f>ROUND('Criaturas - Base de Dados'!J29*'Sistema de Raridade e Evolução'!E5,0)</f>
        <v>198</v>
      </c>
      <c r="I167" s="8">
        <f>ROUND('Criaturas - Base de Dados'!K29*'Sistema de Raridade e Evolução'!E5,0)</f>
        <v>1260</v>
      </c>
      <c r="J167" s="8">
        <f>'Sistema de Raridade e Evolução'!D5</f>
        <v>31</v>
      </c>
      <c r="K167" s="8" t="s">
        <v>11</v>
      </c>
      <c r="L167" s="9">
        <f t="shared" si="2"/>
        <v>942857.14</v>
      </c>
    </row>
    <row r="168" spans="1:12" ht="14.25" hidden="1" customHeight="1" x14ac:dyDescent="0.3">
      <c r="A168" s="8">
        <v>167</v>
      </c>
      <c r="B168" s="8" t="str">
        <f>'Criaturas - Base de Dados'!B29</f>
        <v>Véu Sombrio</v>
      </c>
      <c r="C168" s="8" t="str">
        <f>'Criaturas - Base de Dados'!C29</f>
        <v>Sombra</v>
      </c>
      <c r="D168" s="8" t="str">
        <f>'Criaturas - Base de Dados'!D29</f>
        <v>Nuckelavee Amaldiçoado</v>
      </c>
      <c r="E168" s="8" t="str">
        <f>'Sistema de Raridade e Evolução'!B6</f>
        <v>Platina</v>
      </c>
      <c r="F168" s="9">
        <f>ROUND(('Criaturas - Base de Dados'!H29*'Sistema de Raridade e Evolução'!E6)*1000,2)</f>
        <v>1100000</v>
      </c>
      <c r="G168" s="8">
        <f>ROUND('Criaturas - Base de Dados'!I29*'Sistema de Raridade e Evolução'!E6,0)</f>
        <v>650</v>
      </c>
      <c r="H168" s="8">
        <f>ROUND('Criaturas - Base de Dados'!J29*'Sistema de Raridade e Evolução'!E6,0)</f>
        <v>550</v>
      </c>
      <c r="I168" s="8">
        <f>ROUND('Criaturas - Base de Dados'!K29*'Sistema de Raridade e Evolução'!E6,0)</f>
        <v>3500</v>
      </c>
      <c r="J168" s="8">
        <f>'Sistema de Raridade e Evolução'!D6</f>
        <v>56</v>
      </c>
      <c r="K168" s="8" t="s">
        <v>12</v>
      </c>
      <c r="L168" s="9">
        <f t="shared" si="2"/>
        <v>2619047.62</v>
      </c>
    </row>
    <row r="169" spans="1:12" ht="14.25" hidden="1" customHeight="1" x14ac:dyDescent="0.3">
      <c r="A169" s="8">
        <v>168</v>
      </c>
      <c r="B169" s="8" t="str">
        <f>'Criaturas - Base de Dados'!B29</f>
        <v>Véu Sombrio</v>
      </c>
      <c r="C169" s="8" t="str">
        <f>'Criaturas - Base de Dados'!C29</f>
        <v>Sombra</v>
      </c>
      <c r="D169" s="8" t="str">
        <f>'Criaturas - Base de Dados'!D29</f>
        <v>Nuckelavee Amaldiçoado</v>
      </c>
      <c r="E169" s="8" t="str">
        <f>'Sistema de Raridade e Evolução'!B7</f>
        <v>Lendário</v>
      </c>
      <c r="F169" s="9">
        <f>ROUND(('Criaturas - Base de Dados'!H29*'Sistema de Raridade e Evolução'!E7)*1000,2)</f>
        <v>3300000</v>
      </c>
      <c r="G169" s="8">
        <f>ROUND('Criaturas - Base de Dados'!I29*'Sistema de Raridade e Evolução'!E7,0)</f>
        <v>1950</v>
      </c>
      <c r="H169" s="8">
        <f>ROUND('Criaturas - Base de Dados'!J29*'Sistema de Raridade e Evolução'!E7,0)</f>
        <v>1650</v>
      </c>
      <c r="I169" s="8">
        <f>ROUND('Criaturas - Base de Dados'!K29*'Sistema de Raridade e Evolução'!E7,0)</f>
        <v>10500</v>
      </c>
      <c r="J169" s="8">
        <f>'Sistema de Raridade e Evolução'!D7</f>
        <v>91</v>
      </c>
      <c r="K169" s="8" t="s">
        <v>925</v>
      </c>
      <c r="L169" s="9">
        <f t="shared" si="2"/>
        <v>7857142.8600000003</v>
      </c>
    </row>
    <row r="170" spans="1:12" ht="14.25" customHeight="1" x14ac:dyDescent="0.3">
      <c r="A170" s="8">
        <v>169</v>
      </c>
      <c r="B170" s="8" t="str">
        <f>'Criaturas - Base de Dados'!B30</f>
        <v>Véu Sombrio</v>
      </c>
      <c r="C170" s="8" t="str">
        <f>'Criaturas - Base de Dados'!C30</f>
        <v>Sombra</v>
      </c>
      <c r="D170" s="8" t="str">
        <f>'Criaturas - Base de Dados'!D30</f>
        <v>Barghest Noturno</v>
      </c>
      <c r="E170" s="8" t="str">
        <f>'Sistema de Raridade e Evolução'!B2</f>
        <v>Default</v>
      </c>
      <c r="F170" s="9" t="e">
        <f>ROUND(('Criaturas - Base de Dados'!H30*'Sistema de Raridade e Evolução'!E2)*1000,2)</f>
        <v>#VALUE!</v>
      </c>
      <c r="G170" s="8" t="e">
        <f>ROUND('Criaturas - Base de Dados'!I30*'Sistema de Raridade e Evolução'!E2,0)</f>
        <v>#VALUE!</v>
      </c>
      <c r="H170" s="8" t="e">
        <f>ROUND('Criaturas - Base de Dados'!J30*'Sistema de Raridade e Evolução'!E2,0)</f>
        <v>#VALUE!</v>
      </c>
      <c r="I170" s="8" t="e">
        <f>ROUND('Criaturas - Base de Dados'!K30*'Sistema de Raridade e Evolução'!E2,0)</f>
        <v>#VALUE!</v>
      </c>
      <c r="J170" s="8">
        <f>'Sistema de Raridade e Evolução'!D2</f>
        <v>1</v>
      </c>
      <c r="K170" s="8" t="s">
        <v>8</v>
      </c>
      <c r="L170" s="9" t="e">
        <f t="shared" si="2"/>
        <v>#VALUE!</v>
      </c>
    </row>
    <row r="171" spans="1:12" ht="14.25" hidden="1" customHeight="1" x14ac:dyDescent="0.3">
      <c r="A171" s="8">
        <v>170</v>
      </c>
      <c r="B171" s="8" t="str">
        <f>'Criaturas - Base de Dados'!B30</f>
        <v>Véu Sombrio</v>
      </c>
      <c r="C171" s="8" t="str">
        <f>'Criaturas - Base de Dados'!C30</f>
        <v>Sombra</v>
      </c>
      <c r="D171" s="8" t="str">
        <f>'Criaturas - Base de Dados'!D30</f>
        <v>Barghest Noturno</v>
      </c>
      <c r="E171" s="8" t="str">
        <f>'Sistema de Raridade e Evolução'!B3</f>
        <v>Bronze</v>
      </c>
      <c r="F171" s="9">
        <f>ROUND(('Criaturas - Base de Dados'!H30*'Sistema de Raridade e Evolução'!E3)*1000,2)</f>
        <v>24000</v>
      </c>
      <c r="G171" s="8">
        <f>ROUND('Criaturas - Base de Dados'!I30*'Sistema de Raridade e Evolução'!E3,0)</f>
        <v>14</v>
      </c>
      <c r="H171" s="8">
        <f>ROUND('Criaturas - Base de Dados'!J30*'Sistema de Raridade e Evolução'!E3,0)</f>
        <v>12</v>
      </c>
      <c r="I171" s="8">
        <f>ROUND('Criaturas - Base de Dados'!K30*'Sistema de Raridade e Evolução'!E3,0)</f>
        <v>77</v>
      </c>
      <c r="J171" s="8">
        <f>'Sistema de Raridade e Evolução'!D3</f>
        <v>6</v>
      </c>
      <c r="K171" s="8" t="s">
        <v>9</v>
      </c>
      <c r="L171" s="9">
        <f t="shared" si="2"/>
        <v>57142.86</v>
      </c>
    </row>
    <row r="172" spans="1:12" ht="14.25" hidden="1" customHeight="1" x14ac:dyDescent="0.3">
      <c r="A172" s="8">
        <v>171</v>
      </c>
      <c r="B172" s="8" t="str">
        <f>'Criaturas - Base de Dados'!B30</f>
        <v>Véu Sombrio</v>
      </c>
      <c r="C172" s="8" t="str">
        <f>'Criaturas - Base de Dados'!C30</f>
        <v>Sombra</v>
      </c>
      <c r="D172" s="8" t="str">
        <f>'Criaturas - Base de Dados'!D30</f>
        <v>Barghest Noturno</v>
      </c>
      <c r="E172" s="8" t="str">
        <f>'Sistema de Raridade e Evolução'!B4</f>
        <v>Prata</v>
      </c>
      <c r="F172" s="9">
        <f>ROUND(('Criaturas - Base de Dados'!H30*'Sistema de Raridade e Evolução'!E4)*1000,2)</f>
        <v>144000</v>
      </c>
      <c r="G172" s="8">
        <f>ROUND('Criaturas - Base de Dados'!I30*'Sistema de Raridade e Evolução'!E4,0)</f>
        <v>84</v>
      </c>
      <c r="H172" s="8">
        <f>ROUND('Criaturas - Base de Dados'!J30*'Sistema de Raridade e Evolução'!E4,0)</f>
        <v>72</v>
      </c>
      <c r="I172" s="8">
        <f>ROUND('Criaturas - Base de Dados'!K30*'Sistema de Raridade e Evolução'!E4,0)</f>
        <v>462</v>
      </c>
      <c r="J172" s="8">
        <f>'Sistema de Raridade e Evolução'!D4</f>
        <v>16</v>
      </c>
      <c r="K172" s="8" t="s">
        <v>10</v>
      </c>
      <c r="L172" s="9">
        <f t="shared" si="2"/>
        <v>342857.14</v>
      </c>
    </row>
    <row r="173" spans="1:12" ht="14.25" hidden="1" customHeight="1" x14ac:dyDescent="0.3">
      <c r="A173" s="8">
        <v>172</v>
      </c>
      <c r="B173" s="8" t="str">
        <f>'Criaturas - Base de Dados'!B30</f>
        <v>Véu Sombrio</v>
      </c>
      <c r="C173" s="8" t="str">
        <f>'Criaturas - Base de Dados'!C30</f>
        <v>Sombra</v>
      </c>
      <c r="D173" s="8" t="str">
        <f>'Criaturas - Base de Dados'!D30</f>
        <v>Barghest Noturno</v>
      </c>
      <c r="E173" s="8" t="str">
        <f>'Sistema de Raridade e Evolução'!B5</f>
        <v>Ouro</v>
      </c>
      <c r="F173" s="9">
        <f>ROUND(('Criaturas - Base de Dados'!H30*'Sistema de Raridade e Evolução'!E5)*1000,2)</f>
        <v>432000</v>
      </c>
      <c r="G173" s="8">
        <f>ROUND('Criaturas - Base de Dados'!I30*'Sistema de Raridade e Evolução'!E5,0)</f>
        <v>252</v>
      </c>
      <c r="H173" s="8">
        <f>ROUND('Criaturas - Base de Dados'!J30*'Sistema de Raridade e Evolução'!E5,0)</f>
        <v>216</v>
      </c>
      <c r="I173" s="8">
        <f>ROUND('Criaturas - Base de Dados'!K30*'Sistema de Raridade e Evolução'!E5,0)</f>
        <v>1386</v>
      </c>
      <c r="J173" s="8">
        <f>'Sistema de Raridade e Evolução'!D5</f>
        <v>31</v>
      </c>
      <c r="K173" s="8" t="s">
        <v>11</v>
      </c>
      <c r="L173" s="9">
        <f t="shared" si="2"/>
        <v>1028571.43</v>
      </c>
    </row>
    <row r="174" spans="1:12" ht="14.25" hidden="1" customHeight="1" x14ac:dyDescent="0.3">
      <c r="A174" s="8">
        <v>173</v>
      </c>
      <c r="B174" s="8" t="str">
        <f>'Criaturas - Base de Dados'!B30</f>
        <v>Véu Sombrio</v>
      </c>
      <c r="C174" s="8" t="str">
        <f>'Criaturas - Base de Dados'!C30</f>
        <v>Sombra</v>
      </c>
      <c r="D174" s="8" t="str">
        <f>'Criaturas - Base de Dados'!D30</f>
        <v>Barghest Noturno</v>
      </c>
      <c r="E174" s="8" t="str">
        <f>'Sistema de Raridade e Evolução'!B6</f>
        <v>Platina</v>
      </c>
      <c r="F174" s="9">
        <f>ROUND(('Criaturas - Base de Dados'!H30*'Sistema de Raridade e Evolução'!E6)*1000,2)</f>
        <v>1200000</v>
      </c>
      <c r="G174" s="8">
        <f>ROUND('Criaturas - Base de Dados'!I30*'Sistema de Raridade e Evolução'!E6,0)</f>
        <v>700</v>
      </c>
      <c r="H174" s="8">
        <f>ROUND('Criaturas - Base de Dados'!J30*'Sistema de Raridade e Evolução'!E6,0)</f>
        <v>600</v>
      </c>
      <c r="I174" s="8">
        <f>ROUND('Criaturas - Base de Dados'!K30*'Sistema de Raridade e Evolução'!E6,0)</f>
        <v>3850</v>
      </c>
      <c r="J174" s="8">
        <f>'Sistema de Raridade e Evolução'!D6</f>
        <v>56</v>
      </c>
      <c r="K174" s="8" t="s">
        <v>12</v>
      </c>
      <c r="L174" s="9">
        <f t="shared" si="2"/>
        <v>2857142.86</v>
      </c>
    </row>
    <row r="175" spans="1:12" ht="14.25" hidden="1" customHeight="1" x14ac:dyDescent="0.3">
      <c r="A175" s="8">
        <v>174</v>
      </c>
      <c r="B175" s="8" t="str">
        <f>'Criaturas - Base de Dados'!B30</f>
        <v>Véu Sombrio</v>
      </c>
      <c r="C175" s="8" t="str">
        <f>'Criaturas - Base de Dados'!C30</f>
        <v>Sombra</v>
      </c>
      <c r="D175" s="8" t="str">
        <f>'Criaturas - Base de Dados'!D30</f>
        <v>Barghest Noturno</v>
      </c>
      <c r="E175" s="8" t="str">
        <f>'Sistema de Raridade e Evolução'!B7</f>
        <v>Lendário</v>
      </c>
      <c r="F175" s="9">
        <f>ROUND(('Criaturas - Base de Dados'!H30*'Sistema de Raridade e Evolução'!E7)*1000,2)</f>
        <v>3600000</v>
      </c>
      <c r="G175" s="8">
        <f>ROUND('Criaturas - Base de Dados'!I30*'Sistema de Raridade e Evolução'!E7,0)</f>
        <v>2100</v>
      </c>
      <c r="H175" s="8">
        <f>ROUND('Criaturas - Base de Dados'!J30*'Sistema de Raridade e Evolução'!E7,0)</f>
        <v>1800</v>
      </c>
      <c r="I175" s="8">
        <f>ROUND('Criaturas - Base de Dados'!K30*'Sistema de Raridade e Evolução'!E7,0)</f>
        <v>11550</v>
      </c>
      <c r="J175" s="8">
        <f>'Sistema de Raridade e Evolução'!D7</f>
        <v>91</v>
      </c>
      <c r="K175" s="8" t="s">
        <v>925</v>
      </c>
      <c r="L175" s="9">
        <f t="shared" si="2"/>
        <v>8571428.5700000003</v>
      </c>
    </row>
    <row r="176" spans="1:12" ht="14.25" customHeight="1" x14ac:dyDescent="0.3">
      <c r="A176" s="8">
        <v>175</v>
      </c>
      <c r="B176" s="8" t="str">
        <f>'Criaturas - Base de Dados'!B31</f>
        <v>Véu Sombrio</v>
      </c>
      <c r="C176" s="8" t="str">
        <f>'Criaturas - Base de Dados'!C31</f>
        <v>Sombra</v>
      </c>
      <c r="D176" s="8" t="str">
        <f>'Criaturas - Base de Dados'!D31</f>
        <v>Alp Sussurrante</v>
      </c>
      <c r="E176" s="8" t="str">
        <f>'Sistema de Raridade e Evolução'!B2</f>
        <v>Default</v>
      </c>
      <c r="F176" s="9" t="e">
        <f>ROUND(('Criaturas - Base de Dados'!H31*'Sistema de Raridade e Evolução'!E2)*1000,2)</f>
        <v>#VALUE!</v>
      </c>
      <c r="G176" s="8" t="e">
        <f>ROUND('Criaturas - Base de Dados'!I31*'Sistema de Raridade e Evolução'!E2,0)</f>
        <v>#VALUE!</v>
      </c>
      <c r="H176" s="8" t="e">
        <f>ROUND('Criaturas - Base de Dados'!J31*'Sistema de Raridade e Evolução'!E2,0)</f>
        <v>#VALUE!</v>
      </c>
      <c r="I176" s="8" t="e">
        <f>ROUND('Criaturas - Base de Dados'!K31*'Sistema de Raridade e Evolução'!E2,0)</f>
        <v>#VALUE!</v>
      </c>
      <c r="J176" s="8">
        <f>'Sistema de Raridade e Evolução'!D2</f>
        <v>1</v>
      </c>
      <c r="K176" s="8" t="s">
        <v>8</v>
      </c>
      <c r="L176" s="9" t="e">
        <f t="shared" si="2"/>
        <v>#VALUE!</v>
      </c>
    </row>
    <row r="177" spans="1:12" ht="14.25" hidden="1" customHeight="1" x14ac:dyDescent="0.3">
      <c r="A177" s="8">
        <v>176</v>
      </c>
      <c r="B177" s="8" t="str">
        <f>'Criaturas - Base de Dados'!B31</f>
        <v>Véu Sombrio</v>
      </c>
      <c r="C177" s="8" t="str">
        <f>'Criaturas - Base de Dados'!C31</f>
        <v>Sombra</v>
      </c>
      <c r="D177" s="8" t="str">
        <f>'Criaturas - Base de Dados'!D31</f>
        <v>Alp Sussurrante</v>
      </c>
      <c r="E177" s="8" t="str">
        <f>'Sistema de Raridade e Evolução'!B3</f>
        <v>Bronze</v>
      </c>
      <c r="F177" s="9">
        <f>ROUND(('Criaturas - Base de Dados'!H31*'Sistema de Raridade e Evolução'!E3)*1000,2)</f>
        <v>26000</v>
      </c>
      <c r="G177" s="8">
        <f>ROUND('Criaturas - Base de Dados'!I31*'Sistema de Raridade e Evolução'!E3,0)</f>
        <v>16</v>
      </c>
      <c r="H177" s="8">
        <f>ROUND('Criaturas - Base de Dados'!J31*'Sistema de Raridade e Evolução'!E3,0)</f>
        <v>13</v>
      </c>
      <c r="I177" s="8">
        <f>ROUND('Criaturas - Base de Dados'!K31*'Sistema de Raridade e Evolução'!E3,0)</f>
        <v>83</v>
      </c>
      <c r="J177" s="8">
        <f>'Sistema de Raridade e Evolução'!D3</f>
        <v>6</v>
      </c>
      <c r="K177" s="8" t="s">
        <v>9</v>
      </c>
      <c r="L177" s="9">
        <f t="shared" si="2"/>
        <v>61904.76</v>
      </c>
    </row>
    <row r="178" spans="1:12" ht="14.25" hidden="1" customHeight="1" x14ac:dyDescent="0.3">
      <c r="A178" s="8">
        <v>177</v>
      </c>
      <c r="B178" s="8" t="str">
        <f>'Criaturas - Base de Dados'!B31</f>
        <v>Véu Sombrio</v>
      </c>
      <c r="C178" s="8" t="str">
        <f>'Criaturas - Base de Dados'!C31</f>
        <v>Sombra</v>
      </c>
      <c r="D178" s="8" t="str">
        <f>'Criaturas - Base de Dados'!D31</f>
        <v>Alp Sussurrante</v>
      </c>
      <c r="E178" s="8" t="str">
        <f>'Sistema de Raridade e Evolução'!B4</f>
        <v>Prata</v>
      </c>
      <c r="F178" s="9">
        <f>ROUND(('Criaturas - Base de Dados'!H31*'Sistema de Raridade e Evolução'!E4)*1000,2)</f>
        <v>156000</v>
      </c>
      <c r="G178" s="8">
        <f>ROUND('Criaturas - Base de Dados'!I31*'Sistema de Raridade e Evolução'!E4,0)</f>
        <v>96</v>
      </c>
      <c r="H178" s="8">
        <f>ROUND('Criaturas - Base de Dados'!J31*'Sistema de Raridade e Evolução'!E4,0)</f>
        <v>78</v>
      </c>
      <c r="I178" s="8">
        <f>ROUND('Criaturas - Base de Dados'!K31*'Sistema de Raridade e Evolução'!E4,0)</f>
        <v>498</v>
      </c>
      <c r="J178" s="8">
        <f>'Sistema de Raridade e Evolução'!D4</f>
        <v>16</v>
      </c>
      <c r="K178" s="8" t="s">
        <v>10</v>
      </c>
      <c r="L178" s="9">
        <f t="shared" si="2"/>
        <v>371428.57</v>
      </c>
    </row>
    <row r="179" spans="1:12" ht="14.25" hidden="1" customHeight="1" x14ac:dyDescent="0.3">
      <c r="A179" s="8">
        <v>178</v>
      </c>
      <c r="B179" s="8" t="str">
        <f>'Criaturas - Base de Dados'!B31</f>
        <v>Véu Sombrio</v>
      </c>
      <c r="C179" s="8" t="str">
        <f>'Criaturas - Base de Dados'!C31</f>
        <v>Sombra</v>
      </c>
      <c r="D179" s="8" t="str">
        <f>'Criaturas - Base de Dados'!D31</f>
        <v>Alp Sussurrante</v>
      </c>
      <c r="E179" s="8" t="str">
        <f>'Sistema de Raridade e Evolução'!B5</f>
        <v>Ouro</v>
      </c>
      <c r="F179" s="9">
        <f>ROUND(('Criaturas - Base de Dados'!H31*'Sistema de Raridade e Evolução'!E5)*1000,2)</f>
        <v>468000</v>
      </c>
      <c r="G179" s="8">
        <f>ROUND('Criaturas - Base de Dados'!I31*'Sistema de Raridade e Evolução'!E5,0)</f>
        <v>288</v>
      </c>
      <c r="H179" s="8">
        <f>ROUND('Criaturas - Base de Dados'!J31*'Sistema de Raridade e Evolução'!E5,0)</f>
        <v>234</v>
      </c>
      <c r="I179" s="8">
        <f>ROUND('Criaturas - Base de Dados'!K31*'Sistema de Raridade e Evolução'!E5,0)</f>
        <v>1494</v>
      </c>
      <c r="J179" s="8">
        <f>'Sistema de Raridade e Evolução'!D5</f>
        <v>31</v>
      </c>
      <c r="K179" s="8" t="s">
        <v>11</v>
      </c>
      <c r="L179" s="9">
        <f t="shared" si="2"/>
        <v>1114285.71</v>
      </c>
    </row>
    <row r="180" spans="1:12" ht="14.25" hidden="1" customHeight="1" x14ac:dyDescent="0.3">
      <c r="A180" s="8">
        <v>179</v>
      </c>
      <c r="B180" s="8" t="str">
        <f>'Criaturas - Base de Dados'!B31</f>
        <v>Véu Sombrio</v>
      </c>
      <c r="C180" s="8" t="str">
        <f>'Criaturas - Base de Dados'!C31</f>
        <v>Sombra</v>
      </c>
      <c r="D180" s="8" t="str">
        <f>'Criaturas - Base de Dados'!D31</f>
        <v>Alp Sussurrante</v>
      </c>
      <c r="E180" s="8" t="str">
        <f>'Sistema de Raridade e Evolução'!B6</f>
        <v>Platina</v>
      </c>
      <c r="F180" s="9">
        <f>ROUND(('Criaturas - Base de Dados'!H31*'Sistema de Raridade e Evolução'!E6)*1000,2)</f>
        <v>1300000</v>
      </c>
      <c r="G180" s="8">
        <f>ROUND('Criaturas - Base de Dados'!I31*'Sistema de Raridade e Evolução'!E6,0)</f>
        <v>800</v>
      </c>
      <c r="H180" s="8">
        <f>ROUND('Criaturas - Base de Dados'!J31*'Sistema de Raridade e Evolução'!E6,0)</f>
        <v>650</v>
      </c>
      <c r="I180" s="8">
        <f>ROUND('Criaturas - Base de Dados'!K31*'Sistema de Raridade e Evolução'!E6,0)</f>
        <v>4150</v>
      </c>
      <c r="J180" s="8">
        <f>'Sistema de Raridade e Evolução'!D6</f>
        <v>56</v>
      </c>
      <c r="K180" s="8" t="s">
        <v>12</v>
      </c>
      <c r="L180" s="9">
        <f t="shared" si="2"/>
        <v>3095238.1</v>
      </c>
    </row>
    <row r="181" spans="1:12" ht="14.25" hidden="1" customHeight="1" x14ac:dyDescent="0.3">
      <c r="A181" s="8">
        <v>180</v>
      </c>
      <c r="B181" s="8" t="str">
        <f>'Criaturas - Base de Dados'!B31</f>
        <v>Véu Sombrio</v>
      </c>
      <c r="C181" s="8" t="str">
        <f>'Criaturas - Base de Dados'!C31</f>
        <v>Sombra</v>
      </c>
      <c r="D181" s="8" t="str">
        <f>'Criaturas - Base de Dados'!D31</f>
        <v>Alp Sussurrante</v>
      </c>
      <c r="E181" s="8" t="str">
        <f>'Sistema de Raridade e Evolução'!B7</f>
        <v>Lendário</v>
      </c>
      <c r="F181" s="9">
        <f>ROUND(('Criaturas - Base de Dados'!H31*'Sistema de Raridade e Evolução'!E7)*1000,2)</f>
        <v>3900000</v>
      </c>
      <c r="G181" s="8">
        <f>ROUND('Criaturas - Base de Dados'!I31*'Sistema de Raridade e Evolução'!E7,0)</f>
        <v>2400</v>
      </c>
      <c r="H181" s="8">
        <f>ROUND('Criaturas - Base de Dados'!J31*'Sistema de Raridade e Evolução'!E7,0)</f>
        <v>1950</v>
      </c>
      <c r="I181" s="8">
        <f>ROUND('Criaturas - Base de Dados'!K31*'Sistema de Raridade e Evolução'!E7,0)</f>
        <v>12450</v>
      </c>
      <c r="J181" s="8">
        <f>'Sistema de Raridade e Evolução'!D7</f>
        <v>91</v>
      </c>
      <c r="K181" s="8" t="s">
        <v>925</v>
      </c>
      <c r="L181" s="9">
        <f t="shared" si="2"/>
        <v>9285714.2899999991</v>
      </c>
    </row>
    <row r="182" spans="1:12" ht="14.25" customHeight="1" x14ac:dyDescent="0.3">
      <c r="A182" s="8">
        <v>181</v>
      </c>
      <c r="B182" s="8" t="str">
        <f>'Criaturas - Base de Dados'!B32</f>
        <v>Véu Sombrio</v>
      </c>
      <c r="C182" s="8" t="str">
        <f>'Criaturas - Base de Dados'!C32</f>
        <v>Sombra</v>
      </c>
      <c r="D182" s="8" t="str">
        <f>'Criaturas - Base de Dados'!D32</f>
        <v>Strigoi Ancestral</v>
      </c>
      <c r="E182" s="8" t="str">
        <f>'Sistema de Raridade e Evolução'!B2</f>
        <v>Default</v>
      </c>
      <c r="F182" s="9" t="e">
        <f>ROUND(('Criaturas - Base de Dados'!H32*'Sistema de Raridade e Evolução'!E2)*1000,2)</f>
        <v>#VALUE!</v>
      </c>
      <c r="G182" s="8" t="e">
        <f>ROUND('Criaturas - Base de Dados'!I32*'Sistema de Raridade e Evolução'!E2,0)</f>
        <v>#VALUE!</v>
      </c>
      <c r="H182" s="8" t="e">
        <f>ROUND('Criaturas - Base de Dados'!J32*'Sistema de Raridade e Evolução'!E2,0)</f>
        <v>#VALUE!</v>
      </c>
      <c r="I182" s="8" t="e">
        <f>ROUND('Criaturas - Base de Dados'!K32*'Sistema de Raridade e Evolução'!E2,0)</f>
        <v>#VALUE!</v>
      </c>
      <c r="J182" s="8">
        <f>'Sistema de Raridade e Evolução'!D2</f>
        <v>1</v>
      </c>
      <c r="K182" s="8" t="s">
        <v>8</v>
      </c>
      <c r="L182" s="9" t="e">
        <f t="shared" si="2"/>
        <v>#VALUE!</v>
      </c>
    </row>
    <row r="183" spans="1:12" ht="14.25" hidden="1" customHeight="1" x14ac:dyDescent="0.3">
      <c r="A183" s="8">
        <v>182</v>
      </c>
      <c r="B183" s="8" t="str">
        <f>'Criaturas - Base de Dados'!B32</f>
        <v>Véu Sombrio</v>
      </c>
      <c r="C183" s="8" t="str">
        <f>'Criaturas - Base de Dados'!C32</f>
        <v>Sombra</v>
      </c>
      <c r="D183" s="8" t="str">
        <f>'Criaturas - Base de Dados'!D32</f>
        <v>Strigoi Ancestral</v>
      </c>
      <c r="E183" s="8" t="str">
        <f>'Sistema de Raridade e Evolução'!B3</f>
        <v>Bronze</v>
      </c>
      <c r="F183" s="9">
        <f>ROUND(('Criaturas - Base de Dados'!H32*'Sistema de Raridade e Evolução'!E3)*1000,2)</f>
        <v>28000</v>
      </c>
      <c r="G183" s="8">
        <f>ROUND('Criaturas - Base de Dados'!I32*'Sistema de Raridade e Evolução'!E3,0)</f>
        <v>17</v>
      </c>
      <c r="H183" s="8">
        <f>ROUND('Criaturas - Base de Dados'!J32*'Sistema de Raridade e Evolução'!E3,0)</f>
        <v>14</v>
      </c>
      <c r="I183" s="8">
        <f>ROUND('Criaturas - Base de Dados'!K32*'Sistema de Raridade e Evolução'!E3,0)</f>
        <v>90</v>
      </c>
      <c r="J183" s="8">
        <f>'Sistema de Raridade e Evolução'!D3</f>
        <v>6</v>
      </c>
      <c r="K183" s="8" t="s">
        <v>9</v>
      </c>
      <c r="L183" s="9">
        <f t="shared" si="2"/>
        <v>66666.67</v>
      </c>
    </row>
    <row r="184" spans="1:12" ht="14.25" hidden="1" customHeight="1" x14ac:dyDescent="0.3">
      <c r="A184" s="8">
        <v>183</v>
      </c>
      <c r="B184" s="8" t="str">
        <f>'Criaturas - Base de Dados'!B32</f>
        <v>Véu Sombrio</v>
      </c>
      <c r="C184" s="8" t="str">
        <f>'Criaturas - Base de Dados'!C32</f>
        <v>Sombra</v>
      </c>
      <c r="D184" s="8" t="str">
        <f>'Criaturas - Base de Dados'!D32</f>
        <v>Strigoi Ancestral</v>
      </c>
      <c r="E184" s="8" t="str">
        <f>'Sistema de Raridade e Evolução'!B4</f>
        <v>Prata</v>
      </c>
      <c r="F184" s="9">
        <f>ROUND(('Criaturas - Base de Dados'!H32*'Sistema de Raridade e Evolução'!E4)*1000,2)</f>
        <v>168000</v>
      </c>
      <c r="G184" s="8">
        <f>ROUND('Criaturas - Base de Dados'!I32*'Sistema de Raridade e Evolução'!E4,0)</f>
        <v>102</v>
      </c>
      <c r="H184" s="8">
        <f>ROUND('Criaturas - Base de Dados'!J32*'Sistema de Raridade e Evolução'!E4,0)</f>
        <v>84</v>
      </c>
      <c r="I184" s="8">
        <f>ROUND('Criaturas - Base de Dados'!K32*'Sistema de Raridade e Evolução'!E4,0)</f>
        <v>540</v>
      </c>
      <c r="J184" s="8">
        <f>'Sistema de Raridade e Evolução'!D4</f>
        <v>16</v>
      </c>
      <c r="K184" s="8" t="s">
        <v>10</v>
      </c>
      <c r="L184" s="9">
        <f t="shared" si="2"/>
        <v>400000</v>
      </c>
    </row>
    <row r="185" spans="1:12" ht="14.25" hidden="1" customHeight="1" x14ac:dyDescent="0.3">
      <c r="A185" s="8">
        <v>184</v>
      </c>
      <c r="B185" s="8" t="str">
        <f>'Criaturas - Base de Dados'!B32</f>
        <v>Véu Sombrio</v>
      </c>
      <c r="C185" s="8" t="str">
        <f>'Criaturas - Base de Dados'!C32</f>
        <v>Sombra</v>
      </c>
      <c r="D185" s="8" t="str">
        <f>'Criaturas - Base de Dados'!D32</f>
        <v>Strigoi Ancestral</v>
      </c>
      <c r="E185" s="8" t="str">
        <f>'Sistema de Raridade e Evolução'!B5</f>
        <v>Ouro</v>
      </c>
      <c r="F185" s="9">
        <f>ROUND(('Criaturas - Base de Dados'!H32*'Sistema de Raridade e Evolução'!E5)*1000,2)</f>
        <v>504000</v>
      </c>
      <c r="G185" s="8">
        <f>ROUND('Criaturas - Base de Dados'!I32*'Sistema de Raridade e Evolução'!E5,0)</f>
        <v>306</v>
      </c>
      <c r="H185" s="8">
        <f>ROUND('Criaturas - Base de Dados'!J32*'Sistema de Raridade e Evolução'!E5,0)</f>
        <v>252</v>
      </c>
      <c r="I185" s="8">
        <f>ROUND('Criaturas - Base de Dados'!K32*'Sistema de Raridade e Evolução'!E5,0)</f>
        <v>1620</v>
      </c>
      <c r="J185" s="8">
        <f>'Sistema de Raridade e Evolução'!D5</f>
        <v>31</v>
      </c>
      <c r="K185" s="8" t="s">
        <v>11</v>
      </c>
      <c r="L185" s="9">
        <f t="shared" si="2"/>
        <v>1200000</v>
      </c>
    </row>
    <row r="186" spans="1:12" ht="14.25" hidden="1" customHeight="1" x14ac:dyDescent="0.3">
      <c r="A186" s="8">
        <v>185</v>
      </c>
      <c r="B186" s="8" t="str">
        <f>'Criaturas - Base de Dados'!B32</f>
        <v>Véu Sombrio</v>
      </c>
      <c r="C186" s="8" t="str">
        <f>'Criaturas - Base de Dados'!C32</f>
        <v>Sombra</v>
      </c>
      <c r="D186" s="8" t="str">
        <f>'Criaturas - Base de Dados'!D32</f>
        <v>Strigoi Ancestral</v>
      </c>
      <c r="E186" s="8" t="str">
        <f>'Sistema de Raridade e Evolução'!B6</f>
        <v>Platina</v>
      </c>
      <c r="F186" s="9">
        <f>ROUND(('Criaturas - Base de Dados'!H32*'Sistema de Raridade e Evolução'!E6)*1000,2)</f>
        <v>1400000</v>
      </c>
      <c r="G186" s="8">
        <f>ROUND('Criaturas - Base de Dados'!I32*'Sistema de Raridade e Evolução'!E6,0)</f>
        <v>850</v>
      </c>
      <c r="H186" s="8">
        <f>ROUND('Criaturas - Base de Dados'!J32*'Sistema de Raridade e Evolução'!E6,0)</f>
        <v>700</v>
      </c>
      <c r="I186" s="8">
        <f>ROUND('Criaturas - Base de Dados'!K32*'Sistema de Raridade e Evolução'!E6,0)</f>
        <v>4500</v>
      </c>
      <c r="J186" s="8">
        <f>'Sistema de Raridade e Evolução'!D6</f>
        <v>56</v>
      </c>
      <c r="K186" s="8" t="s">
        <v>12</v>
      </c>
      <c r="L186" s="9">
        <f t="shared" si="2"/>
        <v>3333333.33</v>
      </c>
    </row>
    <row r="187" spans="1:12" ht="14.25" hidden="1" customHeight="1" x14ac:dyDescent="0.3">
      <c r="A187" s="8">
        <v>186</v>
      </c>
      <c r="B187" s="8" t="str">
        <f>'Criaturas - Base de Dados'!B32</f>
        <v>Véu Sombrio</v>
      </c>
      <c r="C187" s="8" t="str">
        <f>'Criaturas - Base de Dados'!C32</f>
        <v>Sombra</v>
      </c>
      <c r="D187" s="8" t="str">
        <f>'Criaturas - Base de Dados'!D32</f>
        <v>Strigoi Ancestral</v>
      </c>
      <c r="E187" s="8" t="str">
        <f>'Sistema de Raridade e Evolução'!B7</f>
        <v>Lendário</v>
      </c>
      <c r="F187" s="9">
        <f>ROUND(('Criaturas - Base de Dados'!H32*'Sistema de Raridade e Evolução'!E7)*1000,2)</f>
        <v>4200000</v>
      </c>
      <c r="G187" s="8">
        <f>ROUND('Criaturas - Base de Dados'!I32*'Sistema de Raridade e Evolução'!E7,0)</f>
        <v>2550</v>
      </c>
      <c r="H187" s="8">
        <f>ROUND('Criaturas - Base de Dados'!J32*'Sistema de Raridade e Evolução'!E7,0)</f>
        <v>2100</v>
      </c>
      <c r="I187" s="8">
        <f>ROUND('Criaturas - Base de Dados'!K32*'Sistema de Raridade e Evolução'!E7,0)</f>
        <v>13500</v>
      </c>
      <c r="J187" s="8">
        <f>'Sistema de Raridade e Evolução'!D7</f>
        <v>91</v>
      </c>
      <c r="K187" s="8" t="s">
        <v>925</v>
      </c>
      <c r="L187" s="9">
        <f t="shared" si="2"/>
        <v>10000000</v>
      </c>
    </row>
    <row r="188" spans="1:12" ht="14.25" customHeight="1" x14ac:dyDescent="0.3">
      <c r="A188" s="8">
        <v>187</v>
      </c>
      <c r="B188" s="8" t="str">
        <f>'Criaturas - Base de Dados'!B33</f>
        <v>Véu Sombrio</v>
      </c>
      <c r="C188" s="8" t="str">
        <f>'Criaturas - Base de Dados'!C33</f>
        <v>Sombra</v>
      </c>
      <c r="D188" s="8" t="str">
        <f>'Criaturas - Base de Dados'!D33</f>
        <v>Empusa Sedutora</v>
      </c>
      <c r="E188" s="8" t="str">
        <f>'Sistema de Raridade e Evolução'!B2</f>
        <v>Default</v>
      </c>
      <c r="F188" s="9" t="e">
        <f>ROUND(('Criaturas - Base de Dados'!H33*'Sistema de Raridade e Evolução'!E2)*1000,2)</f>
        <v>#VALUE!</v>
      </c>
      <c r="G188" s="8" t="e">
        <f>ROUND('Criaturas - Base de Dados'!I33*'Sistema de Raridade e Evolução'!E2,0)</f>
        <v>#VALUE!</v>
      </c>
      <c r="H188" s="8" t="e">
        <f>ROUND('Criaturas - Base de Dados'!J33*'Sistema de Raridade e Evolução'!E2,0)</f>
        <v>#VALUE!</v>
      </c>
      <c r="I188" s="8" t="e">
        <f>ROUND('Criaturas - Base de Dados'!K33*'Sistema de Raridade e Evolução'!E2,0)</f>
        <v>#VALUE!</v>
      </c>
      <c r="J188" s="8">
        <f>'Sistema de Raridade e Evolução'!D2</f>
        <v>1</v>
      </c>
      <c r="K188" s="8" t="s">
        <v>8</v>
      </c>
      <c r="L188" s="9" t="e">
        <f t="shared" si="2"/>
        <v>#VALUE!</v>
      </c>
    </row>
    <row r="189" spans="1:12" ht="14.25" hidden="1" customHeight="1" x14ac:dyDescent="0.3">
      <c r="A189" s="8">
        <v>188</v>
      </c>
      <c r="B189" s="8" t="str">
        <f>'Criaturas - Base de Dados'!B33</f>
        <v>Véu Sombrio</v>
      </c>
      <c r="C189" s="8" t="str">
        <f>'Criaturas - Base de Dados'!C33</f>
        <v>Sombra</v>
      </c>
      <c r="D189" s="8" t="str">
        <f>'Criaturas - Base de Dados'!D33</f>
        <v>Empusa Sedutora</v>
      </c>
      <c r="E189" s="8" t="str">
        <f>'Sistema de Raridade e Evolução'!B3</f>
        <v>Bronze</v>
      </c>
      <c r="F189" s="9">
        <f>ROUND(('Criaturas - Base de Dados'!H33*'Sistema de Raridade e Evolução'!E3)*1000,2)</f>
        <v>30000</v>
      </c>
      <c r="G189" s="8">
        <f>ROUND('Criaturas - Base de Dados'!I33*'Sistema de Raridade e Evolução'!E3,0)</f>
        <v>18</v>
      </c>
      <c r="H189" s="8">
        <f>ROUND('Criaturas - Base de Dados'!J33*'Sistema de Raridade e Evolução'!E3,0)</f>
        <v>15</v>
      </c>
      <c r="I189" s="8">
        <f>ROUND('Criaturas - Base de Dados'!K33*'Sistema de Raridade e Evolução'!E3,0)</f>
        <v>96</v>
      </c>
      <c r="J189" s="8">
        <f>'Sistema de Raridade e Evolução'!D3</f>
        <v>6</v>
      </c>
      <c r="K189" s="8" t="s">
        <v>9</v>
      </c>
      <c r="L189" s="9">
        <f t="shared" si="2"/>
        <v>71428.570000000007</v>
      </c>
    </row>
    <row r="190" spans="1:12" ht="14.25" hidden="1" customHeight="1" x14ac:dyDescent="0.3">
      <c r="A190" s="8">
        <v>189</v>
      </c>
      <c r="B190" s="8" t="str">
        <f>'Criaturas - Base de Dados'!B33</f>
        <v>Véu Sombrio</v>
      </c>
      <c r="C190" s="8" t="str">
        <f>'Criaturas - Base de Dados'!C33</f>
        <v>Sombra</v>
      </c>
      <c r="D190" s="8" t="str">
        <f>'Criaturas - Base de Dados'!D33</f>
        <v>Empusa Sedutora</v>
      </c>
      <c r="E190" s="8" t="str">
        <f>'Sistema de Raridade e Evolução'!B4</f>
        <v>Prata</v>
      </c>
      <c r="F190" s="9">
        <f>ROUND(('Criaturas - Base de Dados'!H33*'Sistema de Raridade e Evolução'!E4)*1000,2)</f>
        <v>180000</v>
      </c>
      <c r="G190" s="8">
        <f>ROUND('Criaturas - Base de Dados'!I33*'Sistema de Raridade e Evolução'!E4,0)</f>
        <v>108</v>
      </c>
      <c r="H190" s="8">
        <f>ROUND('Criaturas - Base de Dados'!J33*'Sistema de Raridade e Evolução'!E4,0)</f>
        <v>90</v>
      </c>
      <c r="I190" s="8">
        <f>ROUND('Criaturas - Base de Dados'!K33*'Sistema de Raridade e Evolução'!E4,0)</f>
        <v>576</v>
      </c>
      <c r="J190" s="8">
        <f>'Sistema de Raridade e Evolução'!D4</f>
        <v>16</v>
      </c>
      <c r="K190" s="8" t="s">
        <v>10</v>
      </c>
      <c r="L190" s="9">
        <f t="shared" si="2"/>
        <v>428571.43</v>
      </c>
    </row>
    <row r="191" spans="1:12" ht="14.25" hidden="1" customHeight="1" x14ac:dyDescent="0.3">
      <c r="A191" s="8">
        <v>190</v>
      </c>
      <c r="B191" s="8" t="str">
        <f>'Criaturas - Base de Dados'!B33</f>
        <v>Véu Sombrio</v>
      </c>
      <c r="C191" s="8" t="str">
        <f>'Criaturas - Base de Dados'!C33</f>
        <v>Sombra</v>
      </c>
      <c r="D191" s="8" t="str">
        <f>'Criaturas - Base de Dados'!D33</f>
        <v>Empusa Sedutora</v>
      </c>
      <c r="E191" s="8" t="str">
        <f>'Sistema de Raridade e Evolução'!B5</f>
        <v>Ouro</v>
      </c>
      <c r="F191" s="9">
        <f>ROUND(('Criaturas - Base de Dados'!H33*'Sistema de Raridade e Evolução'!E5)*1000,2)</f>
        <v>540000</v>
      </c>
      <c r="G191" s="8">
        <f>ROUND('Criaturas - Base de Dados'!I33*'Sistema de Raridade e Evolução'!E5,0)</f>
        <v>324</v>
      </c>
      <c r="H191" s="8">
        <f>ROUND('Criaturas - Base de Dados'!J33*'Sistema de Raridade e Evolução'!E5,0)</f>
        <v>270</v>
      </c>
      <c r="I191" s="8">
        <f>ROUND('Criaturas - Base de Dados'!K33*'Sistema de Raridade e Evolução'!E5,0)</f>
        <v>1728</v>
      </c>
      <c r="J191" s="8">
        <f>'Sistema de Raridade e Evolução'!D5</f>
        <v>31</v>
      </c>
      <c r="K191" s="8" t="s">
        <v>11</v>
      </c>
      <c r="L191" s="9">
        <f t="shared" si="2"/>
        <v>1285714.29</v>
      </c>
    </row>
    <row r="192" spans="1:12" ht="14.25" hidden="1" customHeight="1" x14ac:dyDescent="0.3">
      <c r="A192" s="8">
        <v>191</v>
      </c>
      <c r="B192" s="8" t="str">
        <f>'Criaturas - Base de Dados'!B33</f>
        <v>Véu Sombrio</v>
      </c>
      <c r="C192" s="8" t="str">
        <f>'Criaturas - Base de Dados'!C33</f>
        <v>Sombra</v>
      </c>
      <c r="D192" s="8" t="str">
        <f>'Criaturas - Base de Dados'!D33</f>
        <v>Empusa Sedutora</v>
      </c>
      <c r="E192" s="8" t="str">
        <f>'Sistema de Raridade e Evolução'!B6</f>
        <v>Platina</v>
      </c>
      <c r="F192" s="9">
        <f>ROUND(('Criaturas - Base de Dados'!H33*'Sistema de Raridade e Evolução'!E6)*1000,2)</f>
        <v>1500000</v>
      </c>
      <c r="G192" s="8">
        <f>ROUND('Criaturas - Base de Dados'!I33*'Sistema de Raridade e Evolução'!E6,0)</f>
        <v>900</v>
      </c>
      <c r="H192" s="8">
        <f>ROUND('Criaturas - Base de Dados'!J33*'Sistema de Raridade e Evolução'!E6,0)</f>
        <v>750</v>
      </c>
      <c r="I192" s="8">
        <f>ROUND('Criaturas - Base de Dados'!K33*'Sistema de Raridade e Evolução'!E6,0)</f>
        <v>4800</v>
      </c>
      <c r="J192" s="8">
        <f>'Sistema de Raridade e Evolução'!D6</f>
        <v>56</v>
      </c>
      <c r="K192" s="8" t="s">
        <v>12</v>
      </c>
      <c r="L192" s="9">
        <f t="shared" si="2"/>
        <v>3571428.57</v>
      </c>
    </row>
    <row r="193" spans="1:12" ht="14.25" hidden="1" customHeight="1" x14ac:dyDescent="0.3">
      <c r="A193" s="8">
        <v>192</v>
      </c>
      <c r="B193" s="8" t="str">
        <f>'Criaturas - Base de Dados'!B33</f>
        <v>Véu Sombrio</v>
      </c>
      <c r="C193" s="8" t="str">
        <f>'Criaturas - Base de Dados'!C33</f>
        <v>Sombra</v>
      </c>
      <c r="D193" s="8" t="str">
        <f>'Criaturas - Base de Dados'!D33</f>
        <v>Empusa Sedutora</v>
      </c>
      <c r="E193" s="8" t="str">
        <f>'Sistema de Raridade e Evolução'!B7</f>
        <v>Lendário</v>
      </c>
      <c r="F193" s="9">
        <f>ROUND(('Criaturas - Base de Dados'!H33*'Sistema de Raridade e Evolução'!E7)*1000,2)</f>
        <v>4500000</v>
      </c>
      <c r="G193" s="8">
        <f>ROUND('Criaturas - Base de Dados'!I33*'Sistema de Raridade e Evolução'!E7,0)</f>
        <v>2700</v>
      </c>
      <c r="H193" s="8">
        <f>ROUND('Criaturas - Base de Dados'!J33*'Sistema de Raridade e Evolução'!E7,0)</f>
        <v>2250</v>
      </c>
      <c r="I193" s="8">
        <f>ROUND('Criaturas - Base de Dados'!K33*'Sistema de Raridade e Evolução'!E7,0)</f>
        <v>14400</v>
      </c>
      <c r="J193" s="8">
        <f>'Sistema de Raridade e Evolução'!D7</f>
        <v>91</v>
      </c>
      <c r="K193" s="8" t="s">
        <v>925</v>
      </c>
      <c r="L193" s="9">
        <f t="shared" si="2"/>
        <v>10714285.710000001</v>
      </c>
    </row>
    <row r="194" spans="1:12" ht="14.25" customHeight="1" x14ac:dyDescent="0.3">
      <c r="A194" s="8">
        <v>193</v>
      </c>
      <c r="B194" s="8" t="str">
        <f>'Criaturas - Base de Dados'!B34</f>
        <v>Véu Sombrio</v>
      </c>
      <c r="C194" s="8" t="str">
        <f>'Criaturas - Base de Dados'!C34</f>
        <v>Sombra</v>
      </c>
      <c r="D194" s="8" t="str">
        <f>'Criaturas - Base de Dados'!D34</f>
        <v>Namahage da Meia-Noite</v>
      </c>
      <c r="E194" s="8" t="str">
        <f>'Sistema de Raridade e Evolução'!B2</f>
        <v>Default</v>
      </c>
      <c r="F194" s="9" t="e">
        <f>ROUND(('Criaturas - Base de Dados'!H34*'Sistema de Raridade e Evolução'!E2)*1000,2)</f>
        <v>#VALUE!</v>
      </c>
      <c r="G194" s="8" t="e">
        <f>ROUND('Criaturas - Base de Dados'!I34*'Sistema de Raridade e Evolução'!E2,0)</f>
        <v>#VALUE!</v>
      </c>
      <c r="H194" s="8" t="e">
        <f>ROUND('Criaturas - Base de Dados'!J34*'Sistema de Raridade e Evolução'!E2,0)</f>
        <v>#VALUE!</v>
      </c>
      <c r="I194" s="8" t="e">
        <f>ROUND('Criaturas - Base de Dados'!K34*'Sistema de Raridade e Evolução'!E2,0)</f>
        <v>#VALUE!</v>
      </c>
      <c r="J194" s="8">
        <f>'Sistema de Raridade e Evolução'!D2</f>
        <v>1</v>
      </c>
      <c r="K194" s="8" t="s">
        <v>8</v>
      </c>
      <c r="L194" s="9" t="e">
        <f t="shared" ref="L194:L257" si="3">ROUND(F194*(2.5/1.05),2)</f>
        <v>#VALUE!</v>
      </c>
    </row>
    <row r="195" spans="1:12" ht="14.25" hidden="1" customHeight="1" x14ac:dyDescent="0.3">
      <c r="A195" s="8">
        <v>194</v>
      </c>
      <c r="B195" s="8" t="str">
        <f>'Criaturas - Base de Dados'!B34</f>
        <v>Véu Sombrio</v>
      </c>
      <c r="C195" s="8" t="str">
        <f>'Criaturas - Base de Dados'!C34</f>
        <v>Sombra</v>
      </c>
      <c r="D195" s="8" t="str">
        <f>'Criaturas - Base de Dados'!D34</f>
        <v>Namahage da Meia-Noite</v>
      </c>
      <c r="E195" s="8" t="str">
        <f>'Sistema de Raridade e Evolução'!B3</f>
        <v>Bronze</v>
      </c>
      <c r="F195" s="9">
        <f>ROUND(('Criaturas - Base de Dados'!H34*'Sistema de Raridade e Evolução'!E3)*1000,2)</f>
        <v>34000</v>
      </c>
      <c r="G195" s="8">
        <f>ROUND('Criaturas - Base de Dados'!I34*'Sistema de Raridade e Evolução'!E3,0)</f>
        <v>20</v>
      </c>
      <c r="H195" s="8">
        <f>ROUND('Criaturas - Base de Dados'!J34*'Sistema de Raridade e Evolução'!E3,0)</f>
        <v>17</v>
      </c>
      <c r="I195" s="8">
        <f>ROUND('Criaturas - Base de Dados'!K34*'Sistema de Raridade e Evolução'!E3,0)</f>
        <v>109</v>
      </c>
      <c r="J195" s="8">
        <f>'Sistema de Raridade e Evolução'!D3</f>
        <v>6</v>
      </c>
      <c r="K195" s="8" t="s">
        <v>9</v>
      </c>
      <c r="L195" s="9">
        <f t="shared" si="3"/>
        <v>80952.38</v>
      </c>
    </row>
    <row r="196" spans="1:12" ht="14.25" hidden="1" customHeight="1" x14ac:dyDescent="0.3">
      <c r="A196" s="8">
        <v>195</v>
      </c>
      <c r="B196" s="8" t="str">
        <f>'Criaturas - Base de Dados'!B34</f>
        <v>Véu Sombrio</v>
      </c>
      <c r="C196" s="8" t="str">
        <f>'Criaturas - Base de Dados'!C34</f>
        <v>Sombra</v>
      </c>
      <c r="D196" s="8" t="str">
        <f>'Criaturas - Base de Dados'!D34</f>
        <v>Namahage da Meia-Noite</v>
      </c>
      <c r="E196" s="8" t="str">
        <f>'Sistema de Raridade e Evolução'!B4</f>
        <v>Prata</v>
      </c>
      <c r="F196" s="9">
        <f>ROUND(('Criaturas - Base de Dados'!H34*'Sistema de Raridade e Evolução'!E4)*1000,2)</f>
        <v>204000</v>
      </c>
      <c r="G196" s="8">
        <f>ROUND('Criaturas - Base de Dados'!I34*'Sistema de Raridade e Evolução'!E4,0)</f>
        <v>120</v>
      </c>
      <c r="H196" s="8">
        <f>ROUND('Criaturas - Base de Dados'!J34*'Sistema de Raridade e Evolução'!E4,0)</f>
        <v>102</v>
      </c>
      <c r="I196" s="8">
        <f>ROUND('Criaturas - Base de Dados'!K34*'Sistema de Raridade e Evolução'!E4,0)</f>
        <v>654</v>
      </c>
      <c r="J196" s="8">
        <f>'Sistema de Raridade e Evolução'!D4</f>
        <v>16</v>
      </c>
      <c r="K196" s="8" t="s">
        <v>10</v>
      </c>
      <c r="L196" s="9">
        <f t="shared" si="3"/>
        <v>485714.29</v>
      </c>
    </row>
    <row r="197" spans="1:12" ht="14.25" hidden="1" customHeight="1" x14ac:dyDescent="0.3">
      <c r="A197" s="8">
        <v>196</v>
      </c>
      <c r="B197" s="8" t="str">
        <f>'Criaturas - Base de Dados'!B34</f>
        <v>Véu Sombrio</v>
      </c>
      <c r="C197" s="8" t="str">
        <f>'Criaturas - Base de Dados'!C34</f>
        <v>Sombra</v>
      </c>
      <c r="D197" s="8" t="str">
        <f>'Criaturas - Base de Dados'!D34</f>
        <v>Namahage da Meia-Noite</v>
      </c>
      <c r="E197" s="8" t="str">
        <f>'Sistema de Raridade e Evolução'!B5</f>
        <v>Ouro</v>
      </c>
      <c r="F197" s="9">
        <f>ROUND(('Criaturas - Base de Dados'!H34*'Sistema de Raridade e Evolução'!E5)*1000,2)</f>
        <v>612000</v>
      </c>
      <c r="G197" s="8">
        <f>ROUND('Criaturas - Base de Dados'!I34*'Sistema de Raridade e Evolução'!E5,0)</f>
        <v>360</v>
      </c>
      <c r="H197" s="8">
        <f>ROUND('Criaturas - Base de Dados'!J34*'Sistema de Raridade e Evolução'!E5,0)</f>
        <v>306</v>
      </c>
      <c r="I197" s="8">
        <f>ROUND('Criaturas - Base de Dados'!K34*'Sistema de Raridade e Evolução'!E5,0)</f>
        <v>1962</v>
      </c>
      <c r="J197" s="8">
        <f>'Sistema de Raridade e Evolução'!D5</f>
        <v>31</v>
      </c>
      <c r="K197" s="8" t="s">
        <v>11</v>
      </c>
      <c r="L197" s="9">
        <f t="shared" si="3"/>
        <v>1457142.86</v>
      </c>
    </row>
    <row r="198" spans="1:12" ht="14.25" hidden="1" customHeight="1" x14ac:dyDescent="0.3">
      <c r="A198" s="8">
        <v>197</v>
      </c>
      <c r="B198" s="8" t="str">
        <f>'Criaturas - Base de Dados'!B34</f>
        <v>Véu Sombrio</v>
      </c>
      <c r="C198" s="8" t="str">
        <f>'Criaturas - Base de Dados'!C34</f>
        <v>Sombra</v>
      </c>
      <c r="D198" s="8" t="str">
        <f>'Criaturas - Base de Dados'!D34</f>
        <v>Namahage da Meia-Noite</v>
      </c>
      <c r="E198" s="8" t="str">
        <f>'Sistema de Raridade e Evolução'!B6</f>
        <v>Platina</v>
      </c>
      <c r="F198" s="9">
        <f>ROUND(('Criaturas - Base de Dados'!H34*'Sistema de Raridade e Evolução'!E6)*1000,2)</f>
        <v>1700000</v>
      </c>
      <c r="G198" s="8">
        <f>ROUND('Criaturas - Base de Dados'!I34*'Sistema de Raridade e Evolução'!E6,0)</f>
        <v>1000</v>
      </c>
      <c r="H198" s="8">
        <f>ROUND('Criaturas - Base de Dados'!J34*'Sistema de Raridade e Evolução'!E6,0)</f>
        <v>850</v>
      </c>
      <c r="I198" s="8">
        <f>ROUND('Criaturas - Base de Dados'!K34*'Sistema de Raridade e Evolução'!E6,0)</f>
        <v>5450</v>
      </c>
      <c r="J198" s="8">
        <f>'Sistema de Raridade e Evolução'!D6</f>
        <v>56</v>
      </c>
      <c r="K198" s="8" t="s">
        <v>12</v>
      </c>
      <c r="L198" s="9">
        <f t="shared" si="3"/>
        <v>4047619.05</v>
      </c>
    </row>
    <row r="199" spans="1:12" ht="14.25" hidden="1" customHeight="1" x14ac:dyDescent="0.3">
      <c r="A199" s="8">
        <v>198</v>
      </c>
      <c r="B199" s="8" t="str">
        <f>'Criaturas - Base de Dados'!B34</f>
        <v>Véu Sombrio</v>
      </c>
      <c r="C199" s="8" t="str">
        <f>'Criaturas - Base de Dados'!C34</f>
        <v>Sombra</v>
      </c>
      <c r="D199" s="8" t="str">
        <f>'Criaturas - Base de Dados'!D34</f>
        <v>Namahage da Meia-Noite</v>
      </c>
      <c r="E199" s="8" t="str">
        <f>'Sistema de Raridade e Evolução'!B7</f>
        <v>Lendário</v>
      </c>
      <c r="F199" s="9">
        <f>ROUND(('Criaturas - Base de Dados'!H34*'Sistema de Raridade e Evolução'!E7)*1000,2)</f>
        <v>5100000</v>
      </c>
      <c r="G199" s="8">
        <f>ROUND('Criaturas - Base de Dados'!I34*'Sistema de Raridade e Evolução'!E7,0)</f>
        <v>3000</v>
      </c>
      <c r="H199" s="8">
        <f>ROUND('Criaturas - Base de Dados'!J34*'Sistema de Raridade e Evolução'!E7,0)</f>
        <v>2550</v>
      </c>
      <c r="I199" s="8">
        <f>ROUND('Criaturas - Base de Dados'!K34*'Sistema de Raridade e Evolução'!E7,0)</f>
        <v>16350</v>
      </c>
      <c r="J199" s="8">
        <f>'Sistema de Raridade e Evolução'!D7</f>
        <v>91</v>
      </c>
      <c r="K199" s="8" t="s">
        <v>925</v>
      </c>
      <c r="L199" s="9">
        <f t="shared" si="3"/>
        <v>12142857.140000001</v>
      </c>
    </row>
    <row r="200" spans="1:12" ht="14.25" customHeight="1" x14ac:dyDescent="0.3">
      <c r="A200" s="8">
        <v>199</v>
      </c>
      <c r="B200" s="8" t="str">
        <f>'Criaturas - Base de Dados'!B35</f>
        <v>Véu Sombrio</v>
      </c>
      <c r="C200" s="8" t="str">
        <f>'Criaturas - Base de Dados'!C35</f>
        <v>Sombra</v>
      </c>
      <c r="D200" s="8" t="str">
        <f>'Criaturas - Base de Dados'!D35</f>
        <v>Yatagarasu Sombrio</v>
      </c>
      <c r="E200" s="8" t="str">
        <f>'Sistema de Raridade e Evolução'!B2</f>
        <v>Default</v>
      </c>
      <c r="F200" s="9" t="e">
        <f>ROUND(('Criaturas - Base de Dados'!H35*'Sistema de Raridade e Evolução'!E2)*1000,2)</f>
        <v>#VALUE!</v>
      </c>
      <c r="G200" s="8" t="e">
        <f>ROUND('Criaturas - Base de Dados'!I35*'Sistema de Raridade e Evolução'!E2,0)</f>
        <v>#VALUE!</v>
      </c>
      <c r="H200" s="8" t="e">
        <f>ROUND('Criaturas - Base de Dados'!J35*'Sistema de Raridade e Evolução'!E2,0)</f>
        <v>#VALUE!</v>
      </c>
      <c r="I200" s="8" t="e">
        <f>ROUND('Criaturas - Base de Dados'!K35*'Sistema de Raridade e Evolução'!E2,0)</f>
        <v>#VALUE!</v>
      </c>
      <c r="J200" s="8">
        <f>'Sistema de Raridade e Evolução'!D2</f>
        <v>1</v>
      </c>
      <c r="K200" s="8" t="s">
        <v>8</v>
      </c>
      <c r="L200" s="9" t="e">
        <f t="shared" si="3"/>
        <v>#VALUE!</v>
      </c>
    </row>
    <row r="201" spans="1:12" ht="14.25" hidden="1" customHeight="1" x14ac:dyDescent="0.3">
      <c r="A201" s="8">
        <v>200</v>
      </c>
      <c r="B201" s="8" t="str">
        <f>'Criaturas - Base de Dados'!B35</f>
        <v>Véu Sombrio</v>
      </c>
      <c r="C201" s="8" t="str">
        <f>'Criaturas - Base de Dados'!C35</f>
        <v>Sombra</v>
      </c>
      <c r="D201" s="8" t="str">
        <f>'Criaturas - Base de Dados'!D35</f>
        <v>Yatagarasu Sombrio</v>
      </c>
      <c r="E201" s="8" t="str">
        <f>'Sistema de Raridade e Evolução'!B3</f>
        <v>Bronze</v>
      </c>
      <c r="F201" s="9">
        <f>ROUND(('Criaturas - Base de Dados'!H35*'Sistema de Raridade e Evolução'!E3)*1000,2)</f>
        <v>36000</v>
      </c>
      <c r="G201" s="8">
        <f>ROUND('Criaturas - Base de Dados'!I35*'Sistema de Raridade e Evolução'!E3,0)</f>
        <v>22</v>
      </c>
      <c r="H201" s="8">
        <f>ROUND('Criaturas - Base de Dados'!J35*'Sistema de Raridade e Evolução'!E3,0)</f>
        <v>18</v>
      </c>
      <c r="I201" s="8">
        <f>ROUND('Criaturas - Base de Dados'!K35*'Sistema de Raridade e Evolução'!E3,0)</f>
        <v>115</v>
      </c>
      <c r="J201" s="8">
        <f>'Sistema de Raridade e Evolução'!D3</f>
        <v>6</v>
      </c>
      <c r="K201" s="8" t="s">
        <v>9</v>
      </c>
      <c r="L201" s="9">
        <f t="shared" si="3"/>
        <v>85714.29</v>
      </c>
    </row>
    <row r="202" spans="1:12" ht="14.25" hidden="1" customHeight="1" x14ac:dyDescent="0.3">
      <c r="A202" s="8">
        <v>201</v>
      </c>
      <c r="B202" s="8" t="str">
        <f>'Criaturas - Base de Dados'!B35</f>
        <v>Véu Sombrio</v>
      </c>
      <c r="C202" s="8" t="str">
        <f>'Criaturas - Base de Dados'!C35</f>
        <v>Sombra</v>
      </c>
      <c r="D202" s="8" t="str">
        <f>'Criaturas - Base de Dados'!D35</f>
        <v>Yatagarasu Sombrio</v>
      </c>
      <c r="E202" s="8" t="str">
        <f>'Sistema de Raridade e Evolução'!B4</f>
        <v>Prata</v>
      </c>
      <c r="F202" s="9">
        <f>ROUND(('Criaturas - Base de Dados'!H35*'Sistema de Raridade e Evolução'!E4)*1000,2)</f>
        <v>216000</v>
      </c>
      <c r="G202" s="8">
        <f>ROUND('Criaturas - Base de Dados'!I35*'Sistema de Raridade e Evolução'!E4,0)</f>
        <v>132</v>
      </c>
      <c r="H202" s="8">
        <f>ROUND('Criaturas - Base de Dados'!J35*'Sistema de Raridade e Evolução'!E4,0)</f>
        <v>108</v>
      </c>
      <c r="I202" s="8">
        <f>ROUND('Criaturas - Base de Dados'!K35*'Sistema de Raridade e Evolução'!E4,0)</f>
        <v>690</v>
      </c>
      <c r="J202" s="8">
        <f>'Sistema de Raridade e Evolução'!D4</f>
        <v>16</v>
      </c>
      <c r="K202" s="8" t="s">
        <v>10</v>
      </c>
      <c r="L202" s="9">
        <f t="shared" si="3"/>
        <v>514285.71</v>
      </c>
    </row>
    <row r="203" spans="1:12" ht="14.25" hidden="1" customHeight="1" x14ac:dyDescent="0.3">
      <c r="A203" s="8">
        <v>202</v>
      </c>
      <c r="B203" s="8" t="str">
        <f>'Criaturas - Base de Dados'!B35</f>
        <v>Véu Sombrio</v>
      </c>
      <c r="C203" s="8" t="str">
        <f>'Criaturas - Base de Dados'!C35</f>
        <v>Sombra</v>
      </c>
      <c r="D203" s="8" t="str">
        <f>'Criaturas - Base de Dados'!D35</f>
        <v>Yatagarasu Sombrio</v>
      </c>
      <c r="E203" s="8" t="str">
        <f>'Sistema de Raridade e Evolução'!B5</f>
        <v>Ouro</v>
      </c>
      <c r="F203" s="9">
        <f>ROUND(('Criaturas - Base de Dados'!H35*'Sistema de Raridade e Evolução'!E5)*1000,2)</f>
        <v>648000</v>
      </c>
      <c r="G203" s="8">
        <f>ROUND('Criaturas - Base de Dados'!I35*'Sistema de Raridade e Evolução'!E5,0)</f>
        <v>396</v>
      </c>
      <c r="H203" s="8">
        <f>ROUND('Criaturas - Base de Dados'!J35*'Sistema de Raridade e Evolução'!E5,0)</f>
        <v>324</v>
      </c>
      <c r="I203" s="8">
        <f>ROUND('Criaturas - Base de Dados'!K35*'Sistema de Raridade e Evolução'!E5,0)</f>
        <v>2070</v>
      </c>
      <c r="J203" s="8">
        <f>'Sistema de Raridade e Evolução'!D5</f>
        <v>31</v>
      </c>
      <c r="K203" s="8" t="s">
        <v>11</v>
      </c>
      <c r="L203" s="9">
        <f t="shared" si="3"/>
        <v>1542857.14</v>
      </c>
    </row>
    <row r="204" spans="1:12" ht="14.25" hidden="1" customHeight="1" x14ac:dyDescent="0.3">
      <c r="A204" s="8">
        <v>203</v>
      </c>
      <c r="B204" s="8" t="str">
        <f>'Criaturas - Base de Dados'!B35</f>
        <v>Véu Sombrio</v>
      </c>
      <c r="C204" s="8" t="str">
        <f>'Criaturas - Base de Dados'!C35</f>
        <v>Sombra</v>
      </c>
      <c r="D204" s="8" t="str">
        <f>'Criaturas - Base de Dados'!D35</f>
        <v>Yatagarasu Sombrio</v>
      </c>
      <c r="E204" s="8" t="str">
        <f>'Sistema de Raridade e Evolução'!B6</f>
        <v>Platina</v>
      </c>
      <c r="F204" s="9">
        <f>ROUND(('Criaturas - Base de Dados'!H35*'Sistema de Raridade e Evolução'!E6)*1000,2)</f>
        <v>1800000</v>
      </c>
      <c r="G204" s="8">
        <f>ROUND('Criaturas - Base de Dados'!I35*'Sistema de Raridade e Evolução'!E6,0)</f>
        <v>1100</v>
      </c>
      <c r="H204" s="8">
        <f>ROUND('Criaturas - Base de Dados'!J35*'Sistema de Raridade e Evolução'!E6,0)</f>
        <v>900</v>
      </c>
      <c r="I204" s="8">
        <f>ROUND('Criaturas - Base de Dados'!K35*'Sistema de Raridade e Evolução'!E6,0)</f>
        <v>5750</v>
      </c>
      <c r="J204" s="8">
        <f>'Sistema de Raridade e Evolução'!D6</f>
        <v>56</v>
      </c>
      <c r="K204" s="8" t="s">
        <v>12</v>
      </c>
      <c r="L204" s="9">
        <f t="shared" si="3"/>
        <v>4285714.29</v>
      </c>
    </row>
    <row r="205" spans="1:12" ht="14.25" hidden="1" customHeight="1" x14ac:dyDescent="0.3">
      <c r="A205" s="8">
        <v>204</v>
      </c>
      <c r="B205" s="8" t="str">
        <f>'Criaturas - Base de Dados'!B35</f>
        <v>Véu Sombrio</v>
      </c>
      <c r="C205" s="8" t="str">
        <f>'Criaturas - Base de Dados'!C35</f>
        <v>Sombra</v>
      </c>
      <c r="D205" s="8" t="str">
        <f>'Criaturas - Base de Dados'!D35</f>
        <v>Yatagarasu Sombrio</v>
      </c>
      <c r="E205" s="8" t="str">
        <f>'Sistema de Raridade e Evolução'!B7</f>
        <v>Lendário</v>
      </c>
      <c r="F205" s="9">
        <f>ROUND(('Criaturas - Base de Dados'!H35*'Sistema de Raridade e Evolução'!E7)*1000,2)</f>
        <v>5400000</v>
      </c>
      <c r="G205" s="8">
        <f>ROUND('Criaturas - Base de Dados'!I35*'Sistema de Raridade e Evolução'!E7,0)</f>
        <v>3300</v>
      </c>
      <c r="H205" s="8">
        <f>ROUND('Criaturas - Base de Dados'!J35*'Sistema de Raridade e Evolução'!E7,0)</f>
        <v>2700</v>
      </c>
      <c r="I205" s="8">
        <f>ROUND('Criaturas - Base de Dados'!K35*'Sistema de Raridade e Evolução'!E7,0)</f>
        <v>17250</v>
      </c>
      <c r="J205" s="8">
        <f>'Sistema de Raridade e Evolução'!D7</f>
        <v>91</v>
      </c>
      <c r="K205" s="8" t="s">
        <v>925</v>
      </c>
      <c r="L205" s="9">
        <f t="shared" si="3"/>
        <v>12857142.859999999</v>
      </c>
    </row>
    <row r="206" spans="1:12" ht="14.25" customHeight="1" x14ac:dyDescent="0.3">
      <c r="A206" s="8">
        <v>205</v>
      </c>
      <c r="B206" s="8" t="str">
        <f>'Criaturas - Base de Dados'!B36</f>
        <v>Véu Sombrio</v>
      </c>
      <c r="C206" s="8" t="str">
        <f>'Criaturas - Base de Dados'!C36</f>
        <v>Sombra</v>
      </c>
      <c r="D206" s="8" t="str">
        <f>'Criaturas - Base de Dados'!D36</f>
        <v>Onryō Vingativo</v>
      </c>
      <c r="E206" s="8" t="str">
        <f>'Sistema de Raridade e Evolução'!B2</f>
        <v>Default</v>
      </c>
      <c r="F206" s="9" t="e">
        <f>ROUND(('Criaturas - Base de Dados'!H36*'Sistema de Raridade e Evolução'!E2)*1000,2)</f>
        <v>#VALUE!</v>
      </c>
      <c r="G206" s="8" t="e">
        <f>ROUND('Criaturas - Base de Dados'!I36*'Sistema de Raridade e Evolução'!E2,0)</f>
        <v>#VALUE!</v>
      </c>
      <c r="H206" s="8" t="e">
        <f>ROUND('Criaturas - Base de Dados'!J36*'Sistema de Raridade e Evolução'!E2,0)</f>
        <v>#VALUE!</v>
      </c>
      <c r="I206" s="8" t="e">
        <f>ROUND('Criaturas - Base de Dados'!K36*'Sistema de Raridade e Evolução'!E2,0)</f>
        <v>#VALUE!</v>
      </c>
      <c r="J206" s="8">
        <f>'Sistema de Raridade e Evolução'!D2</f>
        <v>1</v>
      </c>
      <c r="K206" s="8" t="s">
        <v>8</v>
      </c>
      <c r="L206" s="9" t="e">
        <f t="shared" si="3"/>
        <v>#VALUE!</v>
      </c>
    </row>
    <row r="207" spans="1:12" ht="14.25" hidden="1" customHeight="1" x14ac:dyDescent="0.3">
      <c r="A207" s="8">
        <v>206</v>
      </c>
      <c r="B207" s="8" t="str">
        <f>'Criaturas - Base de Dados'!B36</f>
        <v>Véu Sombrio</v>
      </c>
      <c r="C207" s="8" t="str">
        <f>'Criaturas - Base de Dados'!C36</f>
        <v>Sombra</v>
      </c>
      <c r="D207" s="8" t="str">
        <f>'Criaturas - Base de Dados'!D36</f>
        <v>Onryō Vingativo</v>
      </c>
      <c r="E207" s="8" t="str">
        <f>'Sistema de Raridade e Evolução'!B3</f>
        <v>Bronze</v>
      </c>
      <c r="F207" s="9">
        <f>ROUND(('Criaturas - Base de Dados'!H36*'Sistema de Raridade e Evolução'!E3)*1000,2)</f>
        <v>38000</v>
      </c>
      <c r="G207" s="8">
        <f>ROUND('Criaturas - Base de Dados'!I36*'Sistema de Raridade e Evolução'!E3,0)</f>
        <v>23</v>
      </c>
      <c r="H207" s="8">
        <f>ROUND('Criaturas - Base de Dados'!J36*'Sistema de Raridade e Evolução'!E3,0)</f>
        <v>19</v>
      </c>
      <c r="I207" s="8">
        <f>ROUND('Criaturas - Base de Dados'!K36*'Sistema de Raridade e Evolução'!E3,0)</f>
        <v>122</v>
      </c>
      <c r="J207" s="8">
        <f>'Sistema de Raridade e Evolução'!D3</f>
        <v>6</v>
      </c>
      <c r="K207" s="8" t="s">
        <v>9</v>
      </c>
      <c r="L207" s="9">
        <f t="shared" si="3"/>
        <v>90476.19</v>
      </c>
    </row>
    <row r="208" spans="1:12" ht="14.25" hidden="1" customHeight="1" x14ac:dyDescent="0.3">
      <c r="A208" s="8">
        <v>207</v>
      </c>
      <c r="B208" s="8" t="str">
        <f>'Criaturas - Base de Dados'!B36</f>
        <v>Véu Sombrio</v>
      </c>
      <c r="C208" s="8" t="str">
        <f>'Criaturas - Base de Dados'!C36</f>
        <v>Sombra</v>
      </c>
      <c r="D208" s="8" t="str">
        <f>'Criaturas - Base de Dados'!D36</f>
        <v>Onryō Vingativo</v>
      </c>
      <c r="E208" s="8" t="str">
        <f>'Sistema de Raridade e Evolução'!B4</f>
        <v>Prata</v>
      </c>
      <c r="F208" s="9">
        <f>ROUND(('Criaturas - Base de Dados'!H36*'Sistema de Raridade e Evolução'!E4)*1000,2)</f>
        <v>228000</v>
      </c>
      <c r="G208" s="8">
        <f>ROUND('Criaturas - Base de Dados'!I36*'Sistema de Raridade e Evolução'!E4,0)</f>
        <v>138</v>
      </c>
      <c r="H208" s="8">
        <f>ROUND('Criaturas - Base de Dados'!J36*'Sistema de Raridade e Evolução'!E4,0)</f>
        <v>114</v>
      </c>
      <c r="I208" s="8">
        <f>ROUND('Criaturas - Base de Dados'!K36*'Sistema de Raridade e Evolução'!E4,0)</f>
        <v>732</v>
      </c>
      <c r="J208" s="8">
        <f>'Sistema de Raridade e Evolução'!D4</f>
        <v>16</v>
      </c>
      <c r="K208" s="8" t="s">
        <v>10</v>
      </c>
      <c r="L208" s="9">
        <f t="shared" si="3"/>
        <v>542857.14</v>
      </c>
    </row>
    <row r="209" spans="1:12" ht="14.25" hidden="1" customHeight="1" x14ac:dyDescent="0.3">
      <c r="A209" s="8">
        <v>208</v>
      </c>
      <c r="B209" s="8" t="str">
        <f>'Criaturas - Base de Dados'!B36</f>
        <v>Véu Sombrio</v>
      </c>
      <c r="C209" s="8" t="str">
        <f>'Criaturas - Base de Dados'!C36</f>
        <v>Sombra</v>
      </c>
      <c r="D209" s="8" t="str">
        <f>'Criaturas - Base de Dados'!D36</f>
        <v>Onryō Vingativo</v>
      </c>
      <c r="E209" s="8" t="str">
        <f>'Sistema de Raridade e Evolução'!B5</f>
        <v>Ouro</v>
      </c>
      <c r="F209" s="9">
        <f>ROUND(('Criaturas - Base de Dados'!H36*'Sistema de Raridade e Evolução'!E5)*1000,2)</f>
        <v>684000</v>
      </c>
      <c r="G209" s="8">
        <f>ROUND('Criaturas - Base de Dados'!I36*'Sistema de Raridade e Evolução'!E5,0)</f>
        <v>414</v>
      </c>
      <c r="H209" s="8">
        <f>ROUND('Criaturas - Base de Dados'!J36*'Sistema de Raridade e Evolução'!E5,0)</f>
        <v>342</v>
      </c>
      <c r="I209" s="8">
        <f>ROUND('Criaturas - Base de Dados'!K36*'Sistema de Raridade e Evolução'!E5,0)</f>
        <v>2196</v>
      </c>
      <c r="J209" s="8">
        <f>'Sistema de Raridade e Evolução'!D5</f>
        <v>31</v>
      </c>
      <c r="K209" s="8" t="s">
        <v>11</v>
      </c>
      <c r="L209" s="9">
        <f t="shared" si="3"/>
        <v>1628571.43</v>
      </c>
    </row>
    <row r="210" spans="1:12" ht="14.25" hidden="1" customHeight="1" x14ac:dyDescent="0.3">
      <c r="A210" s="8">
        <v>209</v>
      </c>
      <c r="B210" s="8" t="str">
        <f>'Criaturas - Base de Dados'!B36</f>
        <v>Véu Sombrio</v>
      </c>
      <c r="C210" s="8" t="str">
        <f>'Criaturas - Base de Dados'!C36</f>
        <v>Sombra</v>
      </c>
      <c r="D210" s="8" t="str">
        <f>'Criaturas - Base de Dados'!D36</f>
        <v>Onryō Vingativo</v>
      </c>
      <c r="E210" s="8" t="str">
        <f>'Sistema de Raridade e Evolução'!B6</f>
        <v>Platina</v>
      </c>
      <c r="F210" s="9">
        <f>ROUND(('Criaturas - Base de Dados'!H36*'Sistema de Raridade e Evolução'!E6)*1000,2)</f>
        <v>1900000</v>
      </c>
      <c r="G210" s="8">
        <f>ROUND('Criaturas - Base de Dados'!I36*'Sistema de Raridade e Evolução'!E6,0)</f>
        <v>1150</v>
      </c>
      <c r="H210" s="8">
        <f>ROUND('Criaturas - Base de Dados'!J36*'Sistema de Raridade e Evolução'!E6,0)</f>
        <v>950</v>
      </c>
      <c r="I210" s="8">
        <f>ROUND('Criaturas - Base de Dados'!K36*'Sistema de Raridade e Evolução'!E6,0)</f>
        <v>6100</v>
      </c>
      <c r="J210" s="8">
        <f>'Sistema de Raridade e Evolução'!D6</f>
        <v>56</v>
      </c>
      <c r="K210" s="8" t="s">
        <v>12</v>
      </c>
      <c r="L210" s="9">
        <f t="shared" si="3"/>
        <v>4523809.5199999996</v>
      </c>
    </row>
    <row r="211" spans="1:12" ht="14.25" hidden="1" customHeight="1" x14ac:dyDescent="0.3">
      <c r="A211" s="8">
        <v>210</v>
      </c>
      <c r="B211" s="8" t="str">
        <f>'Criaturas - Base de Dados'!B36</f>
        <v>Véu Sombrio</v>
      </c>
      <c r="C211" s="8" t="str">
        <f>'Criaturas - Base de Dados'!C36</f>
        <v>Sombra</v>
      </c>
      <c r="D211" s="8" t="str">
        <f>'Criaturas - Base de Dados'!D36</f>
        <v>Onryō Vingativo</v>
      </c>
      <c r="E211" s="8" t="str">
        <f>'Sistema de Raridade e Evolução'!B7</f>
        <v>Lendário</v>
      </c>
      <c r="F211" s="9">
        <f>ROUND(('Criaturas - Base de Dados'!H36*'Sistema de Raridade e Evolução'!E7)*1000,2)</f>
        <v>5700000</v>
      </c>
      <c r="G211" s="8">
        <f>ROUND('Criaturas - Base de Dados'!I36*'Sistema de Raridade e Evolução'!E7,0)</f>
        <v>3450</v>
      </c>
      <c r="H211" s="8">
        <f>ROUND('Criaturas - Base de Dados'!J36*'Sistema de Raridade e Evolução'!E7,0)</f>
        <v>2850</v>
      </c>
      <c r="I211" s="8">
        <f>ROUND('Criaturas - Base de Dados'!K36*'Sistema de Raridade e Evolução'!E7,0)</f>
        <v>18300</v>
      </c>
      <c r="J211" s="8">
        <f>'Sistema de Raridade e Evolução'!D7</f>
        <v>91</v>
      </c>
      <c r="K211" s="8" t="s">
        <v>925</v>
      </c>
      <c r="L211" s="9">
        <f t="shared" si="3"/>
        <v>13571428.57</v>
      </c>
    </row>
    <row r="212" spans="1:12" ht="14.25" customHeight="1" x14ac:dyDescent="0.3">
      <c r="A212" s="8">
        <v>211</v>
      </c>
      <c r="B212" s="8" t="str">
        <f>'Criaturas - Base de Dados'!B37</f>
        <v>Véu Sombrio</v>
      </c>
      <c r="C212" s="8" t="str">
        <f>'Criaturas - Base de Dados'!C37</f>
        <v>Sombra</v>
      </c>
      <c r="D212" s="8" t="str">
        <f>'Criaturas - Base de Dados'!D37</f>
        <v>Corvo de Baba Yaga</v>
      </c>
      <c r="E212" s="8" t="str">
        <f>'Sistema de Raridade e Evolução'!B2</f>
        <v>Default</v>
      </c>
      <c r="F212" s="9" t="e">
        <f>ROUND(('Criaturas - Base de Dados'!H37*'Sistema de Raridade e Evolução'!E2)*1000,2)</f>
        <v>#VALUE!</v>
      </c>
      <c r="G212" s="8" t="e">
        <f>ROUND('Criaturas - Base de Dados'!I37*'Sistema de Raridade e Evolução'!E2,0)</f>
        <v>#VALUE!</v>
      </c>
      <c r="H212" s="8" t="e">
        <f>ROUND('Criaturas - Base de Dados'!J37*'Sistema de Raridade e Evolução'!E2,0)</f>
        <v>#VALUE!</v>
      </c>
      <c r="I212" s="8" t="e">
        <f>ROUND('Criaturas - Base de Dados'!K37*'Sistema de Raridade e Evolução'!E2,0)</f>
        <v>#VALUE!</v>
      </c>
      <c r="J212" s="8">
        <f>'Sistema de Raridade e Evolução'!D2</f>
        <v>1</v>
      </c>
      <c r="K212" s="8" t="s">
        <v>8</v>
      </c>
      <c r="L212" s="9" t="e">
        <f t="shared" si="3"/>
        <v>#VALUE!</v>
      </c>
    </row>
    <row r="213" spans="1:12" ht="14.25" hidden="1" customHeight="1" x14ac:dyDescent="0.3">
      <c r="A213" s="8">
        <v>212</v>
      </c>
      <c r="B213" s="8" t="str">
        <f>'Criaturas - Base de Dados'!B37</f>
        <v>Véu Sombrio</v>
      </c>
      <c r="C213" s="8" t="str">
        <f>'Criaturas - Base de Dados'!C37</f>
        <v>Sombra</v>
      </c>
      <c r="D213" s="8" t="str">
        <f>'Criaturas - Base de Dados'!D37</f>
        <v>Corvo de Baba Yaga</v>
      </c>
      <c r="E213" s="8" t="str">
        <f>'Sistema de Raridade e Evolução'!B3</f>
        <v>Bronze</v>
      </c>
      <c r="F213" s="9">
        <f>ROUND(('Criaturas - Base de Dados'!H37*'Sistema de Raridade e Evolução'!E3)*1000,2)</f>
        <v>54000</v>
      </c>
      <c r="G213" s="8">
        <f>ROUND('Criaturas - Base de Dados'!I37*'Sistema de Raridade e Evolução'!E3,0)</f>
        <v>32</v>
      </c>
      <c r="H213" s="8">
        <f>ROUND('Criaturas - Base de Dados'!J37*'Sistema de Raridade e Evolução'!E3,0)</f>
        <v>27</v>
      </c>
      <c r="I213" s="8">
        <f>ROUND('Criaturas - Base de Dados'!K37*'Sistema de Raridade e Evolução'!E3,0)</f>
        <v>173</v>
      </c>
      <c r="J213" s="8">
        <f>'Sistema de Raridade e Evolução'!D3</f>
        <v>6</v>
      </c>
      <c r="K213" s="8" t="s">
        <v>9</v>
      </c>
      <c r="L213" s="9">
        <f t="shared" si="3"/>
        <v>128571.43</v>
      </c>
    </row>
    <row r="214" spans="1:12" ht="14.25" hidden="1" customHeight="1" x14ac:dyDescent="0.3">
      <c r="A214" s="8">
        <v>213</v>
      </c>
      <c r="B214" s="8" t="str">
        <f>'Criaturas - Base de Dados'!B37</f>
        <v>Véu Sombrio</v>
      </c>
      <c r="C214" s="8" t="str">
        <f>'Criaturas - Base de Dados'!C37</f>
        <v>Sombra</v>
      </c>
      <c r="D214" s="8" t="str">
        <f>'Criaturas - Base de Dados'!D37</f>
        <v>Corvo de Baba Yaga</v>
      </c>
      <c r="E214" s="8" t="str">
        <f>'Sistema de Raridade e Evolução'!B4</f>
        <v>Prata</v>
      </c>
      <c r="F214" s="9">
        <f>ROUND(('Criaturas - Base de Dados'!H37*'Sistema de Raridade e Evolução'!E4)*1000,2)</f>
        <v>324000</v>
      </c>
      <c r="G214" s="8">
        <f>ROUND('Criaturas - Base de Dados'!I37*'Sistema de Raridade e Evolução'!E4,0)</f>
        <v>192</v>
      </c>
      <c r="H214" s="8">
        <f>ROUND('Criaturas - Base de Dados'!J37*'Sistema de Raridade e Evolução'!E4,0)</f>
        <v>162</v>
      </c>
      <c r="I214" s="8">
        <f>ROUND('Criaturas - Base de Dados'!K37*'Sistema de Raridade e Evolução'!E4,0)</f>
        <v>1038</v>
      </c>
      <c r="J214" s="8">
        <f>'Sistema de Raridade e Evolução'!D4</f>
        <v>16</v>
      </c>
      <c r="K214" s="8" t="s">
        <v>10</v>
      </c>
      <c r="L214" s="9">
        <f t="shared" si="3"/>
        <v>771428.57</v>
      </c>
    </row>
    <row r="215" spans="1:12" ht="14.25" hidden="1" customHeight="1" x14ac:dyDescent="0.3">
      <c r="A215" s="8">
        <v>214</v>
      </c>
      <c r="B215" s="8" t="str">
        <f>'Criaturas - Base de Dados'!B37</f>
        <v>Véu Sombrio</v>
      </c>
      <c r="C215" s="8" t="str">
        <f>'Criaturas - Base de Dados'!C37</f>
        <v>Sombra</v>
      </c>
      <c r="D215" s="8" t="str">
        <f>'Criaturas - Base de Dados'!D37</f>
        <v>Corvo de Baba Yaga</v>
      </c>
      <c r="E215" s="8" t="str">
        <f>'Sistema de Raridade e Evolução'!B5</f>
        <v>Ouro</v>
      </c>
      <c r="F215" s="9">
        <f>ROUND(('Criaturas - Base de Dados'!H37*'Sistema de Raridade e Evolução'!E5)*1000,2)</f>
        <v>972000</v>
      </c>
      <c r="G215" s="8">
        <f>ROUND('Criaturas - Base de Dados'!I37*'Sistema de Raridade e Evolução'!E5,0)</f>
        <v>576</v>
      </c>
      <c r="H215" s="8">
        <f>ROUND('Criaturas - Base de Dados'!J37*'Sistema de Raridade e Evolução'!E5,0)</f>
        <v>486</v>
      </c>
      <c r="I215" s="8">
        <f>ROUND('Criaturas - Base de Dados'!K37*'Sistema de Raridade e Evolução'!E5,0)</f>
        <v>3114</v>
      </c>
      <c r="J215" s="8">
        <f>'Sistema de Raridade e Evolução'!D5</f>
        <v>31</v>
      </c>
      <c r="K215" s="8" t="s">
        <v>11</v>
      </c>
      <c r="L215" s="9">
        <f t="shared" si="3"/>
        <v>2314285.71</v>
      </c>
    </row>
    <row r="216" spans="1:12" ht="14.25" hidden="1" customHeight="1" x14ac:dyDescent="0.3">
      <c r="A216" s="8">
        <v>215</v>
      </c>
      <c r="B216" s="8" t="str">
        <f>'Criaturas - Base de Dados'!B37</f>
        <v>Véu Sombrio</v>
      </c>
      <c r="C216" s="8" t="str">
        <f>'Criaturas - Base de Dados'!C37</f>
        <v>Sombra</v>
      </c>
      <c r="D216" s="8" t="str">
        <f>'Criaturas - Base de Dados'!D37</f>
        <v>Corvo de Baba Yaga</v>
      </c>
      <c r="E216" s="8" t="str">
        <f>'Sistema de Raridade e Evolução'!B6</f>
        <v>Platina</v>
      </c>
      <c r="F216" s="9">
        <f>ROUND(('Criaturas - Base de Dados'!H37*'Sistema de Raridade e Evolução'!E6)*1000,2)</f>
        <v>2700000</v>
      </c>
      <c r="G216" s="8">
        <f>ROUND('Criaturas - Base de Dados'!I37*'Sistema de Raridade e Evolução'!E6,0)</f>
        <v>1600</v>
      </c>
      <c r="H216" s="8">
        <f>ROUND('Criaturas - Base de Dados'!J37*'Sistema de Raridade e Evolução'!E6,0)</f>
        <v>1350</v>
      </c>
      <c r="I216" s="8">
        <f>ROUND('Criaturas - Base de Dados'!K37*'Sistema de Raridade e Evolução'!E6,0)</f>
        <v>8650</v>
      </c>
      <c r="J216" s="8">
        <f>'Sistema de Raridade e Evolução'!D6</f>
        <v>56</v>
      </c>
      <c r="K216" s="8" t="s">
        <v>12</v>
      </c>
      <c r="L216" s="9">
        <f t="shared" si="3"/>
        <v>6428571.4299999997</v>
      </c>
    </row>
    <row r="217" spans="1:12" ht="14.25" hidden="1" customHeight="1" x14ac:dyDescent="0.3">
      <c r="A217" s="8">
        <v>216</v>
      </c>
      <c r="B217" s="8" t="str">
        <f>'Criaturas - Base de Dados'!B37</f>
        <v>Véu Sombrio</v>
      </c>
      <c r="C217" s="8" t="str">
        <f>'Criaturas - Base de Dados'!C37</f>
        <v>Sombra</v>
      </c>
      <c r="D217" s="8" t="str">
        <f>'Criaturas - Base de Dados'!D37</f>
        <v>Corvo de Baba Yaga</v>
      </c>
      <c r="E217" s="8" t="str">
        <f>'Sistema de Raridade e Evolução'!B7</f>
        <v>Lendário</v>
      </c>
      <c r="F217" s="9">
        <f>ROUND(('Criaturas - Base de Dados'!H37*'Sistema de Raridade e Evolução'!E7)*1000,2)</f>
        <v>8100000</v>
      </c>
      <c r="G217" s="8">
        <f>ROUND('Criaturas - Base de Dados'!I37*'Sistema de Raridade e Evolução'!E7,0)</f>
        <v>4800</v>
      </c>
      <c r="H217" s="8">
        <f>ROUND('Criaturas - Base de Dados'!J37*'Sistema de Raridade e Evolução'!E7,0)</f>
        <v>4050</v>
      </c>
      <c r="I217" s="8">
        <f>ROUND('Criaturas - Base de Dados'!K37*'Sistema de Raridade e Evolução'!E7,0)</f>
        <v>25950</v>
      </c>
      <c r="J217" s="8">
        <f>'Sistema de Raridade e Evolução'!D7</f>
        <v>91</v>
      </c>
      <c r="K217" s="8" t="s">
        <v>925</v>
      </c>
      <c r="L217" s="9">
        <f t="shared" si="3"/>
        <v>19285714.289999999</v>
      </c>
    </row>
    <row r="218" spans="1:12" ht="14.25" customHeight="1" x14ac:dyDescent="0.3">
      <c r="A218" s="8">
        <v>217</v>
      </c>
      <c r="B218" s="8" t="str">
        <f>'Criaturas - Base de Dados'!B38</f>
        <v>Véu Sombrio</v>
      </c>
      <c r="C218" s="8" t="str">
        <f>'Criaturas - Base de Dados'!C38</f>
        <v>Sombra</v>
      </c>
      <c r="D218" s="8" t="str">
        <f>'Criaturas - Base de Dados'!D38</f>
        <v>Huginn, o Corvo Vidente</v>
      </c>
      <c r="E218" s="8" t="str">
        <f>'Sistema de Raridade e Evolução'!B2</f>
        <v>Default</v>
      </c>
      <c r="F218" s="9" t="e">
        <f>ROUND(('Criaturas - Base de Dados'!H38*'Sistema de Raridade e Evolução'!E2)*1000,2)</f>
        <v>#VALUE!</v>
      </c>
      <c r="G218" s="8" t="e">
        <f>ROUND('Criaturas - Base de Dados'!I38*'Sistema de Raridade e Evolução'!E2,0)</f>
        <v>#VALUE!</v>
      </c>
      <c r="H218" s="8" t="e">
        <f>ROUND('Criaturas - Base de Dados'!J38*'Sistema de Raridade e Evolução'!E2,0)</f>
        <v>#VALUE!</v>
      </c>
      <c r="I218" s="8" t="e">
        <f>ROUND('Criaturas - Base de Dados'!K38*'Sistema de Raridade e Evolução'!E2,0)</f>
        <v>#VALUE!</v>
      </c>
      <c r="J218" s="8">
        <f>'Sistema de Raridade e Evolução'!D2</f>
        <v>1</v>
      </c>
      <c r="K218" s="8" t="s">
        <v>8</v>
      </c>
      <c r="L218" s="9" t="e">
        <f t="shared" si="3"/>
        <v>#VALUE!</v>
      </c>
    </row>
    <row r="219" spans="1:12" ht="14.25" hidden="1" customHeight="1" x14ac:dyDescent="0.3">
      <c r="A219" s="8">
        <v>218</v>
      </c>
      <c r="B219" s="8" t="str">
        <f>'Criaturas - Base de Dados'!B38</f>
        <v>Véu Sombrio</v>
      </c>
      <c r="C219" s="8" t="str">
        <f>'Criaturas - Base de Dados'!C38</f>
        <v>Sombra</v>
      </c>
      <c r="D219" s="8" t="str">
        <f>'Criaturas - Base de Dados'!D38</f>
        <v>Huginn, o Corvo Vidente</v>
      </c>
      <c r="E219" s="8" t="str">
        <f>'Sistema de Raridade e Evolução'!B3</f>
        <v>Bronze</v>
      </c>
      <c r="F219" s="9">
        <f>ROUND(('Criaturas - Base de Dados'!H38*'Sistema de Raridade e Evolução'!E3)*1000,2)</f>
        <v>48000</v>
      </c>
      <c r="G219" s="8">
        <f>ROUND('Criaturas - Base de Dados'!I38*'Sistema de Raridade e Evolução'!E3,0)</f>
        <v>29</v>
      </c>
      <c r="H219" s="8">
        <f>ROUND('Criaturas - Base de Dados'!J38*'Sistema de Raridade e Evolução'!E3,0)</f>
        <v>24</v>
      </c>
      <c r="I219" s="8">
        <f>ROUND('Criaturas - Base de Dados'!K38*'Sistema de Raridade e Evolução'!E3,0)</f>
        <v>154</v>
      </c>
      <c r="J219" s="8">
        <f>'Sistema de Raridade e Evolução'!D3</f>
        <v>6</v>
      </c>
      <c r="K219" s="8" t="s">
        <v>9</v>
      </c>
      <c r="L219" s="9">
        <f t="shared" si="3"/>
        <v>114285.71</v>
      </c>
    </row>
    <row r="220" spans="1:12" ht="14.25" hidden="1" customHeight="1" x14ac:dyDescent="0.3">
      <c r="A220" s="8">
        <v>219</v>
      </c>
      <c r="B220" s="8" t="str">
        <f>'Criaturas - Base de Dados'!B38</f>
        <v>Véu Sombrio</v>
      </c>
      <c r="C220" s="8" t="str">
        <f>'Criaturas - Base de Dados'!C38</f>
        <v>Sombra</v>
      </c>
      <c r="D220" s="8" t="str">
        <f>'Criaturas - Base de Dados'!D38</f>
        <v>Huginn, o Corvo Vidente</v>
      </c>
      <c r="E220" s="8" t="str">
        <f>'Sistema de Raridade e Evolução'!B4</f>
        <v>Prata</v>
      </c>
      <c r="F220" s="9">
        <f>ROUND(('Criaturas - Base de Dados'!H38*'Sistema de Raridade e Evolução'!E4)*1000,2)</f>
        <v>288000</v>
      </c>
      <c r="G220" s="8">
        <f>ROUND('Criaturas - Base de Dados'!I38*'Sistema de Raridade e Evolução'!E4,0)</f>
        <v>174</v>
      </c>
      <c r="H220" s="8">
        <f>ROUND('Criaturas - Base de Dados'!J38*'Sistema de Raridade e Evolução'!E4,0)</f>
        <v>144</v>
      </c>
      <c r="I220" s="8">
        <f>ROUND('Criaturas - Base de Dados'!K38*'Sistema de Raridade e Evolução'!E4,0)</f>
        <v>924</v>
      </c>
      <c r="J220" s="8">
        <f>'Sistema de Raridade e Evolução'!D4</f>
        <v>16</v>
      </c>
      <c r="K220" s="8" t="s">
        <v>10</v>
      </c>
      <c r="L220" s="9">
        <f t="shared" si="3"/>
        <v>685714.29</v>
      </c>
    </row>
    <row r="221" spans="1:12" ht="14.25" hidden="1" customHeight="1" x14ac:dyDescent="0.3">
      <c r="A221" s="8">
        <v>220</v>
      </c>
      <c r="B221" s="8" t="str">
        <f>'Criaturas - Base de Dados'!B38</f>
        <v>Véu Sombrio</v>
      </c>
      <c r="C221" s="8" t="str">
        <f>'Criaturas - Base de Dados'!C38</f>
        <v>Sombra</v>
      </c>
      <c r="D221" s="8" t="str">
        <f>'Criaturas - Base de Dados'!D38</f>
        <v>Huginn, o Corvo Vidente</v>
      </c>
      <c r="E221" s="8" t="str">
        <f>'Sistema de Raridade e Evolução'!B5</f>
        <v>Ouro</v>
      </c>
      <c r="F221" s="9">
        <f>ROUND(('Criaturas - Base de Dados'!H38*'Sistema de Raridade e Evolução'!E5)*1000,2)</f>
        <v>864000</v>
      </c>
      <c r="G221" s="8">
        <f>ROUND('Criaturas - Base de Dados'!I38*'Sistema de Raridade e Evolução'!E5,0)</f>
        <v>522</v>
      </c>
      <c r="H221" s="8">
        <f>ROUND('Criaturas - Base de Dados'!J38*'Sistema de Raridade e Evolução'!E5,0)</f>
        <v>432</v>
      </c>
      <c r="I221" s="8">
        <f>ROUND('Criaturas - Base de Dados'!K38*'Sistema de Raridade e Evolução'!E5,0)</f>
        <v>2772</v>
      </c>
      <c r="J221" s="8">
        <f>'Sistema de Raridade e Evolução'!D5</f>
        <v>31</v>
      </c>
      <c r="K221" s="8" t="s">
        <v>11</v>
      </c>
      <c r="L221" s="9">
        <f t="shared" si="3"/>
        <v>2057142.86</v>
      </c>
    </row>
    <row r="222" spans="1:12" ht="14.25" hidden="1" customHeight="1" x14ac:dyDescent="0.3">
      <c r="A222" s="8">
        <v>221</v>
      </c>
      <c r="B222" s="8" t="str">
        <f>'Criaturas - Base de Dados'!B38</f>
        <v>Véu Sombrio</v>
      </c>
      <c r="C222" s="8" t="str">
        <f>'Criaturas - Base de Dados'!C38</f>
        <v>Sombra</v>
      </c>
      <c r="D222" s="8" t="str">
        <f>'Criaturas - Base de Dados'!D38</f>
        <v>Huginn, o Corvo Vidente</v>
      </c>
      <c r="E222" s="8" t="str">
        <f>'Sistema de Raridade e Evolução'!B6</f>
        <v>Platina</v>
      </c>
      <c r="F222" s="9">
        <f>ROUND(('Criaturas - Base de Dados'!H38*'Sistema de Raridade e Evolução'!E6)*1000,2)</f>
        <v>2400000</v>
      </c>
      <c r="G222" s="8">
        <f>ROUND('Criaturas - Base de Dados'!I38*'Sistema de Raridade e Evolução'!E6,0)</f>
        <v>1450</v>
      </c>
      <c r="H222" s="8">
        <f>ROUND('Criaturas - Base de Dados'!J38*'Sistema de Raridade e Evolução'!E6,0)</f>
        <v>1200</v>
      </c>
      <c r="I222" s="8">
        <f>ROUND('Criaturas - Base de Dados'!K38*'Sistema de Raridade e Evolução'!E6,0)</f>
        <v>7700</v>
      </c>
      <c r="J222" s="8">
        <f>'Sistema de Raridade e Evolução'!D6</f>
        <v>56</v>
      </c>
      <c r="K222" s="8" t="s">
        <v>12</v>
      </c>
      <c r="L222" s="9">
        <f t="shared" si="3"/>
        <v>5714285.71</v>
      </c>
    </row>
    <row r="223" spans="1:12" ht="14.25" hidden="1" customHeight="1" x14ac:dyDescent="0.3">
      <c r="A223" s="8">
        <v>222</v>
      </c>
      <c r="B223" s="8" t="str">
        <f>'Criaturas - Base de Dados'!B38</f>
        <v>Véu Sombrio</v>
      </c>
      <c r="C223" s="8" t="str">
        <f>'Criaturas - Base de Dados'!C38</f>
        <v>Sombra</v>
      </c>
      <c r="D223" s="8" t="str">
        <f>'Criaturas - Base de Dados'!D38</f>
        <v>Huginn, o Corvo Vidente</v>
      </c>
      <c r="E223" s="8" t="str">
        <f>'Sistema de Raridade e Evolução'!B7</f>
        <v>Lendário</v>
      </c>
      <c r="F223" s="9">
        <f>ROUND(('Criaturas - Base de Dados'!H38*'Sistema de Raridade e Evolução'!E7)*1000,2)</f>
        <v>7200000</v>
      </c>
      <c r="G223" s="8">
        <f>ROUND('Criaturas - Base de Dados'!I38*'Sistema de Raridade e Evolução'!E7,0)</f>
        <v>4350</v>
      </c>
      <c r="H223" s="8">
        <f>ROUND('Criaturas - Base de Dados'!J38*'Sistema de Raridade e Evolução'!E7,0)</f>
        <v>3600</v>
      </c>
      <c r="I223" s="8">
        <f>ROUND('Criaturas - Base de Dados'!K38*'Sistema de Raridade e Evolução'!E7,0)</f>
        <v>23100</v>
      </c>
      <c r="J223" s="8">
        <f>'Sistema de Raridade e Evolução'!D7</f>
        <v>91</v>
      </c>
      <c r="K223" s="8" t="s">
        <v>925</v>
      </c>
      <c r="L223" s="9">
        <f t="shared" si="3"/>
        <v>17142857.140000001</v>
      </c>
    </row>
    <row r="224" spans="1:12" ht="14.25" customHeight="1" x14ac:dyDescent="0.3">
      <c r="A224" s="8">
        <v>223</v>
      </c>
      <c r="B224" s="8" t="str">
        <f>'Criaturas - Base de Dados'!B39</f>
        <v>Véu Sombrio</v>
      </c>
      <c r="C224" s="8" t="str">
        <f>'Criaturas - Base de Dados'!C39</f>
        <v>Sombra</v>
      </c>
      <c r="D224" s="8" t="str">
        <f>'Criaturas - Base de Dados'!D39</f>
        <v>Lobo das Sombras</v>
      </c>
      <c r="E224" s="8" t="str">
        <f>'Sistema de Raridade e Evolução'!B2</f>
        <v>Default</v>
      </c>
      <c r="F224" s="9" t="e">
        <f>ROUND(('Criaturas - Base de Dados'!H39*'Sistema de Raridade e Evolução'!E2)*1000,2)</f>
        <v>#VALUE!</v>
      </c>
      <c r="G224" s="8" t="e">
        <f>ROUND('Criaturas - Base de Dados'!I39*'Sistema de Raridade e Evolução'!E2,0)</f>
        <v>#VALUE!</v>
      </c>
      <c r="H224" s="8" t="e">
        <f>ROUND('Criaturas - Base de Dados'!J39*'Sistema de Raridade e Evolução'!E2,0)</f>
        <v>#VALUE!</v>
      </c>
      <c r="I224" s="8" t="e">
        <f>ROUND('Criaturas - Base de Dados'!K39*'Sistema de Raridade e Evolução'!E2,0)</f>
        <v>#VALUE!</v>
      </c>
      <c r="J224" s="8">
        <f>'Sistema de Raridade e Evolução'!D2</f>
        <v>1</v>
      </c>
      <c r="K224" s="8" t="s">
        <v>8</v>
      </c>
      <c r="L224" s="9" t="e">
        <f t="shared" si="3"/>
        <v>#VALUE!</v>
      </c>
    </row>
    <row r="225" spans="1:12" ht="14.25" hidden="1" customHeight="1" x14ac:dyDescent="0.3">
      <c r="A225" s="8">
        <v>224</v>
      </c>
      <c r="B225" s="8" t="str">
        <f>'Criaturas - Base de Dados'!B39</f>
        <v>Véu Sombrio</v>
      </c>
      <c r="C225" s="8" t="str">
        <f>'Criaturas - Base de Dados'!C39</f>
        <v>Sombra</v>
      </c>
      <c r="D225" s="8" t="str">
        <f>'Criaturas - Base de Dados'!D39</f>
        <v>Lobo das Sombras</v>
      </c>
      <c r="E225" s="8" t="str">
        <f>'Sistema de Raridade e Evolução'!B3</f>
        <v>Bronze</v>
      </c>
      <c r="F225" s="9">
        <f>ROUND(('Criaturas - Base de Dados'!H39*'Sistema de Raridade e Evolução'!E3)*1000,2)</f>
        <v>50000</v>
      </c>
      <c r="G225" s="8">
        <f>ROUND('Criaturas - Base de Dados'!I39*'Sistema de Raridade e Evolução'!E3,0)</f>
        <v>30</v>
      </c>
      <c r="H225" s="8">
        <f>ROUND('Criaturas - Base de Dados'!J39*'Sistema de Raridade e Evolução'!E3,0)</f>
        <v>25</v>
      </c>
      <c r="I225" s="8">
        <f>ROUND('Criaturas - Base de Dados'!K39*'Sistema de Raridade e Evolução'!E3,0)</f>
        <v>160</v>
      </c>
      <c r="J225" s="8">
        <f>'Sistema de Raridade e Evolução'!D3</f>
        <v>6</v>
      </c>
      <c r="K225" s="8" t="s">
        <v>9</v>
      </c>
      <c r="L225" s="9">
        <f t="shared" si="3"/>
        <v>119047.62</v>
      </c>
    </row>
    <row r="226" spans="1:12" ht="14.25" hidden="1" customHeight="1" x14ac:dyDescent="0.3">
      <c r="A226" s="8">
        <v>225</v>
      </c>
      <c r="B226" s="8" t="str">
        <f>'Criaturas - Base de Dados'!B39</f>
        <v>Véu Sombrio</v>
      </c>
      <c r="C226" s="8" t="str">
        <f>'Criaturas - Base de Dados'!C39</f>
        <v>Sombra</v>
      </c>
      <c r="D226" s="8" t="str">
        <f>'Criaturas - Base de Dados'!D39</f>
        <v>Lobo das Sombras</v>
      </c>
      <c r="E226" s="8" t="str">
        <f>'Sistema de Raridade e Evolução'!B4</f>
        <v>Prata</v>
      </c>
      <c r="F226" s="9">
        <f>ROUND(('Criaturas - Base de Dados'!H39*'Sistema de Raridade e Evolução'!E4)*1000,2)</f>
        <v>300000</v>
      </c>
      <c r="G226" s="8">
        <f>ROUND('Criaturas - Base de Dados'!I39*'Sistema de Raridade e Evolução'!E4,0)</f>
        <v>180</v>
      </c>
      <c r="H226" s="8">
        <f>ROUND('Criaturas - Base de Dados'!J39*'Sistema de Raridade e Evolução'!E4,0)</f>
        <v>150</v>
      </c>
      <c r="I226" s="8">
        <f>ROUND('Criaturas - Base de Dados'!K39*'Sistema de Raridade e Evolução'!E4,0)</f>
        <v>960</v>
      </c>
      <c r="J226" s="8">
        <f>'Sistema de Raridade e Evolução'!D4</f>
        <v>16</v>
      </c>
      <c r="K226" s="8" t="s">
        <v>10</v>
      </c>
      <c r="L226" s="9">
        <f t="shared" si="3"/>
        <v>714285.71</v>
      </c>
    </row>
    <row r="227" spans="1:12" ht="14.25" hidden="1" customHeight="1" x14ac:dyDescent="0.3">
      <c r="A227" s="8">
        <v>226</v>
      </c>
      <c r="B227" s="8" t="str">
        <f>'Criaturas - Base de Dados'!B39</f>
        <v>Véu Sombrio</v>
      </c>
      <c r="C227" s="8" t="str">
        <f>'Criaturas - Base de Dados'!C39</f>
        <v>Sombra</v>
      </c>
      <c r="D227" s="8" t="str">
        <f>'Criaturas - Base de Dados'!D39</f>
        <v>Lobo das Sombras</v>
      </c>
      <c r="E227" s="8" t="str">
        <f>'Sistema de Raridade e Evolução'!B5</f>
        <v>Ouro</v>
      </c>
      <c r="F227" s="9">
        <f>ROUND(('Criaturas - Base de Dados'!H39*'Sistema de Raridade e Evolução'!E5)*1000,2)</f>
        <v>900000</v>
      </c>
      <c r="G227" s="8">
        <f>ROUND('Criaturas - Base de Dados'!I39*'Sistema de Raridade e Evolução'!E5,0)</f>
        <v>540</v>
      </c>
      <c r="H227" s="8">
        <f>ROUND('Criaturas - Base de Dados'!J39*'Sistema de Raridade e Evolução'!E5,0)</f>
        <v>450</v>
      </c>
      <c r="I227" s="8">
        <f>ROUND('Criaturas - Base de Dados'!K39*'Sistema de Raridade e Evolução'!E5,0)</f>
        <v>2880</v>
      </c>
      <c r="J227" s="8">
        <f>'Sistema de Raridade e Evolução'!D5</f>
        <v>31</v>
      </c>
      <c r="K227" s="8" t="s">
        <v>11</v>
      </c>
      <c r="L227" s="9">
        <f t="shared" si="3"/>
        <v>2142857.14</v>
      </c>
    </row>
    <row r="228" spans="1:12" ht="14.25" hidden="1" customHeight="1" x14ac:dyDescent="0.3">
      <c r="A228" s="8">
        <v>227</v>
      </c>
      <c r="B228" s="8" t="str">
        <f>'Criaturas - Base de Dados'!B39</f>
        <v>Véu Sombrio</v>
      </c>
      <c r="C228" s="8" t="str">
        <f>'Criaturas - Base de Dados'!C39</f>
        <v>Sombra</v>
      </c>
      <c r="D228" s="8" t="str">
        <f>'Criaturas - Base de Dados'!D39</f>
        <v>Lobo das Sombras</v>
      </c>
      <c r="E228" s="8" t="str">
        <f>'Sistema de Raridade e Evolução'!B6</f>
        <v>Platina</v>
      </c>
      <c r="F228" s="9">
        <f>ROUND(('Criaturas - Base de Dados'!H39*'Sistema de Raridade e Evolução'!E6)*1000,2)</f>
        <v>2500000</v>
      </c>
      <c r="G228" s="8">
        <f>ROUND('Criaturas - Base de Dados'!I39*'Sistema de Raridade e Evolução'!E6,0)</f>
        <v>1500</v>
      </c>
      <c r="H228" s="8">
        <f>ROUND('Criaturas - Base de Dados'!J39*'Sistema de Raridade e Evolução'!E6,0)</f>
        <v>1250</v>
      </c>
      <c r="I228" s="8">
        <f>ROUND('Criaturas - Base de Dados'!K39*'Sistema de Raridade e Evolução'!E6,0)</f>
        <v>8000</v>
      </c>
      <c r="J228" s="8">
        <f>'Sistema de Raridade e Evolução'!D6</f>
        <v>56</v>
      </c>
      <c r="K228" s="8" t="s">
        <v>12</v>
      </c>
      <c r="L228" s="9">
        <f t="shared" si="3"/>
        <v>5952380.9500000002</v>
      </c>
    </row>
    <row r="229" spans="1:12" ht="14.25" hidden="1" customHeight="1" x14ac:dyDescent="0.3">
      <c r="A229" s="8">
        <v>228</v>
      </c>
      <c r="B229" s="8" t="str">
        <f>'Criaturas - Base de Dados'!B39</f>
        <v>Véu Sombrio</v>
      </c>
      <c r="C229" s="8" t="str">
        <f>'Criaturas - Base de Dados'!C39</f>
        <v>Sombra</v>
      </c>
      <c r="D229" s="8" t="str">
        <f>'Criaturas - Base de Dados'!D39</f>
        <v>Lobo das Sombras</v>
      </c>
      <c r="E229" s="8" t="str">
        <f>'Sistema de Raridade e Evolução'!B7</f>
        <v>Lendário</v>
      </c>
      <c r="F229" s="9">
        <f>ROUND(('Criaturas - Base de Dados'!H39*'Sistema de Raridade e Evolução'!E7)*1000,2)</f>
        <v>7500000</v>
      </c>
      <c r="G229" s="8">
        <f>ROUND('Criaturas - Base de Dados'!I39*'Sistema de Raridade e Evolução'!E7,0)</f>
        <v>4500</v>
      </c>
      <c r="H229" s="8">
        <f>ROUND('Criaturas - Base de Dados'!J39*'Sistema de Raridade e Evolução'!E7,0)</f>
        <v>3750</v>
      </c>
      <c r="I229" s="8">
        <f>ROUND('Criaturas - Base de Dados'!K39*'Sistema de Raridade e Evolução'!E7,0)</f>
        <v>24000</v>
      </c>
      <c r="J229" s="8">
        <f>'Sistema de Raridade e Evolução'!D7</f>
        <v>91</v>
      </c>
      <c r="K229" s="8" t="s">
        <v>925</v>
      </c>
      <c r="L229" s="9">
        <f t="shared" si="3"/>
        <v>17857142.859999999</v>
      </c>
    </row>
    <row r="230" spans="1:12" ht="14.25" customHeight="1" x14ac:dyDescent="0.3">
      <c r="A230" s="8">
        <v>229</v>
      </c>
      <c r="B230" s="8" t="str">
        <f>'Criaturas - Base de Dados'!B40</f>
        <v>Véu Sombrio</v>
      </c>
      <c r="C230" s="8" t="str">
        <f>'Criaturas - Base de Dados'!C40</f>
        <v>Sombra</v>
      </c>
      <c r="D230" s="8" t="str">
        <f>'Criaturas - Base de Dados'!D40</f>
        <v>Lilim Noturna</v>
      </c>
      <c r="E230" s="8" t="str">
        <f>'Sistema de Raridade e Evolução'!B2</f>
        <v>Default</v>
      </c>
      <c r="F230" s="9" t="e">
        <f>ROUND(('Criaturas - Base de Dados'!H40*'Sistema de Raridade e Evolução'!E2)*1000,2)</f>
        <v>#VALUE!</v>
      </c>
      <c r="G230" s="8" t="e">
        <f>ROUND('Criaturas - Base de Dados'!I40*'Sistema de Raridade e Evolução'!E2,0)</f>
        <v>#VALUE!</v>
      </c>
      <c r="H230" s="8" t="e">
        <f>ROUND('Criaturas - Base de Dados'!J40*'Sistema de Raridade e Evolução'!E2,0)</f>
        <v>#VALUE!</v>
      </c>
      <c r="I230" s="8" t="e">
        <f>ROUND('Criaturas - Base de Dados'!K40*'Sistema de Raridade e Evolução'!E2,0)</f>
        <v>#VALUE!</v>
      </c>
      <c r="J230" s="8">
        <f>'Sistema de Raridade e Evolução'!D2</f>
        <v>1</v>
      </c>
      <c r="K230" s="8" t="s">
        <v>8</v>
      </c>
      <c r="L230" s="9" t="e">
        <f t="shared" si="3"/>
        <v>#VALUE!</v>
      </c>
    </row>
    <row r="231" spans="1:12" ht="14.25" hidden="1" customHeight="1" x14ac:dyDescent="0.3">
      <c r="A231" s="8">
        <v>230</v>
      </c>
      <c r="B231" s="8" t="str">
        <f>'Criaturas - Base de Dados'!B40</f>
        <v>Véu Sombrio</v>
      </c>
      <c r="C231" s="8" t="str">
        <f>'Criaturas - Base de Dados'!C40</f>
        <v>Sombra</v>
      </c>
      <c r="D231" s="8" t="str">
        <f>'Criaturas - Base de Dados'!D40</f>
        <v>Lilim Noturna</v>
      </c>
      <c r="E231" s="8" t="str">
        <f>'Sistema de Raridade e Evolução'!B3</f>
        <v>Bronze</v>
      </c>
      <c r="F231" s="9">
        <f>ROUND(('Criaturas - Base de Dados'!H40*'Sistema de Raridade e Evolução'!E3)*1000,2)</f>
        <v>69000</v>
      </c>
      <c r="G231" s="8">
        <f>ROUND('Criaturas - Base de Dados'!I40*'Sistema de Raridade e Evolução'!E3,0)</f>
        <v>41</v>
      </c>
      <c r="H231" s="8">
        <f>ROUND('Criaturas - Base de Dados'!J40*'Sistema de Raridade e Evolução'!E3,0)</f>
        <v>34</v>
      </c>
      <c r="I231" s="8">
        <f>ROUND('Criaturas - Base de Dados'!K40*'Sistema de Raridade e Evolução'!E3,0)</f>
        <v>221</v>
      </c>
      <c r="J231" s="8">
        <f>'Sistema de Raridade e Evolução'!D3</f>
        <v>6</v>
      </c>
      <c r="K231" s="8" t="s">
        <v>9</v>
      </c>
      <c r="L231" s="9">
        <f t="shared" si="3"/>
        <v>164285.71</v>
      </c>
    </row>
    <row r="232" spans="1:12" ht="14.25" hidden="1" customHeight="1" x14ac:dyDescent="0.3">
      <c r="A232" s="8">
        <v>231</v>
      </c>
      <c r="B232" s="8" t="str">
        <f>'Criaturas - Base de Dados'!B40</f>
        <v>Véu Sombrio</v>
      </c>
      <c r="C232" s="8" t="str">
        <f>'Criaturas - Base de Dados'!C40</f>
        <v>Sombra</v>
      </c>
      <c r="D232" s="8" t="str">
        <f>'Criaturas - Base de Dados'!D40</f>
        <v>Lilim Noturna</v>
      </c>
      <c r="E232" s="8" t="str">
        <f>'Sistema de Raridade e Evolução'!B4</f>
        <v>Prata</v>
      </c>
      <c r="F232" s="9">
        <f>ROUND(('Criaturas - Base de Dados'!H40*'Sistema de Raridade e Evolução'!E4)*1000,2)</f>
        <v>414000</v>
      </c>
      <c r="G232" s="8">
        <f>ROUND('Criaturas - Base de Dados'!I40*'Sistema de Raridade e Evolução'!E4,0)</f>
        <v>246</v>
      </c>
      <c r="H232" s="8">
        <f>ROUND('Criaturas - Base de Dados'!J40*'Sistema de Raridade e Evolução'!E4,0)</f>
        <v>204</v>
      </c>
      <c r="I232" s="8">
        <f>ROUND('Criaturas - Base de Dados'!K40*'Sistema de Raridade e Evolução'!E4,0)</f>
        <v>1326</v>
      </c>
      <c r="J232" s="8">
        <f>'Sistema de Raridade e Evolução'!D4</f>
        <v>16</v>
      </c>
      <c r="K232" s="8" t="s">
        <v>10</v>
      </c>
      <c r="L232" s="9">
        <f t="shared" si="3"/>
        <v>985714.29</v>
      </c>
    </row>
    <row r="233" spans="1:12" ht="14.25" hidden="1" customHeight="1" x14ac:dyDescent="0.3">
      <c r="A233" s="8">
        <v>232</v>
      </c>
      <c r="B233" s="8" t="str">
        <f>'Criaturas - Base de Dados'!B40</f>
        <v>Véu Sombrio</v>
      </c>
      <c r="C233" s="8" t="str">
        <f>'Criaturas - Base de Dados'!C40</f>
        <v>Sombra</v>
      </c>
      <c r="D233" s="8" t="str">
        <f>'Criaturas - Base de Dados'!D40</f>
        <v>Lilim Noturna</v>
      </c>
      <c r="E233" s="8" t="str">
        <f>'Sistema de Raridade e Evolução'!B5</f>
        <v>Ouro</v>
      </c>
      <c r="F233" s="9">
        <f>ROUND(('Criaturas - Base de Dados'!H40*'Sistema de Raridade e Evolução'!E5)*1000,2)</f>
        <v>1242000</v>
      </c>
      <c r="G233" s="8">
        <f>ROUND('Criaturas - Base de Dados'!I40*'Sistema de Raridade e Evolução'!E5,0)</f>
        <v>738</v>
      </c>
      <c r="H233" s="8">
        <f>ROUND('Criaturas - Base de Dados'!J40*'Sistema de Raridade e Evolução'!E5,0)</f>
        <v>612</v>
      </c>
      <c r="I233" s="8">
        <f>ROUND('Criaturas - Base de Dados'!K40*'Sistema de Raridade e Evolução'!E5,0)</f>
        <v>3978</v>
      </c>
      <c r="J233" s="8">
        <f>'Sistema de Raridade e Evolução'!D5</f>
        <v>31</v>
      </c>
      <c r="K233" s="8" t="s">
        <v>11</v>
      </c>
      <c r="L233" s="9">
        <f t="shared" si="3"/>
        <v>2957142.86</v>
      </c>
    </row>
    <row r="234" spans="1:12" ht="14.25" hidden="1" customHeight="1" x14ac:dyDescent="0.3">
      <c r="A234" s="8">
        <v>233</v>
      </c>
      <c r="B234" s="8" t="str">
        <f>'Criaturas - Base de Dados'!B40</f>
        <v>Véu Sombrio</v>
      </c>
      <c r="C234" s="8" t="str">
        <f>'Criaturas - Base de Dados'!C40</f>
        <v>Sombra</v>
      </c>
      <c r="D234" s="8" t="str">
        <f>'Criaturas - Base de Dados'!D40</f>
        <v>Lilim Noturna</v>
      </c>
      <c r="E234" s="8" t="str">
        <f>'Sistema de Raridade e Evolução'!B6</f>
        <v>Platina</v>
      </c>
      <c r="F234" s="9">
        <f>ROUND(('Criaturas - Base de Dados'!H40*'Sistema de Raridade e Evolução'!E6)*1000,2)</f>
        <v>3450000</v>
      </c>
      <c r="G234" s="8">
        <f>ROUND('Criaturas - Base de Dados'!I40*'Sistema de Raridade e Evolução'!E6,0)</f>
        <v>2050</v>
      </c>
      <c r="H234" s="8">
        <f>ROUND('Criaturas - Base de Dados'!J40*'Sistema de Raridade e Evolução'!E6,0)</f>
        <v>1700</v>
      </c>
      <c r="I234" s="8">
        <f>ROUND('Criaturas - Base de Dados'!K40*'Sistema de Raridade e Evolução'!E6,0)</f>
        <v>11050</v>
      </c>
      <c r="J234" s="8">
        <f>'Sistema de Raridade e Evolução'!D6</f>
        <v>56</v>
      </c>
      <c r="K234" s="8" t="s">
        <v>12</v>
      </c>
      <c r="L234" s="9">
        <f t="shared" si="3"/>
        <v>8214285.71</v>
      </c>
    </row>
    <row r="235" spans="1:12" ht="14.25" hidden="1" customHeight="1" x14ac:dyDescent="0.3">
      <c r="A235" s="8">
        <v>234</v>
      </c>
      <c r="B235" s="8" t="str">
        <f>'Criaturas - Base de Dados'!B40</f>
        <v>Véu Sombrio</v>
      </c>
      <c r="C235" s="8" t="str">
        <f>'Criaturas - Base de Dados'!C40</f>
        <v>Sombra</v>
      </c>
      <c r="D235" s="8" t="str">
        <f>'Criaturas - Base de Dados'!D40</f>
        <v>Lilim Noturna</v>
      </c>
      <c r="E235" s="8" t="str">
        <f>'Sistema de Raridade e Evolução'!B7</f>
        <v>Lendário</v>
      </c>
      <c r="F235" s="9">
        <f>ROUND(('Criaturas - Base de Dados'!H40*'Sistema de Raridade e Evolução'!E7)*1000,2)</f>
        <v>10350000</v>
      </c>
      <c r="G235" s="8">
        <f>ROUND('Criaturas - Base de Dados'!I40*'Sistema de Raridade e Evolução'!E7,0)</f>
        <v>6150</v>
      </c>
      <c r="H235" s="8">
        <f>ROUND('Criaturas - Base de Dados'!J40*'Sistema de Raridade e Evolução'!E7,0)</f>
        <v>5100</v>
      </c>
      <c r="I235" s="8">
        <f>ROUND('Criaturas - Base de Dados'!K40*'Sistema de Raridade e Evolução'!E7,0)</f>
        <v>33150</v>
      </c>
      <c r="J235" s="8">
        <f>'Sistema de Raridade e Evolução'!D7</f>
        <v>91</v>
      </c>
      <c r="K235" s="8" t="s">
        <v>925</v>
      </c>
      <c r="L235" s="9">
        <f t="shared" si="3"/>
        <v>24642857.140000001</v>
      </c>
    </row>
    <row r="236" spans="1:12" ht="14.25" customHeight="1" x14ac:dyDescent="0.3">
      <c r="A236" s="8">
        <v>235</v>
      </c>
      <c r="B236" s="8" t="str">
        <f>'Criaturas - Base de Dados'!B41</f>
        <v>Véu Sombrio</v>
      </c>
      <c r="C236" s="8" t="str">
        <f>'Criaturas - Base de Dados'!C41</f>
        <v>Sombra</v>
      </c>
      <c r="D236" s="8" t="str">
        <f>'Criaturas - Base de Dados'!D41</f>
        <v>Djinn das Sombras</v>
      </c>
      <c r="E236" s="8" t="str">
        <f>'Sistema de Raridade e Evolução'!B2</f>
        <v>Default</v>
      </c>
      <c r="F236" s="9" t="e">
        <f>ROUND(('Criaturas - Base de Dados'!H41*'Sistema de Raridade e Evolução'!E2)*1000,2)</f>
        <v>#VALUE!</v>
      </c>
      <c r="G236" s="8" t="e">
        <f>ROUND('Criaturas - Base de Dados'!I41*'Sistema de Raridade e Evolução'!E2,0)</f>
        <v>#VALUE!</v>
      </c>
      <c r="H236" s="8" t="e">
        <f>ROUND('Criaturas - Base de Dados'!J41*'Sistema de Raridade e Evolução'!E2,0)</f>
        <v>#VALUE!</v>
      </c>
      <c r="I236" s="8" t="e">
        <f>ROUND('Criaturas - Base de Dados'!K41*'Sistema de Raridade e Evolução'!E2,0)</f>
        <v>#VALUE!</v>
      </c>
      <c r="J236" s="8">
        <f>'Sistema de Raridade e Evolução'!D2</f>
        <v>1</v>
      </c>
      <c r="K236" s="8" t="s">
        <v>8</v>
      </c>
      <c r="L236" s="9" t="e">
        <f t="shared" si="3"/>
        <v>#VALUE!</v>
      </c>
    </row>
    <row r="237" spans="1:12" ht="14.25" hidden="1" customHeight="1" x14ac:dyDescent="0.3">
      <c r="A237" s="8">
        <v>236</v>
      </c>
      <c r="B237" s="8" t="str">
        <f>'Criaturas - Base de Dados'!B41</f>
        <v>Véu Sombrio</v>
      </c>
      <c r="C237" s="8" t="str">
        <f>'Criaturas - Base de Dados'!C41</f>
        <v>Sombra</v>
      </c>
      <c r="D237" s="8" t="str">
        <f>'Criaturas - Base de Dados'!D41</f>
        <v>Djinn das Sombras</v>
      </c>
      <c r="E237" s="8" t="str">
        <f>'Sistema de Raridade e Evolução'!B3</f>
        <v>Bronze</v>
      </c>
      <c r="F237" s="9">
        <f>ROUND(('Criaturas - Base de Dados'!H41*'Sistema de Raridade e Evolução'!E3)*1000,2)</f>
        <v>71000</v>
      </c>
      <c r="G237" s="8">
        <f>ROUND('Criaturas - Base de Dados'!I41*'Sistema de Raridade e Evolução'!E3,0)</f>
        <v>43</v>
      </c>
      <c r="H237" s="8">
        <f>ROUND('Criaturas - Base de Dados'!J41*'Sistema de Raridade e Evolução'!E3,0)</f>
        <v>36</v>
      </c>
      <c r="I237" s="8">
        <f>ROUND('Criaturas - Base de Dados'!K41*'Sistema de Raridade e Evolução'!E3,0)</f>
        <v>227</v>
      </c>
      <c r="J237" s="8">
        <f>'Sistema de Raridade e Evolução'!D3</f>
        <v>6</v>
      </c>
      <c r="K237" s="8" t="s">
        <v>9</v>
      </c>
      <c r="L237" s="9">
        <f t="shared" si="3"/>
        <v>169047.62</v>
      </c>
    </row>
    <row r="238" spans="1:12" ht="14.25" hidden="1" customHeight="1" x14ac:dyDescent="0.3">
      <c r="A238" s="8">
        <v>237</v>
      </c>
      <c r="B238" s="8" t="str">
        <f>'Criaturas - Base de Dados'!B41</f>
        <v>Véu Sombrio</v>
      </c>
      <c r="C238" s="8" t="str">
        <f>'Criaturas - Base de Dados'!C41</f>
        <v>Sombra</v>
      </c>
      <c r="D238" s="8" t="str">
        <f>'Criaturas - Base de Dados'!D41</f>
        <v>Djinn das Sombras</v>
      </c>
      <c r="E238" s="8" t="str">
        <f>'Sistema de Raridade e Evolução'!B4</f>
        <v>Prata</v>
      </c>
      <c r="F238" s="9">
        <f>ROUND(('Criaturas - Base de Dados'!H41*'Sistema de Raridade e Evolução'!E4)*1000,2)</f>
        <v>426000</v>
      </c>
      <c r="G238" s="8">
        <f>ROUND('Criaturas - Base de Dados'!I41*'Sistema de Raridade e Evolução'!E4,0)</f>
        <v>258</v>
      </c>
      <c r="H238" s="8">
        <f>ROUND('Criaturas - Base de Dados'!J41*'Sistema de Raridade e Evolução'!E4,0)</f>
        <v>216</v>
      </c>
      <c r="I238" s="8">
        <f>ROUND('Criaturas - Base de Dados'!K41*'Sistema de Raridade e Evolução'!E4,0)</f>
        <v>1362</v>
      </c>
      <c r="J238" s="8">
        <f>'Sistema de Raridade e Evolução'!D4</f>
        <v>16</v>
      </c>
      <c r="K238" s="8" t="s">
        <v>10</v>
      </c>
      <c r="L238" s="9">
        <f t="shared" si="3"/>
        <v>1014285.71</v>
      </c>
    </row>
    <row r="239" spans="1:12" ht="14.25" hidden="1" customHeight="1" x14ac:dyDescent="0.3">
      <c r="A239" s="8">
        <v>238</v>
      </c>
      <c r="B239" s="8" t="str">
        <f>'Criaturas - Base de Dados'!B41</f>
        <v>Véu Sombrio</v>
      </c>
      <c r="C239" s="8" t="str">
        <f>'Criaturas - Base de Dados'!C41</f>
        <v>Sombra</v>
      </c>
      <c r="D239" s="8" t="str">
        <f>'Criaturas - Base de Dados'!D41</f>
        <v>Djinn das Sombras</v>
      </c>
      <c r="E239" s="8" t="str">
        <f>'Sistema de Raridade e Evolução'!B5</f>
        <v>Ouro</v>
      </c>
      <c r="F239" s="9">
        <f>ROUND(('Criaturas - Base de Dados'!H41*'Sistema de Raridade e Evolução'!E5)*1000,2)</f>
        <v>1278000</v>
      </c>
      <c r="G239" s="8">
        <f>ROUND('Criaturas - Base de Dados'!I41*'Sistema de Raridade e Evolução'!E5,0)</f>
        <v>774</v>
      </c>
      <c r="H239" s="8">
        <f>ROUND('Criaturas - Base de Dados'!J41*'Sistema de Raridade e Evolução'!E5,0)</f>
        <v>648</v>
      </c>
      <c r="I239" s="8">
        <f>ROUND('Criaturas - Base de Dados'!K41*'Sistema de Raridade e Evolução'!E5,0)</f>
        <v>4086</v>
      </c>
      <c r="J239" s="8">
        <f>'Sistema de Raridade e Evolução'!D5</f>
        <v>31</v>
      </c>
      <c r="K239" s="8" t="s">
        <v>11</v>
      </c>
      <c r="L239" s="9">
        <f t="shared" si="3"/>
        <v>3042857.14</v>
      </c>
    </row>
    <row r="240" spans="1:12" ht="14.25" hidden="1" customHeight="1" x14ac:dyDescent="0.3">
      <c r="A240" s="8">
        <v>239</v>
      </c>
      <c r="B240" s="8" t="str">
        <f>'Criaturas - Base de Dados'!B41</f>
        <v>Véu Sombrio</v>
      </c>
      <c r="C240" s="8" t="str">
        <f>'Criaturas - Base de Dados'!C41</f>
        <v>Sombra</v>
      </c>
      <c r="D240" s="8" t="str">
        <f>'Criaturas - Base de Dados'!D41</f>
        <v>Djinn das Sombras</v>
      </c>
      <c r="E240" s="8" t="str">
        <f>'Sistema de Raridade e Evolução'!B6</f>
        <v>Platina</v>
      </c>
      <c r="F240" s="9">
        <f>ROUND(('Criaturas - Base de Dados'!H41*'Sistema de Raridade e Evolução'!E6)*1000,2)</f>
        <v>3550000</v>
      </c>
      <c r="G240" s="8">
        <f>ROUND('Criaturas - Base de Dados'!I41*'Sistema de Raridade e Evolução'!E6,0)</f>
        <v>2150</v>
      </c>
      <c r="H240" s="8">
        <f>ROUND('Criaturas - Base de Dados'!J41*'Sistema de Raridade e Evolução'!E6,0)</f>
        <v>1800</v>
      </c>
      <c r="I240" s="8">
        <f>ROUND('Criaturas - Base de Dados'!K41*'Sistema de Raridade e Evolução'!E6,0)</f>
        <v>11350</v>
      </c>
      <c r="J240" s="8">
        <f>'Sistema de Raridade e Evolução'!D6</f>
        <v>56</v>
      </c>
      <c r="K240" s="8" t="s">
        <v>12</v>
      </c>
      <c r="L240" s="9">
        <f t="shared" si="3"/>
        <v>8452380.9499999993</v>
      </c>
    </row>
    <row r="241" spans="1:12" ht="14.25" hidden="1" customHeight="1" x14ac:dyDescent="0.3">
      <c r="A241" s="8">
        <v>240</v>
      </c>
      <c r="B241" s="8" t="str">
        <f>'Criaturas - Base de Dados'!B41</f>
        <v>Véu Sombrio</v>
      </c>
      <c r="C241" s="8" t="str">
        <f>'Criaturas - Base de Dados'!C41</f>
        <v>Sombra</v>
      </c>
      <c r="D241" s="8" t="str">
        <f>'Criaturas - Base de Dados'!D41</f>
        <v>Djinn das Sombras</v>
      </c>
      <c r="E241" s="8" t="str">
        <f>'Sistema de Raridade e Evolução'!B7</f>
        <v>Lendário</v>
      </c>
      <c r="F241" s="9">
        <f>ROUND(('Criaturas - Base de Dados'!H41*'Sistema de Raridade e Evolução'!E7)*1000,2)</f>
        <v>10650000</v>
      </c>
      <c r="G241" s="8">
        <f>ROUND('Criaturas - Base de Dados'!I41*'Sistema de Raridade e Evolução'!E7,0)</f>
        <v>6450</v>
      </c>
      <c r="H241" s="8">
        <f>ROUND('Criaturas - Base de Dados'!J41*'Sistema de Raridade e Evolução'!E7,0)</f>
        <v>5400</v>
      </c>
      <c r="I241" s="8">
        <f>ROUND('Criaturas - Base de Dados'!K41*'Sistema de Raridade e Evolução'!E7,0)</f>
        <v>34050</v>
      </c>
      <c r="J241" s="8">
        <f>'Sistema de Raridade e Evolução'!D7</f>
        <v>91</v>
      </c>
      <c r="K241" s="8" t="s">
        <v>925</v>
      </c>
      <c r="L241" s="9">
        <f t="shared" si="3"/>
        <v>25357142.859999999</v>
      </c>
    </row>
    <row r="242" spans="1:12" ht="14.25" customHeight="1" x14ac:dyDescent="0.3">
      <c r="A242" s="8">
        <v>241</v>
      </c>
      <c r="B242" s="8" t="str">
        <f>'Criaturas - Base de Dados'!B42</f>
        <v>Fúria Selvagem</v>
      </c>
      <c r="C242" s="8" t="str">
        <f>'Criaturas - Base de Dados'!C42</f>
        <v>Natureza</v>
      </c>
      <c r="D242" s="8" t="str">
        <f>'Criaturas - Base de Dados'!D42</f>
        <v>Cérbero Guardião</v>
      </c>
      <c r="E242" s="8" t="str">
        <f>'Sistema de Raridade e Evolução'!B2</f>
        <v>Default</v>
      </c>
      <c r="F242" s="9" t="e">
        <f>ROUND(('Criaturas - Base de Dados'!H42*'Sistema de Raridade e Evolução'!E2)*1000,2)</f>
        <v>#VALUE!</v>
      </c>
      <c r="G242" s="8" t="e">
        <f>ROUND('Criaturas - Base de Dados'!I42*'Sistema de Raridade e Evolução'!E2,0)</f>
        <v>#VALUE!</v>
      </c>
      <c r="H242" s="8" t="e">
        <f>ROUND('Criaturas - Base de Dados'!J42*'Sistema de Raridade e Evolução'!E2,0)</f>
        <v>#VALUE!</v>
      </c>
      <c r="I242" s="8" t="e">
        <f>ROUND('Criaturas - Base de Dados'!K42*'Sistema de Raridade e Evolução'!E2,0)</f>
        <v>#VALUE!</v>
      </c>
      <c r="J242" s="8">
        <f>'Sistema de Raridade e Evolução'!D2</f>
        <v>1</v>
      </c>
      <c r="K242" s="8" t="s">
        <v>8</v>
      </c>
      <c r="L242" s="9" t="e">
        <f t="shared" si="3"/>
        <v>#VALUE!</v>
      </c>
    </row>
    <row r="243" spans="1:12" ht="14.25" hidden="1" customHeight="1" x14ac:dyDescent="0.3">
      <c r="A243" s="8">
        <v>242</v>
      </c>
      <c r="B243" s="8" t="str">
        <f>'Criaturas - Base de Dados'!B42</f>
        <v>Fúria Selvagem</v>
      </c>
      <c r="C243" s="8" t="str">
        <f>'Criaturas - Base de Dados'!C42</f>
        <v>Natureza</v>
      </c>
      <c r="D243" s="8" t="str">
        <f>'Criaturas - Base de Dados'!D42</f>
        <v>Cérbero Guardião</v>
      </c>
      <c r="E243" s="8" t="str">
        <f>'Sistema de Raridade e Evolução'!B3</f>
        <v>Bronze</v>
      </c>
      <c r="F243" s="9">
        <f>ROUND(('Criaturas - Base de Dados'!H42*'Sistema de Raridade e Evolução'!E3)*1000,2)</f>
        <v>10000</v>
      </c>
      <c r="G243" s="8">
        <f>ROUND('Criaturas - Base de Dados'!I42*'Sistema de Raridade e Evolução'!E3,0)</f>
        <v>6</v>
      </c>
      <c r="H243" s="8">
        <f>ROUND('Criaturas - Base de Dados'!J42*'Sistema de Raridade e Evolução'!E3,0)</f>
        <v>5</v>
      </c>
      <c r="I243" s="8">
        <f>ROUND('Criaturas - Base de Dados'!K42*'Sistema de Raridade e Evolução'!E3,0)</f>
        <v>32</v>
      </c>
      <c r="J243" s="8">
        <f>'Sistema de Raridade e Evolução'!D3</f>
        <v>6</v>
      </c>
      <c r="K243" s="8" t="s">
        <v>9</v>
      </c>
      <c r="L243" s="9">
        <f t="shared" si="3"/>
        <v>23809.52</v>
      </c>
    </row>
    <row r="244" spans="1:12" ht="14.25" hidden="1" customHeight="1" x14ac:dyDescent="0.3">
      <c r="A244" s="8">
        <v>243</v>
      </c>
      <c r="B244" s="8" t="str">
        <f>'Criaturas - Base de Dados'!B42</f>
        <v>Fúria Selvagem</v>
      </c>
      <c r="C244" s="8" t="str">
        <f>'Criaturas - Base de Dados'!C42</f>
        <v>Natureza</v>
      </c>
      <c r="D244" s="8" t="str">
        <f>'Criaturas - Base de Dados'!D42</f>
        <v>Cérbero Guardião</v>
      </c>
      <c r="E244" s="8" t="str">
        <f>'Sistema de Raridade e Evolução'!B4</f>
        <v>Prata</v>
      </c>
      <c r="F244" s="9">
        <f>ROUND(('Criaturas - Base de Dados'!H42*'Sistema de Raridade e Evolução'!E4)*1000,2)</f>
        <v>60000</v>
      </c>
      <c r="G244" s="8">
        <f>ROUND('Criaturas - Base de Dados'!I42*'Sistema de Raridade e Evolução'!E4,0)</f>
        <v>36</v>
      </c>
      <c r="H244" s="8">
        <f>ROUND('Criaturas - Base de Dados'!J42*'Sistema de Raridade e Evolução'!E4,0)</f>
        <v>30</v>
      </c>
      <c r="I244" s="8">
        <f>ROUND('Criaturas - Base de Dados'!K42*'Sistema de Raridade e Evolução'!E4,0)</f>
        <v>192</v>
      </c>
      <c r="J244" s="8">
        <f>'Sistema de Raridade e Evolução'!D4</f>
        <v>16</v>
      </c>
      <c r="K244" s="8" t="s">
        <v>10</v>
      </c>
      <c r="L244" s="9">
        <f t="shared" si="3"/>
        <v>142857.14000000001</v>
      </c>
    </row>
    <row r="245" spans="1:12" ht="14.25" hidden="1" customHeight="1" x14ac:dyDescent="0.3">
      <c r="A245" s="8">
        <v>244</v>
      </c>
      <c r="B245" s="8" t="str">
        <f>'Criaturas - Base de Dados'!B42</f>
        <v>Fúria Selvagem</v>
      </c>
      <c r="C245" s="8" t="str">
        <f>'Criaturas - Base de Dados'!C42</f>
        <v>Natureza</v>
      </c>
      <c r="D245" s="8" t="str">
        <f>'Criaturas - Base de Dados'!D42</f>
        <v>Cérbero Guardião</v>
      </c>
      <c r="E245" s="8" t="str">
        <f>'Sistema de Raridade e Evolução'!B5</f>
        <v>Ouro</v>
      </c>
      <c r="F245" s="9">
        <f>ROUND(('Criaturas - Base de Dados'!H42*'Sistema de Raridade e Evolução'!E5)*1000,2)</f>
        <v>180000</v>
      </c>
      <c r="G245" s="8">
        <f>ROUND('Criaturas - Base de Dados'!I42*'Sistema de Raridade e Evolução'!E5,0)</f>
        <v>108</v>
      </c>
      <c r="H245" s="8">
        <f>ROUND('Criaturas - Base de Dados'!J42*'Sistema de Raridade e Evolução'!E5,0)</f>
        <v>90</v>
      </c>
      <c r="I245" s="8">
        <f>ROUND('Criaturas - Base de Dados'!K42*'Sistema de Raridade e Evolução'!E5,0)</f>
        <v>576</v>
      </c>
      <c r="J245" s="8">
        <f>'Sistema de Raridade e Evolução'!D5</f>
        <v>31</v>
      </c>
      <c r="K245" s="8" t="s">
        <v>11</v>
      </c>
      <c r="L245" s="9">
        <f t="shared" si="3"/>
        <v>428571.43</v>
      </c>
    </row>
    <row r="246" spans="1:12" ht="14.25" hidden="1" customHeight="1" x14ac:dyDescent="0.3">
      <c r="A246" s="8">
        <v>245</v>
      </c>
      <c r="B246" s="8" t="str">
        <f>'Criaturas - Base de Dados'!B42</f>
        <v>Fúria Selvagem</v>
      </c>
      <c r="C246" s="8" t="str">
        <f>'Criaturas - Base de Dados'!C42</f>
        <v>Natureza</v>
      </c>
      <c r="D246" s="8" t="str">
        <f>'Criaturas - Base de Dados'!D42</f>
        <v>Cérbero Guardião</v>
      </c>
      <c r="E246" s="8" t="str">
        <f>'Sistema de Raridade e Evolução'!B6</f>
        <v>Platina</v>
      </c>
      <c r="F246" s="9">
        <f>ROUND(('Criaturas - Base de Dados'!H42*'Sistema de Raridade e Evolução'!E6)*1000,2)</f>
        <v>500000</v>
      </c>
      <c r="G246" s="8">
        <f>ROUND('Criaturas - Base de Dados'!I42*'Sistema de Raridade e Evolução'!E6,0)</f>
        <v>300</v>
      </c>
      <c r="H246" s="8">
        <f>ROUND('Criaturas - Base de Dados'!J42*'Sistema de Raridade e Evolução'!E6,0)</f>
        <v>250</v>
      </c>
      <c r="I246" s="8">
        <f>ROUND('Criaturas - Base de Dados'!K42*'Sistema de Raridade e Evolução'!E6,0)</f>
        <v>1600</v>
      </c>
      <c r="J246" s="8">
        <f>'Sistema de Raridade e Evolução'!D6</f>
        <v>56</v>
      </c>
      <c r="K246" s="8" t="s">
        <v>12</v>
      </c>
      <c r="L246" s="9">
        <f t="shared" si="3"/>
        <v>1190476.19</v>
      </c>
    </row>
    <row r="247" spans="1:12" ht="14.25" hidden="1" customHeight="1" x14ac:dyDescent="0.3">
      <c r="A247" s="8">
        <v>246</v>
      </c>
      <c r="B247" s="8" t="str">
        <f>'Criaturas - Base de Dados'!B42</f>
        <v>Fúria Selvagem</v>
      </c>
      <c r="C247" s="8" t="str">
        <f>'Criaturas - Base de Dados'!C42</f>
        <v>Natureza</v>
      </c>
      <c r="D247" s="8" t="str">
        <f>'Criaturas - Base de Dados'!D42</f>
        <v>Cérbero Guardião</v>
      </c>
      <c r="E247" s="8" t="str">
        <f>'Sistema de Raridade e Evolução'!B7</f>
        <v>Lendário</v>
      </c>
      <c r="F247" s="9">
        <f>ROUND(('Criaturas - Base de Dados'!H42*'Sistema de Raridade e Evolução'!E7)*1000,2)</f>
        <v>1500000</v>
      </c>
      <c r="G247" s="8">
        <f>ROUND('Criaturas - Base de Dados'!I42*'Sistema de Raridade e Evolução'!E7,0)</f>
        <v>900</v>
      </c>
      <c r="H247" s="8">
        <f>ROUND('Criaturas - Base de Dados'!J42*'Sistema de Raridade e Evolução'!E7,0)</f>
        <v>750</v>
      </c>
      <c r="I247" s="8">
        <f>ROUND('Criaturas - Base de Dados'!K42*'Sistema de Raridade e Evolução'!E7,0)</f>
        <v>4800</v>
      </c>
      <c r="J247" s="8">
        <f>'Sistema de Raridade e Evolução'!D7</f>
        <v>91</v>
      </c>
      <c r="K247" s="8" t="s">
        <v>925</v>
      </c>
      <c r="L247" s="9">
        <f t="shared" si="3"/>
        <v>3571428.57</v>
      </c>
    </row>
    <row r="248" spans="1:12" ht="14.25" customHeight="1" x14ac:dyDescent="0.3">
      <c r="A248" s="8">
        <v>247</v>
      </c>
      <c r="B248" s="8" t="str">
        <f>'Criaturas - Base de Dados'!B43</f>
        <v>Fúria Selvagem</v>
      </c>
      <c r="C248" s="8" t="str">
        <f>'Criaturas - Base de Dados'!C43</f>
        <v>Natureza</v>
      </c>
      <c r="D248" s="8" t="str">
        <f>'Criaturas - Base de Dados'!D43</f>
        <v>Minotauro do Labirinto</v>
      </c>
      <c r="E248" s="8" t="str">
        <f>'Sistema de Raridade e Evolução'!B2</f>
        <v>Default</v>
      </c>
      <c r="F248" s="9" t="e">
        <f>ROUND(('Criaturas - Base de Dados'!H43*'Sistema de Raridade e Evolução'!E2)*1000,2)</f>
        <v>#VALUE!</v>
      </c>
      <c r="G248" s="8" t="e">
        <f>ROUND('Criaturas - Base de Dados'!I43*'Sistema de Raridade e Evolução'!E2,0)</f>
        <v>#VALUE!</v>
      </c>
      <c r="H248" s="8" t="e">
        <f>ROUND('Criaturas - Base de Dados'!J43*'Sistema de Raridade e Evolução'!E2,0)</f>
        <v>#VALUE!</v>
      </c>
      <c r="I248" s="8" t="e">
        <f>ROUND('Criaturas - Base de Dados'!K43*'Sistema de Raridade e Evolução'!E2,0)</f>
        <v>#VALUE!</v>
      </c>
      <c r="J248" s="8">
        <f>'Sistema de Raridade e Evolução'!D2</f>
        <v>1</v>
      </c>
      <c r="K248" s="8" t="s">
        <v>8</v>
      </c>
      <c r="L248" s="9" t="e">
        <f t="shared" si="3"/>
        <v>#VALUE!</v>
      </c>
    </row>
    <row r="249" spans="1:12" ht="14.25" hidden="1" customHeight="1" x14ac:dyDescent="0.3">
      <c r="A249" s="8">
        <v>248</v>
      </c>
      <c r="B249" s="8" t="str">
        <f>'Criaturas - Base de Dados'!B43</f>
        <v>Fúria Selvagem</v>
      </c>
      <c r="C249" s="8" t="str">
        <f>'Criaturas - Base de Dados'!C43</f>
        <v>Natureza</v>
      </c>
      <c r="D249" s="8" t="str">
        <f>'Criaturas - Base de Dados'!D43</f>
        <v>Minotauro do Labirinto</v>
      </c>
      <c r="E249" s="8" t="str">
        <f>'Sistema de Raridade e Evolução'!B3</f>
        <v>Bronze</v>
      </c>
      <c r="F249" s="9">
        <f>ROUND(('Criaturas - Base de Dados'!H43*'Sistema de Raridade e Evolução'!E3)*1000,2)</f>
        <v>12000</v>
      </c>
      <c r="G249" s="8">
        <f>ROUND('Criaturas - Base de Dados'!I43*'Sistema de Raridade e Evolução'!E3,0)</f>
        <v>7</v>
      </c>
      <c r="H249" s="8">
        <f>ROUND('Criaturas - Base de Dados'!J43*'Sistema de Raridade e Evolução'!E3,0)</f>
        <v>6</v>
      </c>
      <c r="I249" s="8">
        <f>ROUND('Criaturas - Base de Dados'!K43*'Sistema de Raridade e Evolução'!E3,0)</f>
        <v>38</v>
      </c>
      <c r="J249" s="8">
        <f>'Sistema de Raridade e Evolução'!D3</f>
        <v>6</v>
      </c>
      <c r="K249" s="8" t="s">
        <v>9</v>
      </c>
      <c r="L249" s="9">
        <f t="shared" si="3"/>
        <v>28571.43</v>
      </c>
    </row>
    <row r="250" spans="1:12" ht="14.25" hidden="1" customHeight="1" x14ac:dyDescent="0.3">
      <c r="A250" s="8">
        <v>249</v>
      </c>
      <c r="B250" s="8" t="str">
        <f>'Criaturas - Base de Dados'!B43</f>
        <v>Fúria Selvagem</v>
      </c>
      <c r="C250" s="8" t="str">
        <f>'Criaturas - Base de Dados'!C43</f>
        <v>Natureza</v>
      </c>
      <c r="D250" s="8" t="str">
        <f>'Criaturas - Base de Dados'!D43</f>
        <v>Minotauro do Labirinto</v>
      </c>
      <c r="E250" s="8" t="str">
        <f>'Sistema de Raridade e Evolução'!B4</f>
        <v>Prata</v>
      </c>
      <c r="F250" s="9">
        <f>ROUND(('Criaturas - Base de Dados'!H43*'Sistema de Raridade e Evolução'!E4)*1000,2)</f>
        <v>72000</v>
      </c>
      <c r="G250" s="8">
        <f>ROUND('Criaturas - Base de Dados'!I43*'Sistema de Raridade e Evolução'!E4,0)</f>
        <v>42</v>
      </c>
      <c r="H250" s="8">
        <f>ROUND('Criaturas - Base de Dados'!J43*'Sistema de Raridade e Evolução'!E4,0)</f>
        <v>36</v>
      </c>
      <c r="I250" s="8">
        <f>ROUND('Criaturas - Base de Dados'!K43*'Sistema de Raridade e Evolução'!E4,0)</f>
        <v>228</v>
      </c>
      <c r="J250" s="8">
        <f>'Sistema de Raridade e Evolução'!D4</f>
        <v>16</v>
      </c>
      <c r="K250" s="8" t="s">
        <v>10</v>
      </c>
      <c r="L250" s="9">
        <f t="shared" si="3"/>
        <v>171428.57</v>
      </c>
    </row>
    <row r="251" spans="1:12" ht="14.25" hidden="1" customHeight="1" x14ac:dyDescent="0.3">
      <c r="A251" s="8">
        <v>250</v>
      </c>
      <c r="B251" s="8" t="str">
        <f>'Criaturas - Base de Dados'!B43</f>
        <v>Fúria Selvagem</v>
      </c>
      <c r="C251" s="8" t="str">
        <f>'Criaturas - Base de Dados'!C43</f>
        <v>Natureza</v>
      </c>
      <c r="D251" s="8" t="str">
        <f>'Criaturas - Base de Dados'!D43</f>
        <v>Minotauro do Labirinto</v>
      </c>
      <c r="E251" s="8" t="str">
        <f>'Sistema de Raridade e Evolução'!B5</f>
        <v>Ouro</v>
      </c>
      <c r="F251" s="9">
        <f>ROUND(('Criaturas - Base de Dados'!H43*'Sistema de Raridade e Evolução'!E5)*1000,2)</f>
        <v>216000</v>
      </c>
      <c r="G251" s="8">
        <f>ROUND('Criaturas - Base de Dados'!I43*'Sistema de Raridade e Evolução'!E5,0)</f>
        <v>126</v>
      </c>
      <c r="H251" s="8">
        <f>ROUND('Criaturas - Base de Dados'!J43*'Sistema de Raridade e Evolução'!E5,0)</f>
        <v>108</v>
      </c>
      <c r="I251" s="8">
        <f>ROUND('Criaturas - Base de Dados'!K43*'Sistema de Raridade e Evolução'!E5,0)</f>
        <v>684</v>
      </c>
      <c r="J251" s="8">
        <f>'Sistema de Raridade e Evolução'!D5</f>
        <v>31</v>
      </c>
      <c r="K251" s="8" t="s">
        <v>11</v>
      </c>
      <c r="L251" s="9">
        <f t="shared" si="3"/>
        <v>514285.71</v>
      </c>
    </row>
    <row r="252" spans="1:12" ht="14.25" hidden="1" customHeight="1" x14ac:dyDescent="0.3">
      <c r="A252" s="8">
        <v>251</v>
      </c>
      <c r="B252" s="8" t="str">
        <f>'Criaturas - Base de Dados'!B43</f>
        <v>Fúria Selvagem</v>
      </c>
      <c r="C252" s="8" t="str">
        <f>'Criaturas - Base de Dados'!C43</f>
        <v>Natureza</v>
      </c>
      <c r="D252" s="8" t="str">
        <f>'Criaturas - Base de Dados'!D43</f>
        <v>Minotauro do Labirinto</v>
      </c>
      <c r="E252" s="8" t="str">
        <f>'Sistema de Raridade e Evolução'!B6</f>
        <v>Platina</v>
      </c>
      <c r="F252" s="9">
        <f>ROUND(('Criaturas - Base de Dados'!H43*'Sistema de Raridade e Evolução'!E6)*1000,2)</f>
        <v>600000</v>
      </c>
      <c r="G252" s="8">
        <f>ROUND('Criaturas - Base de Dados'!I43*'Sistema de Raridade e Evolução'!E6,0)</f>
        <v>350</v>
      </c>
      <c r="H252" s="8">
        <f>ROUND('Criaturas - Base de Dados'!J43*'Sistema de Raridade e Evolução'!E6,0)</f>
        <v>300</v>
      </c>
      <c r="I252" s="8">
        <f>ROUND('Criaturas - Base de Dados'!K43*'Sistema de Raridade e Evolução'!E6,0)</f>
        <v>1900</v>
      </c>
      <c r="J252" s="8">
        <f>'Sistema de Raridade e Evolução'!D6</f>
        <v>56</v>
      </c>
      <c r="K252" s="8" t="s">
        <v>12</v>
      </c>
      <c r="L252" s="9">
        <f t="shared" si="3"/>
        <v>1428571.43</v>
      </c>
    </row>
    <row r="253" spans="1:12" ht="14.25" hidden="1" customHeight="1" x14ac:dyDescent="0.3">
      <c r="A253" s="8">
        <v>252</v>
      </c>
      <c r="B253" s="8" t="str">
        <f>'Criaturas - Base de Dados'!B43</f>
        <v>Fúria Selvagem</v>
      </c>
      <c r="C253" s="8" t="str">
        <f>'Criaturas - Base de Dados'!C43</f>
        <v>Natureza</v>
      </c>
      <c r="D253" s="8" t="str">
        <f>'Criaturas - Base de Dados'!D43</f>
        <v>Minotauro do Labirinto</v>
      </c>
      <c r="E253" s="8" t="str">
        <f>'Sistema de Raridade e Evolução'!B7</f>
        <v>Lendário</v>
      </c>
      <c r="F253" s="9">
        <f>ROUND(('Criaturas - Base de Dados'!H43*'Sistema de Raridade e Evolução'!E7)*1000,2)</f>
        <v>1800000</v>
      </c>
      <c r="G253" s="8">
        <f>ROUND('Criaturas - Base de Dados'!I43*'Sistema de Raridade e Evolução'!E7,0)</f>
        <v>1050</v>
      </c>
      <c r="H253" s="8">
        <f>ROUND('Criaturas - Base de Dados'!J43*'Sistema de Raridade e Evolução'!E7,0)</f>
        <v>900</v>
      </c>
      <c r="I253" s="8">
        <f>ROUND('Criaturas - Base de Dados'!K43*'Sistema de Raridade e Evolução'!E7,0)</f>
        <v>5700</v>
      </c>
      <c r="J253" s="8">
        <f>'Sistema de Raridade e Evolução'!D7</f>
        <v>91</v>
      </c>
      <c r="K253" s="8" t="s">
        <v>925</v>
      </c>
      <c r="L253" s="9">
        <f t="shared" si="3"/>
        <v>4285714.29</v>
      </c>
    </row>
    <row r="254" spans="1:12" ht="14.25" customHeight="1" x14ac:dyDescent="0.3">
      <c r="A254" s="8">
        <v>253</v>
      </c>
      <c r="B254" s="8" t="str">
        <f>'Criaturas - Base de Dados'!B44</f>
        <v>Fúria Selvagem</v>
      </c>
      <c r="C254" s="8" t="str">
        <f>'Criaturas - Base de Dados'!C44</f>
        <v>Natureza</v>
      </c>
      <c r="D254" s="8" t="str">
        <f>'Criaturas - Base de Dados'!D44</f>
        <v>Wendigo da Floresta Gelada</v>
      </c>
      <c r="E254" s="8" t="str">
        <f>'Sistema de Raridade e Evolução'!B2</f>
        <v>Default</v>
      </c>
      <c r="F254" s="9" t="e">
        <f>ROUND(('Criaturas - Base de Dados'!H44*'Sistema de Raridade e Evolução'!E2)*1000,2)</f>
        <v>#VALUE!</v>
      </c>
      <c r="G254" s="8" t="e">
        <f>ROUND('Criaturas - Base de Dados'!I44*'Sistema de Raridade e Evolução'!E2,0)</f>
        <v>#VALUE!</v>
      </c>
      <c r="H254" s="8" t="e">
        <f>ROUND('Criaturas - Base de Dados'!J44*'Sistema de Raridade e Evolução'!E2,0)</f>
        <v>#VALUE!</v>
      </c>
      <c r="I254" s="8" t="e">
        <f>ROUND('Criaturas - Base de Dados'!K44*'Sistema de Raridade e Evolução'!E2,0)</f>
        <v>#VALUE!</v>
      </c>
      <c r="J254" s="8">
        <f>'Sistema de Raridade e Evolução'!D2</f>
        <v>1</v>
      </c>
      <c r="K254" s="8" t="s">
        <v>8</v>
      </c>
      <c r="L254" s="9" t="e">
        <f t="shared" si="3"/>
        <v>#VALUE!</v>
      </c>
    </row>
    <row r="255" spans="1:12" ht="14.25" hidden="1" customHeight="1" x14ac:dyDescent="0.3">
      <c r="A255" s="8">
        <v>254</v>
      </c>
      <c r="B255" s="8" t="str">
        <f>'Criaturas - Base de Dados'!B44</f>
        <v>Fúria Selvagem</v>
      </c>
      <c r="C255" s="8" t="str">
        <f>'Criaturas - Base de Dados'!C44</f>
        <v>Natureza</v>
      </c>
      <c r="D255" s="8" t="str">
        <f>'Criaturas - Base de Dados'!D44</f>
        <v>Wendigo da Floresta Gelada</v>
      </c>
      <c r="E255" s="8" t="str">
        <f>'Sistema de Raridade e Evolução'!B3</f>
        <v>Bronze</v>
      </c>
      <c r="F255" s="9">
        <f>ROUND(('Criaturas - Base de Dados'!H44*'Sistema de Raridade e Evolução'!E3)*1000,2)</f>
        <v>14000</v>
      </c>
      <c r="G255" s="8">
        <f>ROUND('Criaturas - Base de Dados'!I44*'Sistema de Raridade e Evolução'!E3,0)</f>
        <v>8</v>
      </c>
      <c r="H255" s="8">
        <f>ROUND('Criaturas - Base de Dados'!J44*'Sistema de Raridade e Evolução'!E3,0)</f>
        <v>7</v>
      </c>
      <c r="I255" s="8">
        <f>ROUND('Criaturas - Base de Dados'!K44*'Sistema de Raridade e Evolução'!E3,0)</f>
        <v>45</v>
      </c>
      <c r="J255" s="8">
        <f>'Sistema de Raridade e Evolução'!D3</f>
        <v>6</v>
      </c>
      <c r="K255" s="8" t="s">
        <v>9</v>
      </c>
      <c r="L255" s="9">
        <f t="shared" si="3"/>
        <v>33333.33</v>
      </c>
    </row>
    <row r="256" spans="1:12" ht="14.25" hidden="1" customHeight="1" x14ac:dyDescent="0.3">
      <c r="A256" s="8">
        <v>255</v>
      </c>
      <c r="B256" s="8" t="str">
        <f>'Criaturas - Base de Dados'!B44</f>
        <v>Fúria Selvagem</v>
      </c>
      <c r="C256" s="8" t="str">
        <f>'Criaturas - Base de Dados'!C44</f>
        <v>Natureza</v>
      </c>
      <c r="D256" s="8" t="str">
        <f>'Criaturas - Base de Dados'!D44</f>
        <v>Wendigo da Floresta Gelada</v>
      </c>
      <c r="E256" s="8" t="str">
        <f>'Sistema de Raridade e Evolução'!B4</f>
        <v>Prata</v>
      </c>
      <c r="F256" s="9">
        <f>ROUND(('Criaturas - Base de Dados'!H44*'Sistema de Raridade e Evolução'!E4)*1000,2)</f>
        <v>84000</v>
      </c>
      <c r="G256" s="8">
        <f>ROUND('Criaturas - Base de Dados'!I44*'Sistema de Raridade e Evolução'!E4,0)</f>
        <v>48</v>
      </c>
      <c r="H256" s="8">
        <f>ROUND('Criaturas - Base de Dados'!J44*'Sistema de Raridade e Evolução'!E4,0)</f>
        <v>42</v>
      </c>
      <c r="I256" s="8">
        <f>ROUND('Criaturas - Base de Dados'!K44*'Sistema de Raridade e Evolução'!E4,0)</f>
        <v>270</v>
      </c>
      <c r="J256" s="8">
        <f>'Sistema de Raridade e Evolução'!D4</f>
        <v>16</v>
      </c>
      <c r="K256" s="8" t="s">
        <v>10</v>
      </c>
      <c r="L256" s="9">
        <f t="shared" si="3"/>
        <v>200000</v>
      </c>
    </row>
    <row r="257" spans="1:12" ht="14.25" hidden="1" customHeight="1" x14ac:dyDescent="0.3">
      <c r="A257" s="8">
        <v>256</v>
      </c>
      <c r="B257" s="8" t="str">
        <f>'Criaturas - Base de Dados'!B44</f>
        <v>Fúria Selvagem</v>
      </c>
      <c r="C257" s="8" t="str">
        <f>'Criaturas - Base de Dados'!C44</f>
        <v>Natureza</v>
      </c>
      <c r="D257" s="8" t="str">
        <f>'Criaturas - Base de Dados'!D44</f>
        <v>Wendigo da Floresta Gelada</v>
      </c>
      <c r="E257" s="8" t="str">
        <f>'Sistema de Raridade e Evolução'!B5</f>
        <v>Ouro</v>
      </c>
      <c r="F257" s="9">
        <f>ROUND(('Criaturas - Base de Dados'!H44*'Sistema de Raridade e Evolução'!E5)*1000,2)</f>
        <v>252000</v>
      </c>
      <c r="G257" s="8">
        <f>ROUND('Criaturas - Base de Dados'!I44*'Sistema de Raridade e Evolução'!E5,0)</f>
        <v>144</v>
      </c>
      <c r="H257" s="8">
        <f>ROUND('Criaturas - Base de Dados'!J44*'Sistema de Raridade e Evolução'!E5,0)</f>
        <v>126</v>
      </c>
      <c r="I257" s="8">
        <f>ROUND('Criaturas - Base de Dados'!K44*'Sistema de Raridade e Evolução'!E5,0)</f>
        <v>810</v>
      </c>
      <c r="J257" s="8">
        <f>'Sistema de Raridade e Evolução'!D5</f>
        <v>31</v>
      </c>
      <c r="K257" s="8" t="s">
        <v>11</v>
      </c>
      <c r="L257" s="9">
        <f t="shared" si="3"/>
        <v>600000</v>
      </c>
    </row>
    <row r="258" spans="1:12" ht="14.25" hidden="1" customHeight="1" x14ac:dyDescent="0.3">
      <c r="A258" s="8">
        <v>257</v>
      </c>
      <c r="B258" s="8" t="str">
        <f>'Criaturas - Base de Dados'!B44</f>
        <v>Fúria Selvagem</v>
      </c>
      <c r="C258" s="8" t="str">
        <f>'Criaturas - Base de Dados'!C44</f>
        <v>Natureza</v>
      </c>
      <c r="D258" s="8" t="str">
        <f>'Criaturas - Base de Dados'!D44</f>
        <v>Wendigo da Floresta Gelada</v>
      </c>
      <c r="E258" s="8" t="str">
        <f>'Sistema de Raridade e Evolução'!B6</f>
        <v>Platina</v>
      </c>
      <c r="F258" s="9">
        <f>ROUND(('Criaturas - Base de Dados'!H44*'Sistema de Raridade e Evolução'!E6)*1000,2)</f>
        <v>700000</v>
      </c>
      <c r="G258" s="8">
        <f>ROUND('Criaturas - Base de Dados'!I44*'Sistema de Raridade e Evolução'!E6,0)</f>
        <v>400</v>
      </c>
      <c r="H258" s="8">
        <f>ROUND('Criaturas - Base de Dados'!J44*'Sistema de Raridade e Evolução'!E6,0)</f>
        <v>350</v>
      </c>
      <c r="I258" s="8">
        <f>ROUND('Criaturas - Base de Dados'!K44*'Sistema de Raridade e Evolução'!E6,0)</f>
        <v>2250</v>
      </c>
      <c r="J258" s="8">
        <f>'Sistema de Raridade e Evolução'!D6</f>
        <v>56</v>
      </c>
      <c r="K258" s="8" t="s">
        <v>12</v>
      </c>
      <c r="L258" s="9">
        <f t="shared" ref="L258:L321" si="4">ROUND(F258*(2.5/1.05),2)</f>
        <v>1666666.67</v>
      </c>
    </row>
    <row r="259" spans="1:12" ht="14.25" hidden="1" customHeight="1" x14ac:dyDescent="0.3">
      <c r="A259" s="8">
        <v>258</v>
      </c>
      <c r="B259" s="8" t="str">
        <f>'Criaturas - Base de Dados'!B44</f>
        <v>Fúria Selvagem</v>
      </c>
      <c r="C259" s="8" t="str">
        <f>'Criaturas - Base de Dados'!C44</f>
        <v>Natureza</v>
      </c>
      <c r="D259" s="8" t="str">
        <f>'Criaturas - Base de Dados'!D44</f>
        <v>Wendigo da Floresta Gelada</v>
      </c>
      <c r="E259" s="8" t="str">
        <f>'Sistema de Raridade e Evolução'!B7</f>
        <v>Lendário</v>
      </c>
      <c r="F259" s="9">
        <f>ROUND(('Criaturas - Base de Dados'!H44*'Sistema de Raridade e Evolução'!E7)*1000,2)</f>
        <v>2100000</v>
      </c>
      <c r="G259" s="8">
        <f>ROUND('Criaturas - Base de Dados'!I44*'Sistema de Raridade e Evolução'!E7,0)</f>
        <v>1200</v>
      </c>
      <c r="H259" s="8">
        <f>ROUND('Criaturas - Base de Dados'!J44*'Sistema de Raridade e Evolução'!E7,0)</f>
        <v>1050</v>
      </c>
      <c r="I259" s="8">
        <f>ROUND('Criaturas - Base de Dados'!K44*'Sistema de Raridade e Evolução'!E7,0)</f>
        <v>6750</v>
      </c>
      <c r="J259" s="8">
        <f>'Sistema de Raridade e Evolução'!D7</f>
        <v>91</v>
      </c>
      <c r="K259" s="8" t="s">
        <v>925</v>
      </c>
      <c r="L259" s="9">
        <f t="shared" si="4"/>
        <v>5000000</v>
      </c>
    </row>
    <row r="260" spans="1:12" ht="14.25" customHeight="1" x14ac:dyDescent="0.3">
      <c r="A260" s="8">
        <v>259</v>
      </c>
      <c r="B260" s="8" t="str">
        <f>'Criaturas - Base de Dados'!B45</f>
        <v>Fúria Selvagem</v>
      </c>
      <c r="C260" s="8" t="str">
        <f>'Criaturas - Base de Dados'!C45</f>
        <v>Natureza</v>
      </c>
      <c r="D260" s="8" t="str">
        <f>'Criaturas - Base de Dados'!D45</f>
        <v>Sasquatch Ancestral</v>
      </c>
      <c r="E260" s="8" t="str">
        <f>'Sistema de Raridade e Evolução'!B2</f>
        <v>Default</v>
      </c>
      <c r="F260" s="9" t="e">
        <f>ROUND(('Criaturas - Base de Dados'!H45*'Sistema de Raridade e Evolução'!E2)*1000,2)</f>
        <v>#VALUE!</v>
      </c>
      <c r="G260" s="8" t="e">
        <f>ROUND('Criaturas - Base de Dados'!I45*'Sistema de Raridade e Evolução'!E2,0)</f>
        <v>#VALUE!</v>
      </c>
      <c r="H260" s="8" t="e">
        <f>ROUND('Criaturas - Base de Dados'!J45*'Sistema de Raridade e Evolução'!E2,0)</f>
        <v>#VALUE!</v>
      </c>
      <c r="I260" s="8" t="e">
        <f>ROUND('Criaturas - Base de Dados'!K45*'Sistema de Raridade e Evolução'!E2,0)</f>
        <v>#VALUE!</v>
      </c>
      <c r="J260" s="8">
        <f>'Sistema de Raridade e Evolução'!D2</f>
        <v>1</v>
      </c>
      <c r="K260" s="8" t="s">
        <v>8</v>
      </c>
      <c r="L260" s="9" t="e">
        <f t="shared" si="4"/>
        <v>#VALUE!</v>
      </c>
    </row>
    <row r="261" spans="1:12" ht="14.25" hidden="1" customHeight="1" x14ac:dyDescent="0.3">
      <c r="A261" s="8">
        <v>260</v>
      </c>
      <c r="B261" s="8" t="str">
        <f>'Criaturas - Base de Dados'!B45</f>
        <v>Fúria Selvagem</v>
      </c>
      <c r="C261" s="8" t="str">
        <f>'Criaturas - Base de Dados'!C45</f>
        <v>Natureza</v>
      </c>
      <c r="D261" s="8" t="str">
        <f>'Criaturas - Base de Dados'!D45</f>
        <v>Sasquatch Ancestral</v>
      </c>
      <c r="E261" s="8" t="str">
        <f>'Sistema de Raridade e Evolução'!B3</f>
        <v>Bronze</v>
      </c>
      <c r="F261" s="9">
        <f>ROUND(('Criaturas - Base de Dados'!H45*'Sistema de Raridade e Evolução'!E3)*1000,2)</f>
        <v>16000</v>
      </c>
      <c r="G261" s="8">
        <f>ROUND('Criaturas - Base de Dados'!I45*'Sistema de Raridade e Evolução'!E3,0)</f>
        <v>10</v>
      </c>
      <c r="H261" s="8">
        <f>ROUND('Criaturas - Base de Dados'!J45*'Sistema de Raridade e Evolução'!E3,0)</f>
        <v>8</v>
      </c>
      <c r="I261" s="8">
        <f>ROUND('Criaturas - Base de Dados'!K45*'Sistema de Raridade e Evolução'!E3,0)</f>
        <v>51</v>
      </c>
      <c r="J261" s="8">
        <f>'Sistema de Raridade e Evolução'!D3</f>
        <v>6</v>
      </c>
      <c r="K261" s="8" t="s">
        <v>9</v>
      </c>
      <c r="L261" s="9">
        <f t="shared" si="4"/>
        <v>38095.24</v>
      </c>
    </row>
    <row r="262" spans="1:12" ht="14.25" hidden="1" customHeight="1" x14ac:dyDescent="0.3">
      <c r="A262" s="8">
        <v>261</v>
      </c>
      <c r="B262" s="8" t="str">
        <f>'Criaturas - Base de Dados'!B45</f>
        <v>Fúria Selvagem</v>
      </c>
      <c r="C262" s="8" t="str">
        <f>'Criaturas - Base de Dados'!C45</f>
        <v>Natureza</v>
      </c>
      <c r="D262" s="8" t="str">
        <f>'Criaturas - Base de Dados'!D45</f>
        <v>Sasquatch Ancestral</v>
      </c>
      <c r="E262" s="8" t="str">
        <f>'Sistema de Raridade e Evolução'!B4</f>
        <v>Prata</v>
      </c>
      <c r="F262" s="9">
        <f>ROUND(('Criaturas - Base de Dados'!H45*'Sistema de Raridade e Evolução'!E4)*1000,2)</f>
        <v>96000</v>
      </c>
      <c r="G262" s="8">
        <f>ROUND('Criaturas - Base de Dados'!I45*'Sistema de Raridade e Evolução'!E4,0)</f>
        <v>60</v>
      </c>
      <c r="H262" s="8">
        <f>ROUND('Criaturas - Base de Dados'!J45*'Sistema de Raridade e Evolução'!E4,0)</f>
        <v>48</v>
      </c>
      <c r="I262" s="8">
        <f>ROUND('Criaturas - Base de Dados'!K45*'Sistema de Raridade e Evolução'!E4,0)</f>
        <v>306</v>
      </c>
      <c r="J262" s="8">
        <f>'Sistema de Raridade e Evolução'!D4</f>
        <v>16</v>
      </c>
      <c r="K262" s="8" t="s">
        <v>10</v>
      </c>
      <c r="L262" s="9">
        <f t="shared" si="4"/>
        <v>228571.43</v>
      </c>
    </row>
    <row r="263" spans="1:12" ht="14.25" hidden="1" customHeight="1" x14ac:dyDescent="0.3">
      <c r="A263" s="8">
        <v>262</v>
      </c>
      <c r="B263" s="8" t="str">
        <f>'Criaturas - Base de Dados'!B45</f>
        <v>Fúria Selvagem</v>
      </c>
      <c r="C263" s="8" t="str">
        <f>'Criaturas - Base de Dados'!C45</f>
        <v>Natureza</v>
      </c>
      <c r="D263" s="8" t="str">
        <f>'Criaturas - Base de Dados'!D45</f>
        <v>Sasquatch Ancestral</v>
      </c>
      <c r="E263" s="8" t="str">
        <f>'Sistema de Raridade e Evolução'!B5</f>
        <v>Ouro</v>
      </c>
      <c r="F263" s="9">
        <f>ROUND(('Criaturas - Base de Dados'!H45*'Sistema de Raridade e Evolução'!E5)*1000,2)</f>
        <v>288000</v>
      </c>
      <c r="G263" s="8">
        <f>ROUND('Criaturas - Base de Dados'!I45*'Sistema de Raridade e Evolução'!E5,0)</f>
        <v>180</v>
      </c>
      <c r="H263" s="8">
        <f>ROUND('Criaturas - Base de Dados'!J45*'Sistema de Raridade e Evolução'!E5,0)</f>
        <v>144</v>
      </c>
      <c r="I263" s="8">
        <f>ROUND('Criaturas - Base de Dados'!K45*'Sistema de Raridade e Evolução'!E5,0)</f>
        <v>918</v>
      </c>
      <c r="J263" s="8">
        <f>'Sistema de Raridade e Evolução'!D5</f>
        <v>31</v>
      </c>
      <c r="K263" s="8" t="s">
        <v>11</v>
      </c>
      <c r="L263" s="9">
        <f t="shared" si="4"/>
        <v>685714.29</v>
      </c>
    </row>
    <row r="264" spans="1:12" ht="14.25" hidden="1" customHeight="1" x14ac:dyDescent="0.3">
      <c r="A264" s="8">
        <v>263</v>
      </c>
      <c r="B264" s="8" t="str">
        <f>'Criaturas - Base de Dados'!B45</f>
        <v>Fúria Selvagem</v>
      </c>
      <c r="C264" s="8" t="str">
        <f>'Criaturas - Base de Dados'!C45</f>
        <v>Natureza</v>
      </c>
      <c r="D264" s="8" t="str">
        <f>'Criaturas - Base de Dados'!D45</f>
        <v>Sasquatch Ancestral</v>
      </c>
      <c r="E264" s="8" t="str">
        <f>'Sistema de Raridade e Evolução'!B6</f>
        <v>Platina</v>
      </c>
      <c r="F264" s="9">
        <f>ROUND(('Criaturas - Base de Dados'!H45*'Sistema de Raridade e Evolução'!E6)*1000,2)</f>
        <v>800000</v>
      </c>
      <c r="G264" s="8">
        <f>ROUND('Criaturas - Base de Dados'!I45*'Sistema de Raridade e Evolução'!E6,0)</f>
        <v>500</v>
      </c>
      <c r="H264" s="8">
        <f>ROUND('Criaturas - Base de Dados'!J45*'Sistema de Raridade e Evolução'!E6,0)</f>
        <v>400</v>
      </c>
      <c r="I264" s="8">
        <f>ROUND('Criaturas - Base de Dados'!K45*'Sistema de Raridade e Evolução'!E6,0)</f>
        <v>2550</v>
      </c>
      <c r="J264" s="8">
        <f>'Sistema de Raridade e Evolução'!D6</f>
        <v>56</v>
      </c>
      <c r="K264" s="8" t="s">
        <v>12</v>
      </c>
      <c r="L264" s="9">
        <f t="shared" si="4"/>
        <v>1904761.9</v>
      </c>
    </row>
    <row r="265" spans="1:12" ht="14.25" hidden="1" customHeight="1" x14ac:dyDescent="0.3">
      <c r="A265" s="8">
        <v>264</v>
      </c>
      <c r="B265" s="8" t="str">
        <f>'Criaturas - Base de Dados'!B45</f>
        <v>Fúria Selvagem</v>
      </c>
      <c r="C265" s="8" t="str">
        <f>'Criaturas - Base de Dados'!C45</f>
        <v>Natureza</v>
      </c>
      <c r="D265" s="8" t="str">
        <f>'Criaturas - Base de Dados'!D45</f>
        <v>Sasquatch Ancestral</v>
      </c>
      <c r="E265" s="8" t="str">
        <f>'Sistema de Raridade e Evolução'!B7</f>
        <v>Lendário</v>
      </c>
      <c r="F265" s="9">
        <f>ROUND(('Criaturas - Base de Dados'!H45*'Sistema de Raridade e Evolução'!E7)*1000,2)</f>
        <v>2400000</v>
      </c>
      <c r="G265" s="8">
        <f>ROUND('Criaturas - Base de Dados'!I45*'Sistema de Raridade e Evolução'!E7,0)</f>
        <v>1500</v>
      </c>
      <c r="H265" s="8">
        <f>ROUND('Criaturas - Base de Dados'!J45*'Sistema de Raridade e Evolução'!E7,0)</f>
        <v>1200</v>
      </c>
      <c r="I265" s="8">
        <f>ROUND('Criaturas - Base de Dados'!K45*'Sistema de Raridade e Evolução'!E7,0)</f>
        <v>7650</v>
      </c>
      <c r="J265" s="8">
        <f>'Sistema de Raridade e Evolução'!D7</f>
        <v>91</v>
      </c>
      <c r="K265" s="8" t="s">
        <v>925</v>
      </c>
      <c r="L265" s="9">
        <f t="shared" si="4"/>
        <v>5714285.71</v>
      </c>
    </row>
    <row r="266" spans="1:12" ht="14.25" customHeight="1" x14ac:dyDescent="0.3">
      <c r="A266" s="8">
        <v>265</v>
      </c>
      <c r="B266" s="8" t="str">
        <f>'Criaturas - Base de Dados'!B46</f>
        <v>Fúria Selvagem</v>
      </c>
      <c r="C266" s="8" t="str">
        <f>'Criaturas - Base de Dados'!C46</f>
        <v>Natureza</v>
      </c>
      <c r="D266" s="8" t="str">
        <f>'Criaturas - Base de Dados'!D46</f>
        <v>Ent Milenar</v>
      </c>
      <c r="E266" s="8" t="str">
        <f>'Sistema de Raridade e Evolução'!B2</f>
        <v>Default</v>
      </c>
      <c r="F266" s="9" t="e">
        <f>ROUND(('Criaturas - Base de Dados'!H46*'Sistema de Raridade e Evolução'!E2)*1000,2)</f>
        <v>#VALUE!</v>
      </c>
      <c r="G266" s="8" t="e">
        <f>ROUND('Criaturas - Base de Dados'!I46*'Sistema de Raridade e Evolução'!E2,0)</f>
        <v>#VALUE!</v>
      </c>
      <c r="H266" s="8" t="e">
        <f>ROUND('Criaturas - Base de Dados'!J46*'Sistema de Raridade e Evolução'!E2,0)</f>
        <v>#VALUE!</v>
      </c>
      <c r="I266" s="8" t="e">
        <f>ROUND('Criaturas - Base de Dados'!K46*'Sistema de Raridade e Evolução'!E2,0)</f>
        <v>#VALUE!</v>
      </c>
      <c r="J266" s="8">
        <f>'Sistema de Raridade e Evolução'!D2</f>
        <v>1</v>
      </c>
      <c r="K266" s="8" t="s">
        <v>8</v>
      </c>
      <c r="L266" s="9" t="e">
        <f t="shared" si="4"/>
        <v>#VALUE!</v>
      </c>
    </row>
    <row r="267" spans="1:12" ht="14.25" hidden="1" customHeight="1" x14ac:dyDescent="0.3">
      <c r="A267" s="8">
        <v>266</v>
      </c>
      <c r="B267" s="8" t="str">
        <f>'Criaturas - Base de Dados'!B46</f>
        <v>Fúria Selvagem</v>
      </c>
      <c r="C267" s="8" t="str">
        <f>'Criaturas - Base de Dados'!C46</f>
        <v>Natureza</v>
      </c>
      <c r="D267" s="8" t="str">
        <f>'Criaturas - Base de Dados'!D46</f>
        <v>Ent Milenar</v>
      </c>
      <c r="E267" s="8" t="str">
        <f>'Sistema de Raridade e Evolução'!B3</f>
        <v>Bronze</v>
      </c>
      <c r="F267" s="9">
        <f>ROUND(('Criaturas - Base de Dados'!H46*'Sistema de Raridade e Evolução'!E3)*1000,2)</f>
        <v>16000</v>
      </c>
      <c r="G267" s="8">
        <f>ROUND('Criaturas - Base de Dados'!I46*'Sistema de Raridade e Evolução'!E3,0)</f>
        <v>10</v>
      </c>
      <c r="H267" s="8">
        <f>ROUND('Criaturas - Base de Dados'!J46*'Sistema de Raridade e Evolução'!E3,0)</f>
        <v>8</v>
      </c>
      <c r="I267" s="8">
        <f>ROUND('Criaturas - Base de Dados'!K46*'Sistema de Raridade e Evolução'!E3,0)</f>
        <v>51</v>
      </c>
      <c r="J267" s="8">
        <f>'Sistema de Raridade e Evolução'!D3</f>
        <v>6</v>
      </c>
      <c r="K267" s="8" t="s">
        <v>9</v>
      </c>
      <c r="L267" s="9">
        <f t="shared" si="4"/>
        <v>38095.24</v>
      </c>
    </row>
    <row r="268" spans="1:12" ht="14.25" hidden="1" customHeight="1" x14ac:dyDescent="0.3">
      <c r="A268" s="8">
        <v>267</v>
      </c>
      <c r="B268" s="8" t="str">
        <f>'Criaturas - Base de Dados'!B46</f>
        <v>Fúria Selvagem</v>
      </c>
      <c r="C268" s="8" t="str">
        <f>'Criaturas - Base de Dados'!C46</f>
        <v>Natureza</v>
      </c>
      <c r="D268" s="8" t="str">
        <f>'Criaturas - Base de Dados'!D46</f>
        <v>Ent Milenar</v>
      </c>
      <c r="E268" s="8" t="str">
        <f>'Sistema de Raridade e Evolução'!B4</f>
        <v>Prata</v>
      </c>
      <c r="F268" s="9">
        <f>ROUND(('Criaturas - Base de Dados'!H46*'Sistema de Raridade e Evolução'!E4)*1000,2)</f>
        <v>96000</v>
      </c>
      <c r="G268" s="8">
        <f>ROUND('Criaturas - Base de Dados'!I46*'Sistema de Raridade e Evolução'!E4,0)</f>
        <v>60</v>
      </c>
      <c r="H268" s="8">
        <f>ROUND('Criaturas - Base de Dados'!J46*'Sistema de Raridade e Evolução'!E4,0)</f>
        <v>48</v>
      </c>
      <c r="I268" s="8">
        <f>ROUND('Criaturas - Base de Dados'!K46*'Sistema de Raridade e Evolução'!E4,0)</f>
        <v>306</v>
      </c>
      <c r="J268" s="8">
        <f>'Sistema de Raridade e Evolução'!D4</f>
        <v>16</v>
      </c>
      <c r="K268" s="8" t="s">
        <v>10</v>
      </c>
      <c r="L268" s="9">
        <f t="shared" si="4"/>
        <v>228571.43</v>
      </c>
    </row>
    <row r="269" spans="1:12" ht="14.25" hidden="1" customHeight="1" x14ac:dyDescent="0.3">
      <c r="A269" s="8">
        <v>268</v>
      </c>
      <c r="B269" s="8" t="str">
        <f>'Criaturas - Base de Dados'!B46</f>
        <v>Fúria Selvagem</v>
      </c>
      <c r="C269" s="8" t="str">
        <f>'Criaturas - Base de Dados'!C46</f>
        <v>Natureza</v>
      </c>
      <c r="D269" s="8" t="str">
        <f>'Criaturas - Base de Dados'!D46</f>
        <v>Ent Milenar</v>
      </c>
      <c r="E269" s="8" t="str">
        <f>'Sistema de Raridade e Evolução'!B5</f>
        <v>Ouro</v>
      </c>
      <c r="F269" s="9">
        <f>ROUND(('Criaturas - Base de Dados'!H46*'Sistema de Raridade e Evolução'!E5)*1000,2)</f>
        <v>288000</v>
      </c>
      <c r="G269" s="8">
        <f>ROUND('Criaturas - Base de Dados'!I46*'Sistema de Raridade e Evolução'!E5,0)</f>
        <v>180</v>
      </c>
      <c r="H269" s="8">
        <f>ROUND('Criaturas - Base de Dados'!J46*'Sistema de Raridade e Evolução'!E5,0)</f>
        <v>144</v>
      </c>
      <c r="I269" s="8">
        <f>ROUND('Criaturas - Base de Dados'!K46*'Sistema de Raridade e Evolução'!E5,0)</f>
        <v>918</v>
      </c>
      <c r="J269" s="8">
        <f>'Sistema de Raridade e Evolução'!D5</f>
        <v>31</v>
      </c>
      <c r="K269" s="8" t="s">
        <v>11</v>
      </c>
      <c r="L269" s="9">
        <f t="shared" si="4"/>
        <v>685714.29</v>
      </c>
    </row>
    <row r="270" spans="1:12" ht="14.25" hidden="1" customHeight="1" x14ac:dyDescent="0.3">
      <c r="A270" s="8">
        <v>269</v>
      </c>
      <c r="B270" s="8" t="str">
        <f>'Criaturas - Base de Dados'!B46</f>
        <v>Fúria Selvagem</v>
      </c>
      <c r="C270" s="8" t="str">
        <f>'Criaturas - Base de Dados'!C46</f>
        <v>Natureza</v>
      </c>
      <c r="D270" s="8" t="str">
        <f>'Criaturas - Base de Dados'!D46</f>
        <v>Ent Milenar</v>
      </c>
      <c r="E270" s="8" t="str">
        <f>'Sistema de Raridade e Evolução'!B6</f>
        <v>Platina</v>
      </c>
      <c r="F270" s="9">
        <f>ROUND(('Criaturas - Base de Dados'!H46*'Sistema de Raridade e Evolução'!E6)*1000,2)</f>
        <v>800000</v>
      </c>
      <c r="G270" s="8">
        <f>ROUND('Criaturas - Base de Dados'!I46*'Sistema de Raridade e Evolução'!E6,0)</f>
        <v>500</v>
      </c>
      <c r="H270" s="8">
        <f>ROUND('Criaturas - Base de Dados'!J46*'Sistema de Raridade e Evolução'!E6,0)</f>
        <v>400</v>
      </c>
      <c r="I270" s="8">
        <f>ROUND('Criaturas - Base de Dados'!K46*'Sistema de Raridade e Evolução'!E6,0)</f>
        <v>2550</v>
      </c>
      <c r="J270" s="8">
        <f>'Sistema de Raridade e Evolução'!D6</f>
        <v>56</v>
      </c>
      <c r="K270" s="8" t="s">
        <v>12</v>
      </c>
      <c r="L270" s="9">
        <f t="shared" si="4"/>
        <v>1904761.9</v>
      </c>
    </row>
    <row r="271" spans="1:12" ht="14.25" hidden="1" customHeight="1" x14ac:dyDescent="0.3">
      <c r="A271" s="8">
        <v>270</v>
      </c>
      <c r="B271" s="8" t="str">
        <f>'Criaturas - Base de Dados'!B46</f>
        <v>Fúria Selvagem</v>
      </c>
      <c r="C271" s="8" t="str">
        <f>'Criaturas - Base de Dados'!C46</f>
        <v>Natureza</v>
      </c>
      <c r="D271" s="8" t="str">
        <f>'Criaturas - Base de Dados'!D46</f>
        <v>Ent Milenar</v>
      </c>
      <c r="E271" s="8" t="str">
        <f>'Sistema de Raridade e Evolução'!B7</f>
        <v>Lendário</v>
      </c>
      <c r="F271" s="9">
        <f>ROUND(('Criaturas - Base de Dados'!H46*'Sistema de Raridade e Evolução'!E7)*1000,2)</f>
        <v>2400000</v>
      </c>
      <c r="G271" s="8">
        <f>ROUND('Criaturas - Base de Dados'!I46*'Sistema de Raridade e Evolução'!E7,0)</f>
        <v>1500</v>
      </c>
      <c r="H271" s="8">
        <f>ROUND('Criaturas - Base de Dados'!J46*'Sistema de Raridade e Evolução'!E7,0)</f>
        <v>1200</v>
      </c>
      <c r="I271" s="8">
        <f>ROUND('Criaturas - Base de Dados'!K46*'Sistema de Raridade e Evolução'!E7,0)</f>
        <v>7650</v>
      </c>
      <c r="J271" s="8">
        <f>'Sistema de Raridade e Evolução'!D7</f>
        <v>91</v>
      </c>
      <c r="K271" s="8" t="s">
        <v>925</v>
      </c>
      <c r="L271" s="9">
        <f t="shared" si="4"/>
        <v>5714285.71</v>
      </c>
    </row>
    <row r="272" spans="1:12" ht="14.25" customHeight="1" x14ac:dyDescent="0.3">
      <c r="A272" s="8">
        <v>271</v>
      </c>
      <c r="B272" s="8" t="str">
        <f>'Criaturas - Base de Dados'!B47</f>
        <v>Fúria Selvagem</v>
      </c>
      <c r="C272" s="8" t="str">
        <f>'Criaturas - Base de Dados'!C47</f>
        <v>Natureza</v>
      </c>
      <c r="D272" s="8" t="str">
        <f>'Criaturas - Base de Dados'!D47</f>
        <v>Tigre-Dente-de-Sabre Espiritual</v>
      </c>
      <c r="E272" s="8" t="str">
        <f>'Sistema de Raridade e Evolução'!B2</f>
        <v>Default</v>
      </c>
      <c r="F272" s="9" t="e">
        <f>ROUND(('Criaturas - Base de Dados'!H47*'Sistema de Raridade e Evolução'!E2)*1000,2)</f>
        <v>#VALUE!</v>
      </c>
      <c r="G272" s="8" t="e">
        <f>ROUND('Criaturas - Base de Dados'!I47*'Sistema de Raridade e Evolução'!E2,0)</f>
        <v>#VALUE!</v>
      </c>
      <c r="H272" s="8" t="e">
        <f>ROUND('Criaturas - Base de Dados'!J47*'Sistema de Raridade e Evolução'!E2,0)</f>
        <v>#VALUE!</v>
      </c>
      <c r="I272" s="8" t="e">
        <f>ROUND('Criaturas - Base de Dados'!K47*'Sistema de Raridade e Evolução'!E2,0)</f>
        <v>#VALUE!</v>
      </c>
      <c r="J272" s="8">
        <f>'Sistema de Raridade e Evolução'!D2</f>
        <v>1</v>
      </c>
      <c r="K272" s="8" t="s">
        <v>8</v>
      </c>
      <c r="L272" s="9" t="e">
        <f t="shared" si="4"/>
        <v>#VALUE!</v>
      </c>
    </row>
    <row r="273" spans="1:12" ht="14.25" hidden="1" customHeight="1" x14ac:dyDescent="0.3">
      <c r="A273" s="8">
        <v>272</v>
      </c>
      <c r="B273" s="8" t="str">
        <f>'Criaturas - Base de Dados'!B47</f>
        <v>Fúria Selvagem</v>
      </c>
      <c r="C273" s="8" t="str">
        <f>'Criaturas - Base de Dados'!C47</f>
        <v>Natureza</v>
      </c>
      <c r="D273" s="8" t="str">
        <f>'Criaturas - Base de Dados'!D47</f>
        <v>Tigre-Dente-de-Sabre Espiritual</v>
      </c>
      <c r="E273" s="8" t="str">
        <f>'Sistema de Raridade e Evolução'!B3</f>
        <v>Bronze</v>
      </c>
      <c r="F273" s="9">
        <f>ROUND(('Criaturas - Base de Dados'!H47*'Sistema de Raridade e Evolução'!E3)*1000,2)</f>
        <v>18000</v>
      </c>
      <c r="G273" s="8">
        <f>ROUND('Criaturas - Base de Dados'!I47*'Sistema de Raridade e Evolução'!E3,0)</f>
        <v>11</v>
      </c>
      <c r="H273" s="8">
        <f>ROUND('Criaturas - Base de Dados'!J47*'Sistema de Raridade e Evolução'!E3,0)</f>
        <v>9</v>
      </c>
      <c r="I273" s="8">
        <f>ROUND('Criaturas - Base de Dados'!K47*'Sistema de Raridade e Evolução'!E3,0)</f>
        <v>58</v>
      </c>
      <c r="J273" s="8">
        <f>'Sistema de Raridade e Evolução'!D3</f>
        <v>6</v>
      </c>
      <c r="K273" s="8" t="s">
        <v>9</v>
      </c>
      <c r="L273" s="9">
        <f t="shared" si="4"/>
        <v>42857.14</v>
      </c>
    </row>
    <row r="274" spans="1:12" ht="14.25" hidden="1" customHeight="1" x14ac:dyDescent="0.3">
      <c r="A274" s="8">
        <v>273</v>
      </c>
      <c r="B274" s="8" t="str">
        <f>'Criaturas - Base de Dados'!B47</f>
        <v>Fúria Selvagem</v>
      </c>
      <c r="C274" s="8" t="str">
        <f>'Criaturas - Base de Dados'!C47</f>
        <v>Natureza</v>
      </c>
      <c r="D274" s="8" t="str">
        <f>'Criaturas - Base de Dados'!D47</f>
        <v>Tigre-Dente-de-Sabre Espiritual</v>
      </c>
      <c r="E274" s="8" t="str">
        <f>'Sistema de Raridade e Evolução'!B4</f>
        <v>Prata</v>
      </c>
      <c r="F274" s="9">
        <f>ROUND(('Criaturas - Base de Dados'!H47*'Sistema de Raridade e Evolução'!E4)*1000,2)</f>
        <v>108000</v>
      </c>
      <c r="G274" s="8">
        <f>ROUND('Criaturas - Base de Dados'!I47*'Sistema de Raridade e Evolução'!E4,0)</f>
        <v>66</v>
      </c>
      <c r="H274" s="8">
        <f>ROUND('Criaturas - Base de Dados'!J47*'Sistema de Raridade e Evolução'!E4,0)</f>
        <v>54</v>
      </c>
      <c r="I274" s="8">
        <f>ROUND('Criaturas - Base de Dados'!K47*'Sistema de Raridade e Evolução'!E4,0)</f>
        <v>348</v>
      </c>
      <c r="J274" s="8">
        <f>'Sistema de Raridade e Evolução'!D4</f>
        <v>16</v>
      </c>
      <c r="K274" s="8" t="s">
        <v>10</v>
      </c>
      <c r="L274" s="9">
        <f t="shared" si="4"/>
        <v>257142.86</v>
      </c>
    </row>
    <row r="275" spans="1:12" ht="14.25" hidden="1" customHeight="1" x14ac:dyDescent="0.3">
      <c r="A275" s="8">
        <v>274</v>
      </c>
      <c r="B275" s="8" t="str">
        <f>'Criaturas - Base de Dados'!B47</f>
        <v>Fúria Selvagem</v>
      </c>
      <c r="C275" s="8" t="str">
        <f>'Criaturas - Base de Dados'!C47</f>
        <v>Natureza</v>
      </c>
      <c r="D275" s="8" t="str">
        <f>'Criaturas - Base de Dados'!D47</f>
        <v>Tigre-Dente-de-Sabre Espiritual</v>
      </c>
      <c r="E275" s="8" t="str">
        <f>'Sistema de Raridade e Evolução'!B5</f>
        <v>Ouro</v>
      </c>
      <c r="F275" s="9">
        <f>ROUND(('Criaturas - Base de Dados'!H47*'Sistema de Raridade e Evolução'!E5)*1000,2)</f>
        <v>324000</v>
      </c>
      <c r="G275" s="8">
        <f>ROUND('Criaturas - Base de Dados'!I47*'Sistema de Raridade e Evolução'!E5,0)</f>
        <v>198</v>
      </c>
      <c r="H275" s="8">
        <f>ROUND('Criaturas - Base de Dados'!J47*'Sistema de Raridade e Evolução'!E5,0)</f>
        <v>162</v>
      </c>
      <c r="I275" s="8">
        <f>ROUND('Criaturas - Base de Dados'!K47*'Sistema de Raridade e Evolução'!E5,0)</f>
        <v>1044</v>
      </c>
      <c r="J275" s="8">
        <f>'Sistema de Raridade e Evolução'!D5</f>
        <v>31</v>
      </c>
      <c r="K275" s="8" t="s">
        <v>11</v>
      </c>
      <c r="L275" s="9">
        <f t="shared" si="4"/>
        <v>771428.57</v>
      </c>
    </row>
    <row r="276" spans="1:12" ht="14.25" hidden="1" customHeight="1" x14ac:dyDescent="0.3">
      <c r="A276" s="8">
        <v>275</v>
      </c>
      <c r="B276" s="8" t="str">
        <f>'Criaturas - Base de Dados'!B47</f>
        <v>Fúria Selvagem</v>
      </c>
      <c r="C276" s="8" t="str">
        <f>'Criaturas - Base de Dados'!C47</f>
        <v>Natureza</v>
      </c>
      <c r="D276" s="8" t="str">
        <f>'Criaturas - Base de Dados'!D47</f>
        <v>Tigre-Dente-de-Sabre Espiritual</v>
      </c>
      <c r="E276" s="8" t="str">
        <f>'Sistema de Raridade e Evolução'!B6</f>
        <v>Platina</v>
      </c>
      <c r="F276" s="9">
        <f>ROUND(('Criaturas - Base de Dados'!H47*'Sistema de Raridade e Evolução'!E6)*1000,2)</f>
        <v>900000</v>
      </c>
      <c r="G276" s="8">
        <f>ROUND('Criaturas - Base de Dados'!I47*'Sistema de Raridade e Evolução'!E6,0)</f>
        <v>550</v>
      </c>
      <c r="H276" s="8">
        <f>ROUND('Criaturas - Base de Dados'!J47*'Sistema de Raridade e Evolução'!E6,0)</f>
        <v>450</v>
      </c>
      <c r="I276" s="8">
        <f>ROUND('Criaturas - Base de Dados'!K47*'Sistema de Raridade e Evolução'!E6,0)</f>
        <v>2900</v>
      </c>
      <c r="J276" s="8">
        <f>'Sistema de Raridade e Evolução'!D6</f>
        <v>56</v>
      </c>
      <c r="K276" s="8" t="s">
        <v>12</v>
      </c>
      <c r="L276" s="9">
        <f t="shared" si="4"/>
        <v>2142857.14</v>
      </c>
    </row>
    <row r="277" spans="1:12" ht="14.25" hidden="1" customHeight="1" x14ac:dyDescent="0.3">
      <c r="A277" s="8">
        <v>276</v>
      </c>
      <c r="B277" s="8" t="str">
        <f>'Criaturas - Base de Dados'!B47</f>
        <v>Fúria Selvagem</v>
      </c>
      <c r="C277" s="8" t="str">
        <f>'Criaturas - Base de Dados'!C47</f>
        <v>Natureza</v>
      </c>
      <c r="D277" s="8" t="str">
        <f>'Criaturas - Base de Dados'!D47</f>
        <v>Tigre-Dente-de-Sabre Espiritual</v>
      </c>
      <c r="E277" s="8" t="str">
        <f>'Sistema de Raridade e Evolução'!B7</f>
        <v>Lendário</v>
      </c>
      <c r="F277" s="9">
        <f>ROUND(('Criaturas - Base de Dados'!H47*'Sistema de Raridade e Evolução'!E7)*1000,2)</f>
        <v>2700000</v>
      </c>
      <c r="G277" s="8">
        <f>ROUND('Criaturas - Base de Dados'!I47*'Sistema de Raridade e Evolução'!E7,0)</f>
        <v>1650</v>
      </c>
      <c r="H277" s="8">
        <f>ROUND('Criaturas - Base de Dados'!J47*'Sistema de Raridade e Evolução'!E7,0)</f>
        <v>1350</v>
      </c>
      <c r="I277" s="8">
        <f>ROUND('Criaturas - Base de Dados'!K47*'Sistema de Raridade e Evolução'!E7,0)</f>
        <v>8700</v>
      </c>
      <c r="J277" s="8">
        <f>'Sistema de Raridade e Evolução'!D7</f>
        <v>91</v>
      </c>
      <c r="K277" s="8" t="s">
        <v>925</v>
      </c>
      <c r="L277" s="9">
        <f t="shared" si="4"/>
        <v>6428571.4299999997</v>
      </c>
    </row>
    <row r="278" spans="1:12" ht="14.25" customHeight="1" x14ac:dyDescent="0.3">
      <c r="A278" s="8">
        <v>277</v>
      </c>
      <c r="B278" s="8" t="str">
        <f>'Criaturas - Base de Dados'!B48</f>
        <v>Fúria Selvagem</v>
      </c>
      <c r="C278" s="8" t="str">
        <f>'Criaturas - Base de Dados'!C48</f>
        <v>Natureza</v>
      </c>
      <c r="D278" s="8" t="str">
        <f>'Criaturas - Base de Dados'!D48</f>
        <v>Urso Sagrado do Norte</v>
      </c>
      <c r="E278" s="8" t="str">
        <f>'Sistema de Raridade e Evolução'!B2</f>
        <v>Default</v>
      </c>
      <c r="F278" s="9" t="e">
        <f>ROUND(('Criaturas - Base de Dados'!H48*'Sistema de Raridade e Evolução'!E2)*1000,2)</f>
        <v>#VALUE!</v>
      </c>
      <c r="G278" s="8" t="e">
        <f>ROUND('Criaturas - Base de Dados'!I48*'Sistema de Raridade e Evolução'!E2,0)</f>
        <v>#VALUE!</v>
      </c>
      <c r="H278" s="8" t="e">
        <f>ROUND('Criaturas - Base de Dados'!J48*'Sistema de Raridade e Evolução'!E2,0)</f>
        <v>#VALUE!</v>
      </c>
      <c r="I278" s="8" t="e">
        <f>ROUND('Criaturas - Base de Dados'!K48*'Sistema de Raridade e Evolução'!E2,0)</f>
        <v>#VALUE!</v>
      </c>
      <c r="J278" s="8">
        <f>'Sistema de Raridade e Evolução'!D2</f>
        <v>1</v>
      </c>
      <c r="K278" s="8" t="s">
        <v>8</v>
      </c>
      <c r="L278" s="9" t="e">
        <f t="shared" si="4"/>
        <v>#VALUE!</v>
      </c>
    </row>
    <row r="279" spans="1:12" ht="14.25" hidden="1" customHeight="1" x14ac:dyDescent="0.3">
      <c r="A279" s="8">
        <v>278</v>
      </c>
      <c r="B279" s="8" t="str">
        <f>'Criaturas - Base de Dados'!B48</f>
        <v>Fúria Selvagem</v>
      </c>
      <c r="C279" s="8" t="str">
        <f>'Criaturas - Base de Dados'!C48</f>
        <v>Natureza</v>
      </c>
      <c r="D279" s="8" t="str">
        <f>'Criaturas - Base de Dados'!D48</f>
        <v>Urso Sagrado do Norte</v>
      </c>
      <c r="E279" s="8" t="str">
        <f>'Sistema de Raridade e Evolução'!B3</f>
        <v>Bronze</v>
      </c>
      <c r="F279" s="9">
        <f>ROUND(('Criaturas - Base de Dados'!H48*'Sistema de Raridade e Evolução'!E3)*1000,2)</f>
        <v>20000</v>
      </c>
      <c r="G279" s="8">
        <f>ROUND('Criaturas - Base de Dados'!I48*'Sistema de Raridade e Evolução'!E3,0)</f>
        <v>12</v>
      </c>
      <c r="H279" s="8">
        <f>ROUND('Criaturas - Base de Dados'!J48*'Sistema de Raridade e Evolução'!E3,0)</f>
        <v>10</v>
      </c>
      <c r="I279" s="8">
        <f>ROUND('Criaturas - Base de Dados'!K48*'Sistema de Raridade e Evolução'!E3,0)</f>
        <v>64</v>
      </c>
      <c r="J279" s="8">
        <f>'Sistema de Raridade e Evolução'!D3</f>
        <v>6</v>
      </c>
      <c r="K279" s="8" t="s">
        <v>9</v>
      </c>
      <c r="L279" s="9">
        <f t="shared" si="4"/>
        <v>47619.05</v>
      </c>
    </row>
    <row r="280" spans="1:12" ht="14.25" hidden="1" customHeight="1" x14ac:dyDescent="0.3">
      <c r="A280" s="8">
        <v>279</v>
      </c>
      <c r="B280" s="8" t="str">
        <f>'Criaturas - Base de Dados'!B48</f>
        <v>Fúria Selvagem</v>
      </c>
      <c r="C280" s="8" t="str">
        <f>'Criaturas - Base de Dados'!C48</f>
        <v>Natureza</v>
      </c>
      <c r="D280" s="8" t="str">
        <f>'Criaturas - Base de Dados'!D48</f>
        <v>Urso Sagrado do Norte</v>
      </c>
      <c r="E280" s="8" t="str">
        <f>'Sistema de Raridade e Evolução'!B4</f>
        <v>Prata</v>
      </c>
      <c r="F280" s="9">
        <f>ROUND(('Criaturas - Base de Dados'!H48*'Sistema de Raridade e Evolução'!E4)*1000,2)</f>
        <v>120000</v>
      </c>
      <c r="G280" s="8">
        <f>ROUND('Criaturas - Base de Dados'!I48*'Sistema de Raridade e Evolução'!E4,0)</f>
        <v>72</v>
      </c>
      <c r="H280" s="8">
        <f>ROUND('Criaturas - Base de Dados'!J48*'Sistema de Raridade e Evolução'!E4,0)</f>
        <v>60</v>
      </c>
      <c r="I280" s="8">
        <f>ROUND('Criaturas - Base de Dados'!K48*'Sistema de Raridade e Evolução'!E4,0)</f>
        <v>384</v>
      </c>
      <c r="J280" s="8">
        <f>'Sistema de Raridade e Evolução'!D4</f>
        <v>16</v>
      </c>
      <c r="K280" s="8" t="s">
        <v>10</v>
      </c>
      <c r="L280" s="9">
        <f t="shared" si="4"/>
        <v>285714.28999999998</v>
      </c>
    </row>
    <row r="281" spans="1:12" ht="14.25" hidden="1" customHeight="1" x14ac:dyDescent="0.3">
      <c r="A281" s="8">
        <v>280</v>
      </c>
      <c r="B281" s="8" t="str">
        <f>'Criaturas - Base de Dados'!B48</f>
        <v>Fúria Selvagem</v>
      </c>
      <c r="C281" s="8" t="str">
        <f>'Criaturas - Base de Dados'!C48</f>
        <v>Natureza</v>
      </c>
      <c r="D281" s="8" t="str">
        <f>'Criaturas - Base de Dados'!D48</f>
        <v>Urso Sagrado do Norte</v>
      </c>
      <c r="E281" s="8" t="str">
        <f>'Sistema de Raridade e Evolução'!B5</f>
        <v>Ouro</v>
      </c>
      <c r="F281" s="9">
        <f>ROUND(('Criaturas - Base de Dados'!H48*'Sistema de Raridade e Evolução'!E5)*1000,2)</f>
        <v>360000</v>
      </c>
      <c r="G281" s="8">
        <f>ROUND('Criaturas - Base de Dados'!I48*'Sistema de Raridade e Evolução'!E5,0)</f>
        <v>216</v>
      </c>
      <c r="H281" s="8">
        <f>ROUND('Criaturas - Base de Dados'!J48*'Sistema de Raridade e Evolução'!E5,0)</f>
        <v>180</v>
      </c>
      <c r="I281" s="8">
        <f>ROUND('Criaturas - Base de Dados'!K48*'Sistema de Raridade e Evolução'!E5,0)</f>
        <v>1152</v>
      </c>
      <c r="J281" s="8">
        <f>'Sistema de Raridade e Evolução'!D5</f>
        <v>31</v>
      </c>
      <c r="K281" s="8" t="s">
        <v>11</v>
      </c>
      <c r="L281" s="9">
        <f t="shared" si="4"/>
        <v>857142.86</v>
      </c>
    </row>
    <row r="282" spans="1:12" ht="14.25" hidden="1" customHeight="1" x14ac:dyDescent="0.3">
      <c r="A282" s="8">
        <v>281</v>
      </c>
      <c r="B282" s="8" t="str">
        <f>'Criaturas - Base de Dados'!B48</f>
        <v>Fúria Selvagem</v>
      </c>
      <c r="C282" s="8" t="str">
        <f>'Criaturas - Base de Dados'!C48</f>
        <v>Natureza</v>
      </c>
      <c r="D282" s="8" t="str">
        <f>'Criaturas - Base de Dados'!D48</f>
        <v>Urso Sagrado do Norte</v>
      </c>
      <c r="E282" s="8" t="str">
        <f>'Sistema de Raridade e Evolução'!B6</f>
        <v>Platina</v>
      </c>
      <c r="F282" s="9">
        <f>ROUND(('Criaturas - Base de Dados'!H48*'Sistema de Raridade e Evolução'!E6)*1000,2)</f>
        <v>1000000</v>
      </c>
      <c r="G282" s="8">
        <f>ROUND('Criaturas - Base de Dados'!I48*'Sistema de Raridade e Evolução'!E6,0)</f>
        <v>600</v>
      </c>
      <c r="H282" s="8">
        <f>ROUND('Criaturas - Base de Dados'!J48*'Sistema de Raridade e Evolução'!E6,0)</f>
        <v>500</v>
      </c>
      <c r="I282" s="8">
        <f>ROUND('Criaturas - Base de Dados'!K48*'Sistema de Raridade e Evolução'!E6,0)</f>
        <v>3200</v>
      </c>
      <c r="J282" s="8">
        <f>'Sistema de Raridade e Evolução'!D6</f>
        <v>56</v>
      </c>
      <c r="K282" s="8" t="s">
        <v>12</v>
      </c>
      <c r="L282" s="9">
        <f t="shared" si="4"/>
        <v>2380952.38</v>
      </c>
    </row>
    <row r="283" spans="1:12" ht="14.25" hidden="1" customHeight="1" x14ac:dyDescent="0.3">
      <c r="A283" s="8">
        <v>282</v>
      </c>
      <c r="B283" s="8" t="str">
        <f>'Criaturas - Base de Dados'!B48</f>
        <v>Fúria Selvagem</v>
      </c>
      <c r="C283" s="8" t="str">
        <f>'Criaturas - Base de Dados'!C48</f>
        <v>Natureza</v>
      </c>
      <c r="D283" s="8" t="str">
        <f>'Criaturas - Base de Dados'!D48</f>
        <v>Urso Sagrado do Norte</v>
      </c>
      <c r="E283" s="8" t="str">
        <f>'Sistema de Raridade e Evolução'!B7</f>
        <v>Lendário</v>
      </c>
      <c r="F283" s="9">
        <f>ROUND(('Criaturas - Base de Dados'!H48*'Sistema de Raridade e Evolução'!E7)*1000,2)</f>
        <v>3000000</v>
      </c>
      <c r="G283" s="8">
        <f>ROUND('Criaturas - Base de Dados'!I48*'Sistema de Raridade e Evolução'!E7,0)</f>
        <v>1800</v>
      </c>
      <c r="H283" s="8">
        <f>ROUND('Criaturas - Base de Dados'!J48*'Sistema de Raridade e Evolução'!E7,0)</f>
        <v>1500</v>
      </c>
      <c r="I283" s="8">
        <f>ROUND('Criaturas - Base de Dados'!K48*'Sistema de Raridade e Evolução'!E7,0)</f>
        <v>9600</v>
      </c>
      <c r="J283" s="8">
        <f>'Sistema de Raridade e Evolução'!D7</f>
        <v>91</v>
      </c>
      <c r="K283" s="8" t="s">
        <v>925</v>
      </c>
      <c r="L283" s="9">
        <f t="shared" si="4"/>
        <v>7142857.1399999997</v>
      </c>
    </row>
    <row r="284" spans="1:12" ht="14.25" customHeight="1" x14ac:dyDescent="0.3">
      <c r="A284" s="8">
        <v>283</v>
      </c>
      <c r="B284" s="8" t="str">
        <f>'Criaturas - Base de Dados'!B49</f>
        <v>Fúria Selvagem</v>
      </c>
      <c r="C284" s="8" t="str">
        <f>'Criaturas - Base de Dados'!C49</f>
        <v>Natureza</v>
      </c>
      <c r="D284" s="8" t="str">
        <f>'Criaturas - Base de Dados'!D49</f>
        <v>Javali de Erimanto</v>
      </c>
      <c r="E284" s="8" t="str">
        <f>'Sistema de Raridade e Evolução'!B2</f>
        <v>Default</v>
      </c>
      <c r="F284" s="9" t="e">
        <f>ROUND(('Criaturas - Base de Dados'!H49*'Sistema de Raridade e Evolução'!E2)*1000,2)</f>
        <v>#VALUE!</v>
      </c>
      <c r="G284" s="8" t="e">
        <f>ROUND('Criaturas - Base de Dados'!I49*'Sistema de Raridade e Evolução'!E2,0)</f>
        <v>#VALUE!</v>
      </c>
      <c r="H284" s="8" t="e">
        <f>ROUND('Criaturas - Base de Dados'!J49*'Sistema de Raridade e Evolução'!E2,0)</f>
        <v>#VALUE!</v>
      </c>
      <c r="I284" s="8" t="e">
        <f>ROUND('Criaturas - Base de Dados'!K49*'Sistema de Raridade e Evolução'!E2,0)</f>
        <v>#VALUE!</v>
      </c>
      <c r="J284" s="8">
        <f>'Sistema de Raridade e Evolução'!D2</f>
        <v>1</v>
      </c>
      <c r="K284" s="8" t="s">
        <v>8</v>
      </c>
      <c r="L284" s="9" t="e">
        <f t="shared" si="4"/>
        <v>#VALUE!</v>
      </c>
    </row>
    <row r="285" spans="1:12" ht="14.25" hidden="1" customHeight="1" x14ac:dyDescent="0.3">
      <c r="A285" s="8">
        <v>284</v>
      </c>
      <c r="B285" s="8" t="str">
        <f>'Criaturas - Base de Dados'!B49</f>
        <v>Fúria Selvagem</v>
      </c>
      <c r="C285" s="8" t="str">
        <f>'Criaturas - Base de Dados'!C49</f>
        <v>Natureza</v>
      </c>
      <c r="D285" s="8" t="str">
        <f>'Criaturas - Base de Dados'!D49</f>
        <v>Javali de Erimanto</v>
      </c>
      <c r="E285" s="8" t="str">
        <f>'Sistema de Raridade e Evolução'!B3</f>
        <v>Bronze</v>
      </c>
      <c r="F285" s="9">
        <f>ROUND(('Criaturas - Base de Dados'!H49*'Sistema de Raridade e Evolução'!E3)*1000,2)</f>
        <v>22000</v>
      </c>
      <c r="G285" s="8">
        <f>ROUND('Criaturas - Base de Dados'!I49*'Sistema de Raridade e Evolução'!E3,0)</f>
        <v>13</v>
      </c>
      <c r="H285" s="8">
        <f>ROUND('Criaturas - Base de Dados'!J49*'Sistema de Raridade e Evolução'!E3,0)</f>
        <v>11</v>
      </c>
      <c r="I285" s="8">
        <f>ROUND('Criaturas - Base de Dados'!K49*'Sistema de Raridade e Evolução'!E3,0)</f>
        <v>70</v>
      </c>
      <c r="J285" s="8">
        <f>'Sistema de Raridade e Evolução'!D3</f>
        <v>6</v>
      </c>
      <c r="K285" s="8" t="s">
        <v>9</v>
      </c>
      <c r="L285" s="9">
        <f t="shared" si="4"/>
        <v>52380.95</v>
      </c>
    </row>
    <row r="286" spans="1:12" ht="14.25" hidden="1" customHeight="1" x14ac:dyDescent="0.3">
      <c r="A286" s="8">
        <v>285</v>
      </c>
      <c r="B286" s="8" t="str">
        <f>'Criaturas - Base de Dados'!B49</f>
        <v>Fúria Selvagem</v>
      </c>
      <c r="C286" s="8" t="str">
        <f>'Criaturas - Base de Dados'!C49</f>
        <v>Natureza</v>
      </c>
      <c r="D286" s="8" t="str">
        <f>'Criaturas - Base de Dados'!D49</f>
        <v>Javali de Erimanto</v>
      </c>
      <c r="E286" s="8" t="str">
        <f>'Sistema de Raridade e Evolução'!B4</f>
        <v>Prata</v>
      </c>
      <c r="F286" s="9">
        <f>ROUND(('Criaturas - Base de Dados'!H49*'Sistema de Raridade e Evolução'!E4)*1000,2)</f>
        <v>132000</v>
      </c>
      <c r="G286" s="8">
        <f>ROUND('Criaturas - Base de Dados'!I49*'Sistema de Raridade e Evolução'!E4,0)</f>
        <v>78</v>
      </c>
      <c r="H286" s="8">
        <f>ROUND('Criaturas - Base de Dados'!J49*'Sistema de Raridade e Evolução'!E4,0)</f>
        <v>66</v>
      </c>
      <c r="I286" s="8">
        <f>ROUND('Criaturas - Base de Dados'!K49*'Sistema de Raridade e Evolução'!E4,0)</f>
        <v>420</v>
      </c>
      <c r="J286" s="8">
        <f>'Sistema de Raridade e Evolução'!D4</f>
        <v>16</v>
      </c>
      <c r="K286" s="8" t="s">
        <v>10</v>
      </c>
      <c r="L286" s="9">
        <f t="shared" si="4"/>
        <v>314285.71000000002</v>
      </c>
    </row>
    <row r="287" spans="1:12" ht="14.25" hidden="1" customHeight="1" x14ac:dyDescent="0.3">
      <c r="A287" s="8">
        <v>286</v>
      </c>
      <c r="B287" s="8" t="str">
        <f>'Criaturas - Base de Dados'!B49</f>
        <v>Fúria Selvagem</v>
      </c>
      <c r="C287" s="8" t="str">
        <f>'Criaturas - Base de Dados'!C49</f>
        <v>Natureza</v>
      </c>
      <c r="D287" s="8" t="str">
        <f>'Criaturas - Base de Dados'!D49</f>
        <v>Javali de Erimanto</v>
      </c>
      <c r="E287" s="8" t="str">
        <f>'Sistema de Raridade e Evolução'!B5</f>
        <v>Ouro</v>
      </c>
      <c r="F287" s="9">
        <f>ROUND(('Criaturas - Base de Dados'!H49*'Sistema de Raridade e Evolução'!E5)*1000,2)</f>
        <v>396000</v>
      </c>
      <c r="G287" s="8">
        <f>ROUND('Criaturas - Base de Dados'!I49*'Sistema de Raridade e Evolução'!E5,0)</f>
        <v>234</v>
      </c>
      <c r="H287" s="8">
        <f>ROUND('Criaturas - Base de Dados'!J49*'Sistema de Raridade e Evolução'!E5,0)</f>
        <v>198</v>
      </c>
      <c r="I287" s="8">
        <f>ROUND('Criaturas - Base de Dados'!K49*'Sistema de Raridade e Evolução'!E5,0)</f>
        <v>1260</v>
      </c>
      <c r="J287" s="8">
        <f>'Sistema de Raridade e Evolução'!D5</f>
        <v>31</v>
      </c>
      <c r="K287" s="8" t="s">
        <v>11</v>
      </c>
      <c r="L287" s="9">
        <f t="shared" si="4"/>
        <v>942857.14</v>
      </c>
    </row>
    <row r="288" spans="1:12" ht="14.25" hidden="1" customHeight="1" x14ac:dyDescent="0.3">
      <c r="A288" s="8">
        <v>287</v>
      </c>
      <c r="B288" s="8" t="str">
        <f>'Criaturas - Base de Dados'!B49</f>
        <v>Fúria Selvagem</v>
      </c>
      <c r="C288" s="8" t="str">
        <f>'Criaturas - Base de Dados'!C49</f>
        <v>Natureza</v>
      </c>
      <c r="D288" s="8" t="str">
        <f>'Criaturas - Base de Dados'!D49</f>
        <v>Javali de Erimanto</v>
      </c>
      <c r="E288" s="8" t="str">
        <f>'Sistema de Raridade e Evolução'!B6</f>
        <v>Platina</v>
      </c>
      <c r="F288" s="9">
        <f>ROUND(('Criaturas - Base de Dados'!H49*'Sistema de Raridade e Evolução'!E6)*1000,2)</f>
        <v>1100000</v>
      </c>
      <c r="G288" s="8">
        <f>ROUND('Criaturas - Base de Dados'!I49*'Sistema de Raridade e Evolução'!E6,0)</f>
        <v>650</v>
      </c>
      <c r="H288" s="8">
        <f>ROUND('Criaturas - Base de Dados'!J49*'Sistema de Raridade e Evolução'!E6,0)</f>
        <v>550</v>
      </c>
      <c r="I288" s="8">
        <f>ROUND('Criaturas - Base de Dados'!K49*'Sistema de Raridade e Evolução'!E6,0)</f>
        <v>3500</v>
      </c>
      <c r="J288" s="8">
        <f>'Sistema de Raridade e Evolução'!D6</f>
        <v>56</v>
      </c>
      <c r="K288" s="8" t="s">
        <v>12</v>
      </c>
      <c r="L288" s="9">
        <f t="shared" si="4"/>
        <v>2619047.62</v>
      </c>
    </row>
    <row r="289" spans="1:12" ht="14.25" hidden="1" customHeight="1" x14ac:dyDescent="0.3">
      <c r="A289" s="8">
        <v>288</v>
      </c>
      <c r="B289" s="8" t="str">
        <f>'Criaturas - Base de Dados'!B49</f>
        <v>Fúria Selvagem</v>
      </c>
      <c r="C289" s="8" t="str">
        <f>'Criaturas - Base de Dados'!C49</f>
        <v>Natureza</v>
      </c>
      <c r="D289" s="8" t="str">
        <f>'Criaturas - Base de Dados'!D49</f>
        <v>Javali de Erimanto</v>
      </c>
      <c r="E289" s="8" t="str">
        <f>'Sistema de Raridade e Evolução'!B7</f>
        <v>Lendário</v>
      </c>
      <c r="F289" s="9">
        <f>ROUND(('Criaturas - Base de Dados'!H49*'Sistema de Raridade e Evolução'!E7)*1000,2)</f>
        <v>3300000</v>
      </c>
      <c r="G289" s="8">
        <f>ROUND('Criaturas - Base de Dados'!I49*'Sistema de Raridade e Evolução'!E7,0)</f>
        <v>1950</v>
      </c>
      <c r="H289" s="8">
        <f>ROUND('Criaturas - Base de Dados'!J49*'Sistema de Raridade e Evolução'!E7,0)</f>
        <v>1650</v>
      </c>
      <c r="I289" s="8">
        <f>ROUND('Criaturas - Base de Dados'!K49*'Sistema de Raridade e Evolução'!E7,0)</f>
        <v>10500</v>
      </c>
      <c r="J289" s="8">
        <f>'Sistema de Raridade e Evolução'!D7</f>
        <v>91</v>
      </c>
      <c r="K289" s="8" t="s">
        <v>925</v>
      </c>
      <c r="L289" s="9">
        <f t="shared" si="4"/>
        <v>7857142.8600000003</v>
      </c>
    </row>
    <row r="290" spans="1:12" ht="14.25" customHeight="1" x14ac:dyDescent="0.3">
      <c r="A290" s="8">
        <v>289</v>
      </c>
      <c r="B290" s="8" t="str">
        <f>'Criaturas - Base de Dados'!B50</f>
        <v>Fúria Selvagem</v>
      </c>
      <c r="C290" s="8" t="str">
        <f>'Criaturas - Base de Dados'!C50</f>
        <v>Natureza</v>
      </c>
      <c r="D290" s="8" t="str">
        <f>'Criaturas - Base de Dados'!D50</f>
        <v>Touro Selvagem de Creta</v>
      </c>
      <c r="E290" s="8" t="str">
        <f>'Sistema de Raridade e Evolução'!B2</f>
        <v>Default</v>
      </c>
      <c r="F290" s="9" t="e">
        <f>ROUND(('Criaturas - Base de Dados'!H50*'Sistema de Raridade e Evolução'!E2)*1000,2)</f>
        <v>#VALUE!</v>
      </c>
      <c r="G290" s="8" t="e">
        <f>ROUND('Criaturas - Base de Dados'!I50*'Sistema de Raridade e Evolução'!E2,0)</f>
        <v>#VALUE!</v>
      </c>
      <c r="H290" s="8" t="e">
        <f>ROUND('Criaturas - Base de Dados'!J50*'Sistema de Raridade e Evolução'!E2,0)</f>
        <v>#VALUE!</v>
      </c>
      <c r="I290" s="8" t="e">
        <f>ROUND('Criaturas - Base de Dados'!K50*'Sistema de Raridade e Evolução'!E2,0)</f>
        <v>#VALUE!</v>
      </c>
      <c r="J290" s="8">
        <f>'Sistema de Raridade e Evolução'!D2</f>
        <v>1</v>
      </c>
      <c r="K290" s="8" t="s">
        <v>8</v>
      </c>
      <c r="L290" s="9" t="e">
        <f t="shared" si="4"/>
        <v>#VALUE!</v>
      </c>
    </row>
    <row r="291" spans="1:12" ht="14.25" hidden="1" customHeight="1" x14ac:dyDescent="0.3">
      <c r="A291" s="8">
        <v>290</v>
      </c>
      <c r="B291" s="8" t="str">
        <f>'Criaturas - Base de Dados'!B50</f>
        <v>Fúria Selvagem</v>
      </c>
      <c r="C291" s="8" t="str">
        <f>'Criaturas - Base de Dados'!C50</f>
        <v>Natureza</v>
      </c>
      <c r="D291" s="8" t="str">
        <f>'Criaturas - Base de Dados'!D50</f>
        <v>Touro Selvagem de Creta</v>
      </c>
      <c r="E291" s="8" t="str">
        <f>'Sistema de Raridade e Evolução'!B3</f>
        <v>Bronze</v>
      </c>
      <c r="F291" s="9">
        <f>ROUND(('Criaturas - Base de Dados'!H50*'Sistema de Raridade e Evolução'!E3)*1000,2)</f>
        <v>24000</v>
      </c>
      <c r="G291" s="8">
        <f>ROUND('Criaturas - Base de Dados'!I50*'Sistema de Raridade e Evolução'!E3,0)</f>
        <v>14</v>
      </c>
      <c r="H291" s="8">
        <f>ROUND('Criaturas - Base de Dados'!J50*'Sistema de Raridade e Evolução'!E3,0)</f>
        <v>12</v>
      </c>
      <c r="I291" s="8">
        <f>ROUND('Criaturas - Base de Dados'!K50*'Sistema de Raridade e Evolução'!E3,0)</f>
        <v>77</v>
      </c>
      <c r="J291" s="8">
        <f>'Sistema de Raridade e Evolução'!D3</f>
        <v>6</v>
      </c>
      <c r="K291" s="8" t="s">
        <v>9</v>
      </c>
      <c r="L291" s="9">
        <f t="shared" si="4"/>
        <v>57142.86</v>
      </c>
    </row>
    <row r="292" spans="1:12" ht="14.25" hidden="1" customHeight="1" x14ac:dyDescent="0.3">
      <c r="A292" s="8">
        <v>291</v>
      </c>
      <c r="B292" s="8" t="str">
        <f>'Criaturas - Base de Dados'!B50</f>
        <v>Fúria Selvagem</v>
      </c>
      <c r="C292" s="8" t="str">
        <f>'Criaturas - Base de Dados'!C50</f>
        <v>Natureza</v>
      </c>
      <c r="D292" s="8" t="str">
        <f>'Criaturas - Base de Dados'!D50</f>
        <v>Touro Selvagem de Creta</v>
      </c>
      <c r="E292" s="8" t="str">
        <f>'Sistema de Raridade e Evolução'!B4</f>
        <v>Prata</v>
      </c>
      <c r="F292" s="9">
        <f>ROUND(('Criaturas - Base de Dados'!H50*'Sistema de Raridade e Evolução'!E4)*1000,2)</f>
        <v>144000</v>
      </c>
      <c r="G292" s="8">
        <f>ROUND('Criaturas - Base de Dados'!I50*'Sistema de Raridade e Evolução'!E4,0)</f>
        <v>84</v>
      </c>
      <c r="H292" s="8">
        <f>ROUND('Criaturas - Base de Dados'!J50*'Sistema de Raridade e Evolução'!E4,0)</f>
        <v>72</v>
      </c>
      <c r="I292" s="8">
        <f>ROUND('Criaturas - Base de Dados'!K50*'Sistema de Raridade e Evolução'!E4,0)</f>
        <v>462</v>
      </c>
      <c r="J292" s="8">
        <f>'Sistema de Raridade e Evolução'!D4</f>
        <v>16</v>
      </c>
      <c r="K292" s="8" t="s">
        <v>10</v>
      </c>
      <c r="L292" s="9">
        <f t="shared" si="4"/>
        <v>342857.14</v>
      </c>
    </row>
    <row r="293" spans="1:12" ht="14.25" hidden="1" customHeight="1" x14ac:dyDescent="0.3">
      <c r="A293" s="8">
        <v>292</v>
      </c>
      <c r="B293" s="8" t="str">
        <f>'Criaturas - Base de Dados'!B50</f>
        <v>Fúria Selvagem</v>
      </c>
      <c r="C293" s="8" t="str">
        <f>'Criaturas - Base de Dados'!C50</f>
        <v>Natureza</v>
      </c>
      <c r="D293" s="8" t="str">
        <f>'Criaturas - Base de Dados'!D50</f>
        <v>Touro Selvagem de Creta</v>
      </c>
      <c r="E293" s="8" t="str">
        <f>'Sistema de Raridade e Evolução'!B5</f>
        <v>Ouro</v>
      </c>
      <c r="F293" s="9">
        <f>ROUND(('Criaturas - Base de Dados'!H50*'Sistema de Raridade e Evolução'!E5)*1000,2)</f>
        <v>432000</v>
      </c>
      <c r="G293" s="8">
        <f>ROUND('Criaturas - Base de Dados'!I50*'Sistema de Raridade e Evolução'!E5,0)</f>
        <v>252</v>
      </c>
      <c r="H293" s="8">
        <f>ROUND('Criaturas - Base de Dados'!J50*'Sistema de Raridade e Evolução'!E5,0)</f>
        <v>216</v>
      </c>
      <c r="I293" s="8">
        <f>ROUND('Criaturas - Base de Dados'!K50*'Sistema de Raridade e Evolução'!E5,0)</f>
        <v>1386</v>
      </c>
      <c r="J293" s="8">
        <f>'Sistema de Raridade e Evolução'!D5</f>
        <v>31</v>
      </c>
      <c r="K293" s="8" t="s">
        <v>11</v>
      </c>
      <c r="L293" s="9">
        <f t="shared" si="4"/>
        <v>1028571.43</v>
      </c>
    </row>
    <row r="294" spans="1:12" ht="14.25" hidden="1" customHeight="1" x14ac:dyDescent="0.3">
      <c r="A294" s="8">
        <v>293</v>
      </c>
      <c r="B294" s="8" t="str">
        <f>'Criaturas - Base de Dados'!B50</f>
        <v>Fúria Selvagem</v>
      </c>
      <c r="C294" s="8" t="str">
        <f>'Criaturas - Base de Dados'!C50</f>
        <v>Natureza</v>
      </c>
      <c r="D294" s="8" t="str">
        <f>'Criaturas - Base de Dados'!D50</f>
        <v>Touro Selvagem de Creta</v>
      </c>
      <c r="E294" s="8" t="str">
        <f>'Sistema de Raridade e Evolução'!B6</f>
        <v>Platina</v>
      </c>
      <c r="F294" s="9">
        <f>ROUND(('Criaturas - Base de Dados'!H50*'Sistema de Raridade e Evolução'!E6)*1000,2)</f>
        <v>1200000</v>
      </c>
      <c r="G294" s="8">
        <f>ROUND('Criaturas - Base de Dados'!I50*'Sistema de Raridade e Evolução'!E6,0)</f>
        <v>700</v>
      </c>
      <c r="H294" s="8">
        <f>ROUND('Criaturas - Base de Dados'!J50*'Sistema de Raridade e Evolução'!E6,0)</f>
        <v>600</v>
      </c>
      <c r="I294" s="8">
        <f>ROUND('Criaturas - Base de Dados'!K50*'Sistema de Raridade e Evolução'!E6,0)</f>
        <v>3850</v>
      </c>
      <c r="J294" s="8">
        <f>'Sistema de Raridade e Evolução'!D6</f>
        <v>56</v>
      </c>
      <c r="K294" s="8" t="s">
        <v>12</v>
      </c>
      <c r="L294" s="9">
        <f t="shared" si="4"/>
        <v>2857142.86</v>
      </c>
    </row>
    <row r="295" spans="1:12" ht="14.25" hidden="1" customHeight="1" x14ac:dyDescent="0.3">
      <c r="A295" s="8">
        <v>294</v>
      </c>
      <c r="B295" s="8" t="str">
        <f>'Criaturas - Base de Dados'!B50</f>
        <v>Fúria Selvagem</v>
      </c>
      <c r="C295" s="8" t="str">
        <f>'Criaturas - Base de Dados'!C50</f>
        <v>Natureza</v>
      </c>
      <c r="D295" s="8" t="str">
        <f>'Criaturas - Base de Dados'!D50</f>
        <v>Touro Selvagem de Creta</v>
      </c>
      <c r="E295" s="8" t="str">
        <f>'Sistema de Raridade e Evolução'!B7</f>
        <v>Lendário</v>
      </c>
      <c r="F295" s="9">
        <f>ROUND(('Criaturas - Base de Dados'!H50*'Sistema de Raridade e Evolução'!E7)*1000,2)</f>
        <v>3600000</v>
      </c>
      <c r="G295" s="8">
        <f>ROUND('Criaturas - Base de Dados'!I50*'Sistema de Raridade e Evolução'!E7,0)</f>
        <v>2100</v>
      </c>
      <c r="H295" s="8">
        <f>ROUND('Criaturas - Base de Dados'!J50*'Sistema de Raridade e Evolução'!E7,0)</f>
        <v>1800</v>
      </c>
      <c r="I295" s="8">
        <f>ROUND('Criaturas - Base de Dados'!K50*'Sistema de Raridade e Evolução'!E7,0)</f>
        <v>11550</v>
      </c>
      <c r="J295" s="8">
        <f>'Sistema de Raridade e Evolução'!D7</f>
        <v>91</v>
      </c>
      <c r="K295" s="8" t="s">
        <v>925</v>
      </c>
      <c r="L295" s="9">
        <f t="shared" si="4"/>
        <v>8571428.5700000003</v>
      </c>
    </row>
    <row r="296" spans="1:12" ht="14.25" customHeight="1" x14ac:dyDescent="0.3">
      <c r="A296" s="8">
        <v>295</v>
      </c>
      <c r="B296" s="8" t="str">
        <f>'Criaturas - Base de Dados'!B51</f>
        <v>Fúria Selvagem</v>
      </c>
      <c r="C296" s="8" t="str">
        <f>'Criaturas - Base de Dados'!C51</f>
        <v>Natureza</v>
      </c>
      <c r="D296" s="8" t="str">
        <f>'Criaturas - Base de Dados'!D51</f>
        <v>Lobo Guerreiro Ancestral</v>
      </c>
      <c r="E296" s="8" t="str">
        <f>'Sistema de Raridade e Evolução'!B2</f>
        <v>Default</v>
      </c>
      <c r="F296" s="9" t="e">
        <f>ROUND(('Criaturas - Base de Dados'!H51*'Sistema de Raridade e Evolução'!E2)*1000,2)</f>
        <v>#VALUE!</v>
      </c>
      <c r="G296" s="8" t="e">
        <f>ROUND('Criaturas - Base de Dados'!I51*'Sistema de Raridade e Evolução'!E2,0)</f>
        <v>#VALUE!</v>
      </c>
      <c r="H296" s="8" t="e">
        <f>ROUND('Criaturas - Base de Dados'!J51*'Sistema de Raridade e Evolução'!E2,0)</f>
        <v>#VALUE!</v>
      </c>
      <c r="I296" s="8" t="e">
        <f>ROUND('Criaturas - Base de Dados'!K51*'Sistema de Raridade e Evolução'!E2,0)</f>
        <v>#VALUE!</v>
      </c>
      <c r="J296" s="8">
        <f>'Sistema de Raridade e Evolução'!D2</f>
        <v>1</v>
      </c>
      <c r="K296" s="8" t="s">
        <v>8</v>
      </c>
      <c r="L296" s="9" t="e">
        <f t="shared" si="4"/>
        <v>#VALUE!</v>
      </c>
    </row>
    <row r="297" spans="1:12" ht="14.25" hidden="1" customHeight="1" x14ac:dyDescent="0.3">
      <c r="A297" s="8">
        <v>296</v>
      </c>
      <c r="B297" s="8" t="str">
        <f>'Criaturas - Base de Dados'!B51</f>
        <v>Fúria Selvagem</v>
      </c>
      <c r="C297" s="8" t="str">
        <f>'Criaturas - Base de Dados'!C51</f>
        <v>Natureza</v>
      </c>
      <c r="D297" s="8" t="str">
        <f>'Criaturas - Base de Dados'!D51</f>
        <v>Lobo Guerreiro Ancestral</v>
      </c>
      <c r="E297" s="8" t="str">
        <f>'Sistema de Raridade e Evolução'!B3</f>
        <v>Bronze</v>
      </c>
      <c r="F297" s="9">
        <f>ROUND(('Criaturas - Base de Dados'!H51*'Sistema de Raridade e Evolução'!E3)*1000,2)</f>
        <v>26000</v>
      </c>
      <c r="G297" s="8">
        <f>ROUND('Criaturas - Base de Dados'!I51*'Sistema de Raridade e Evolução'!E3,0)</f>
        <v>16</v>
      </c>
      <c r="H297" s="8">
        <f>ROUND('Criaturas - Base de Dados'!J51*'Sistema de Raridade e Evolução'!E3,0)</f>
        <v>13</v>
      </c>
      <c r="I297" s="8">
        <f>ROUND('Criaturas - Base de Dados'!K51*'Sistema de Raridade e Evolução'!E3,0)</f>
        <v>83</v>
      </c>
      <c r="J297" s="8">
        <f>'Sistema de Raridade e Evolução'!D3</f>
        <v>6</v>
      </c>
      <c r="K297" s="8" t="s">
        <v>9</v>
      </c>
      <c r="L297" s="9">
        <f t="shared" si="4"/>
        <v>61904.76</v>
      </c>
    </row>
    <row r="298" spans="1:12" ht="14.25" hidden="1" customHeight="1" x14ac:dyDescent="0.3">
      <c r="A298" s="8">
        <v>297</v>
      </c>
      <c r="B298" s="8" t="str">
        <f>'Criaturas - Base de Dados'!B51</f>
        <v>Fúria Selvagem</v>
      </c>
      <c r="C298" s="8" t="str">
        <f>'Criaturas - Base de Dados'!C51</f>
        <v>Natureza</v>
      </c>
      <c r="D298" s="8" t="str">
        <f>'Criaturas - Base de Dados'!D51</f>
        <v>Lobo Guerreiro Ancestral</v>
      </c>
      <c r="E298" s="8" t="str">
        <f>'Sistema de Raridade e Evolução'!B4</f>
        <v>Prata</v>
      </c>
      <c r="F298" s="9">
        <f>ROUND(('Criaturas - Base de Dados'!H51*'Sistema de Raridade e Evolução'!E4)*1000,2)</f>
        <v>156000</v>
      </c>
      <c r="G298" s="8">
        <f>ROUND('Criaturas - Base de Dados'!I51*'Sistema de Raridade e Evolução'!E4,0)</f>
        <v>96</v>
      </c>
      <c r="H298" s="8">
        <f>ROUND('Criaturas - Base de Dados'!J51*'Sistema de Raridade e Evolução'!E4,0)</f>
        <v>78</v>
      </c>
      <c r="I298" s="8">
        <f>ROUND('Criaturas - Base de Dados'!K51*'Sistema de Raridade e Evolução'!E4,0)</f>
        <v>498</v>
      </c>
      <c r="J298" s="8">
        <f>'Sistema de Raridade e Evolução'!D4</f>
        <v>16</v>
      </c>
      <c r="K298" s="8" t="s">
        <v>10</v>
      </c>
      <c r="L298" s="9">
        <f t="shared" si="4"/>
        <v>371428.57</v>
      </c>
    </row>
    <row r="299" spans="1:12" ht="14.25" hidden="1" customHeight="1" x14ac:dyDescent="0.3">
      <c r="A299" s="8">
        <v>298</v>
      </c>
      <c r="B299" s="8" t="str">
        <f>'Criaturas - Base de Dados'!B51</f>
        <v>Fúria Selvagem</v>
      </c>
      <c r="C299" s="8" t="str">
        <f>'Criaturas - Base de Dados'!C51</f>
        <v>Natureza</v>
      </c>
      <c r="D299" s="8" t="str">
        <f>'Criaturas - Base de Dados'!D51</f>
        <v>Lobo Guerreiro Ancestral</v>
      </c>
      <c r="E299" s="8" t="str">
        <f>'Sistema de Raridade e Evolução'!B5</f>
        <v>Ouro</v>
      </c>
      <c r="F299" s="9">
        <f>ROUND(('Criaturas - Base de Dados'!H51*'Sistema de Raridade e Evolução'!E5)*1000,2)</f>
        <v>468000</v>
      </c>
      <c r="G299" s="8">
        <f>ROUND('Criaturas - Base de Dados'!I51*'Sistema de Raridade e Evolução'!E5,0)</f>
        <v>288</v>
      </c>
      <c r="H299" s="8">
        <f>ROUND('Criaturas - Base de Dados'!J51*'Sistema de Raridade e Evolução'!E5,0)</f>
        <v>234</v>
      </c>
      <c r="I299" s="8">
        <f>ROUND('Criaturas - Base de Dados'!K51*'Sistema de Raridade e Evolução'!E5,0)</f>
        <v>1494</v>
      </c>
      <c r="J299" s="8">
        <f>'Sistema de Raridade e Evolução'!D5</f>
        <v>31</v>
      </c>
      <c r="K299" s="8" t="s">
        <v>11</v>
      </c>
      <c r="L299" s="9">
        <f t="shared" si="4"/>
        <v>1114285.71</v>
      </c>
    </row>
    <row r="300" spans="1:12" ht="14.25" hidden="1" customHeight="1" x14ac:dyDescent="0.3">
      <c r="A300" s="8">
        <v>299</v>
      </c>
      <c r="B300" s="8" t="str">
        <f>'Criaturas - Base de Dados'!B51</f>
        <v>Fúria Selvagem</v>
      </c>
      <c r="C300" s="8" t="str">
        <f>'Criaturas - Base de Dados'!C51</f>
        <v>Natureza</v>
      </c>
      <c r="D300" s="8" t="str">
        <f>'Criaturas - Base de Dados'!D51</f>
        <v>Lobo Guerreiro Ancestral</v>
      </c>
      <c r="E300" s="8" t="str">
        <f>'Sistema de Raridade e Evolução'!B6</f>
        <v>Platina</v>
      </c>
      <c r="F300" s="9">
        <f>ROUND(('Criaturas - Base de Dados'!H51*'Sistema de Raridade e Evolução'!E6)*1000,2)</f>
        <v>1300000</v>
      </c>
      <c r="G300" s="8">
        <f>ROUND('Criaturas - Base de Dados'!I51*'Sistema de Raridade e Evolução'!E6,0)</f>
        <v>800</v>
      </c>
      <c r="H300" s="8">
        <f>ROUND('Criaturas - Base de Dados'!J51*'Sistema de Raridade e Evolução'!E6,0)</f>
        <v>650</v>
      </c>
      <c r="I300" s="8">
        <f>ROUND('Criaturas - Base de Dados'!K51*'Sistema de Raridade e Evolução'!E6,0)</f>
        <v>4150</v>
      </c>
      <c r="J300" s="8">
        <f>'Sistema de Raridade e Evolução'!D6</f>
        <v>56</v>
      </c>
      <c r="K300" s="8" t="s">
        <v>12</v>
      </c>
      <c r="L300" s="9">
        <f t="shared" si="4"/>
        <v>3095238.1</v>
      </c>
    </row>
    <row r="301" spans="1:12" ht="14.25" hidden="1" customHeight="1" x14ac:dyDescent="0.3">
      <c r="A301" s="8">
        <v>300</v>
      </c>
      <c r="B301" s="8" t="str">
        <f>'Criaturas - Base de Dados'!B51</f>
        <v>Fúria Selvagem</v>
      </c>
      <c r="C301" s="8" t="str">
        <f>'Criaturas - Base de Dados'!C51</f>
        <v>Natureza</v>
      </c>
      <c r="D301" s="8" t="str">
        <f>'Criaturas - Base de Dados'!D51</f>
        <v>Lobo Guerreiro Ancestral</v>
      </c>
      <c r="E301" s="8" t="str">
        <f>'Sistema de Raridade e Evolução'!B7</f>
        <v>Lendário</v>
      </c>
      <c r="F301" s="9">
        <f>ROUND(('Criaturas - Base de Dados'!H51*'Sistema de Raridade e Evolução'!E7)*1000,2)</f>
        <v>3900000</v>
      </c>
      <c r="G301" s="8">
        <f>ROUND('Criaturas - Base de Dados'!I51*'Sistema de Raridade e Evolução'!E7,0)</f>
        <v>2400</v>
      </c>
      <c r="H301" s="8">
        <f>ROUND('Criaturas - Base de Dados'!J51*'Sistema de Raridade e Evolução'!E7,0)</f>
        <v>1950</v>
      </c>
      <c r="I301" s="8">
        <f>ROUND('Criaturas - Base de Dados'!K51*'Sistema de Raridade e Evolução'!E7,0)</f>
        <v>12450</v>
      </c>
      <c r="J301" s="8">
        <f>'Sistema de Raridade e Evolução'!D7</f>
        <v>91</v>
      </c>
      <c r="K301" s="8" t="s">
        <v>925</v>
      </c>
      <c r="L301" s="9">
        <f t="shared" si="4"/>
        <v>9285714.2899999991</v>
      </c>
    </row>
    <row r="302" spans="1:12" ht="14.25" customHeight="1" x14ac:dyDescent="0.3">
      <c r="A302" s="8">
        <v>301</v>
      </c>
      <c r="B302" s="8" t="str">
        <f>'Criaturas - Base de Dados'!B52</f>
        <v>Fúria Selvagem</v>
      </c>
      <c r="C302" s="8" t="str">
        <f>'Criaturas - Base de Dados'!C52</f>
        <v>Natureza</v>
      </c>
      <c r="D302" s="8" t="str">
        <f>'Criaturas - Base de Dados'!D52</f>
        <v>Centauro Arqueiro</v>
      </c>
      <c r="E302" s="8" t="str">
        <f>'Sistema de Raridade e Evolução'!B2</f>
        <v>Default</v>
      </c>
      <c r="F302" s="9" t="e">
        <f>ROUND(('Criaturas - Base de Dados'!H52*'Sistema de Raridade e Evolução'!E2)*1000,2)</f>
        <v>#VALUE!</v>
      </c>
      <c r="G302" s="8" t="e">
        <f>ROUND('Criaturas - Base de Dados'!I52*'Sistema de Raridade e Evolução'!E2,0)</f>
        <v>#VALUE!</v>
      </c>
      <c r="H302" s="8" t="e">
        <f>ROUND('Criaturas - Base de Dados'!J52*'Sistema de Raridade e Evolução'!E2,0)</f>
        <v>#VALUE!</v>
      </c>
      <c r="I302" s="8" t="e">
        <f>ROUND('Criaturas - Base de Dados'!K52*'Sistema de Raridade e Evolução'!E2,0)</f>
        <v>#VALUE!</v>
      </c>
      <c r="J302" s="8">
        <f>'Sistema de Raridade e Evolução'!D2</f>
        <v>1</v>
      </c>
      <c r="K302" s="8" t="s">
        <v>8</v>
      </c>
      <c r="L302" s="9" t="e">
        <f t="shared" si="4"/>
        <v>#VALUE!</v>
      </c>
    </row>
    <row r="303" spans="1:12" ht="14.25" hidden="1" customHeight="1" x14ac:dyDescent="0.3">
      <c r="A303" s="8">
        <v>302</v>
      </c>
      <c r="B303" s="8" t="str">
        <f>'Criaturas - Base de Dados'!B52</f>
        <v>Fúria Selvagem</v>
      </c>
      <c r="C303" s="8" t="str">
        <f>'Criaturas - Base de Dados'!C52</f>
        <v>Natureza</v>
      </c>
      <c r="D303" s="8" t="str">
        <f>'Criaturas - Base de Dados'!D52</f>
        <v>Centauro Arqueiro</v>
      </c>
      <c r="E303" s="8" t="str">
        <f>'Sistema de Raridade e Evolução'!B3</f>
        <v>Bronze</v>
      </c>
      <c r="F303" s="9">
        <f>ROUND(('Criaturas - Base de Dados'!H52*'Sistema de Raridade e Evolução'!E3)*1000,2)</f>
        <v>28000</v>
      </c>
      <c r="G303" s="8">
        <f>ROUND('Criaturas - Base de Dados'!I52*'Sistema de Raridade e Evolução'!E3,0)</f>
        <v>17</v>
      </c>
      <c r="H303" s="8">
        <f>ROUND('Criaturas - Base de Dados'!J52*'Sistema de Raridade e Evolução'!E3,0)</f>
        <v>14</v>
      </c>
      <c r="I303" s="8">
        <f>ROUND('Criaturas - Base de Dados'!K52*'Sistema de Raridade e Evolução'!E3,0)</f>
        <v>90</v>
      </c>
      <c r="J303" s="8">
        <f>'Sistema de Raridade e Evolução'!D3</f>
        <v>6</v>
      </c>
      <c r="K303" s="8" t="s">
        <v>9</v>
      </c>
      <c r="L303" s="9">
        <f t="shared" si="4"/>
        <v>66666.67</v>
      </c>
    </row>
    <row r="304" spans="1:12" ht="14.25" hidden="1" customHeight="1" x14ac:dyDescent="0.3">
      <c r="A304" s="8">
        <v>303</v>
      </c>
      <c r="B304" s="8" t="str">
        <f>'Criaturas - Base de Dados'!B52</f>
        <v>Fúria Selvagem</v>
      </c>
      <c r="C304" s="8" t="str">
        <f>'Criaturas - Base de Dados'!C52</f>
        <v>Natureza</v>
      </c>
      <c r="D304" s="8" t="str">
        <f>'Criaturas - Base de Dados'!D52</f>
        <v>Centauro Arqueiro</v>
      </c>
      <c r="E304" s="8" t="str">
        <f>'Sistema de Raridade e Evolução'!B4</f>
        <v>Prata</v>
      </c>
      <c r="F304" s="9">
        <f>ROUND(('Criaturas - Base de Dados'!H52*'Sistema de Raridade e Evolução'!E4)*1000,2)</f>
        <v>168000</v>
      </c>
      <c r="G304" s="8">
        <f>ROUND('Criaturas - Base de Dados'!I52*'Sistema de Raridade e Evolução'!E4,0)</f>
        <v>102</v>
      </c>
      <c r="H304" s="8">
        <f>ROUND('Criaturas - Base de Dados'!J52*'Sistema de Raridade e Evolução'!E4,0)</f>
        <v>84</v>
      </c>
      <c r="I304" s="8">
        <f>ROUND('Criaturas - Base de Dados'!K52*'Sistema de Raridade e Evolução'!E4,0)</f>
        <v>540</v>
      </c>
      <c r="J304" s="8">
        <f>'Sistema de Raridade e Evolução'!D4</f>
        <v>16</v>
      </c>
      <c r="K304" s="8" t="s">
        <v>10</v>
      </c>
      <c r="L304" s="9">
        <f t="shared" si="4"/>
        <v>400000</v>
      </c>
    </row>
    <row r="305" spans="1:12" ht="14.25" hidden="1" customHeight="1" x14ac:dyDescent="0.3">
      <c r="A305" s="8">
        <v>304</v>
      </c>
      <c r="B305" s="8" t="str">
        <f>'Criaturas - Base de Dados'!B52</f>
        <v>Fúria Selvagem</v>
      </c>
      <c r="C305" s="8" t="str">
        <f>'Criaturas - Base de Dados'!C52</f>
        <v>Natureza</v>
      </c>
      <c r="D305" s="8" t="str">
        <f>'Criaturas - Base de Dados'!D52</f>
        <v>Centauro Arqueiro</v>
      </c>
      <c r="E305" s="8" t="str">
        <f>'Sistema de Raridade e Evolução'!B5</f>
        <v>Ouro</v>
      </c>
      <c r="F305" s="9">
        <f>ROUND(('Criaturas - Base de Dados'!H52*'Sistema de Raridade e Evolução'!E5)*1000,2)</f>
        <v>504000</v>
      </c>
      <c r="G305" s="8">
        <f>ROUND('Criaturas - Base de Dados'!I52*'Sistema de Raridade e Evolução'!E5,0)</f>
        <v>306</v>
      </c>
      <c r="H305" s="8">
        <f>ROUND('Criaturas - Base de Dados'!J52*'Sistema de Raridade e Evolução'!E5,0)</f>
        <v>252</v>
      </c>
      <c r="I305" s="8">
        <f>ROUND('Criaturas - Base de Dados'!K52*'Sistema de Raridade e Evolução'!E5,0)</f>
        <v>1620</v>
      </c>
      <c r="J305" s="8">
        <f>'Sistema de Raridade e Evolução'!D5</f>
        <v>31</v>
      </c>
      <c r="K305" s="8" t="s">
        <v>11</v>
      </c>
      <c r="L305" s="9">
        <f t="shared" si="4"/>
        <v>1200000</v>
      </c>
    </row>
    <row r="306" spans="1:12" ht="14.25" hidden="1" customHeight="1" x14ac:dyDescent="0.3">
      <c r="A306" s="8">
        <v>305</v>
      </c>
      <c r="B306" s="8" t="str">
        <f>'Criaturas - Base de Dados'!B52</f>
        <v>Fúria Selvagem</v>
      </c>
      <c r="C306" s="8" t="str">
        <f>'Criaturas - Base de Dados'!C52</f>
        <v>Natureza</v>
      </c>
      <c r="D306" s="8" t="str">
        <f>'Criaturas - Base de Dados'!D52</f>
        <v>Centauro Arqueiro</v>
      </c>
      <c r="E306" s="8" t="str">
        <f>'Sistema de Raridade e Evolução'!B6</f>
        <v>Platina</v>
      </c>
      <c r="F306" s="9">
        <f>ROUND(('Criaturas - Base de Dados'!H52*'Sistema de Raridade e Evolução'!E6)*1000,2)</f>
        <v>1400000</v>
      </c>
      <c r="G306" s="8">
        <f>ROUND('Criaturas - Base de Dados'!I52*'Sistema de Raridade e Evolução'!E6,0)</f>
        <v>850</v>
      </c>
      <c r="H306" s="8">
        <f>ROUND('Criaturas - Base de Dados'!J52*'Sistema de Raridade e Evolução'!E6,0)</f>
        <v>700</v>
      </c>
      <c r="I306" s="8">
        <f>ROUND('Criaturas - Base de Dados'!K52*'Sistema de Raridade e Evolução'!E6,0)</f>
        <v>4500</v>
      </c>
      <c r="J306" s="8">
        <f>'Sistema de Raridade e Evolução'!D6</f>
        <v>56</v>
      </c>
      <c r="K306" s="8" t="s">
        <v>12</v>
      </c>
      <c r="L306" s="9">
        <f t="shared" si="4"/>
        <v>3333333.33</v>
      </c>
    </row>
    <row r="307" spans="1:12" ht="14.25" hidden="1" customHeight="1" x14ac:dyDescent="0.3">
      <c r="A307" s="8">
        <v>306</v>
      </c>
      <c r="B307" s="8" t="str">
        <f>'Criaturas - Base de Dados'!B52</f>
        <v>Fúria Selvagem</v>
      </c>
      <c r="C307" s="8" t="str">
        <f>'Criaturas - Base de Dados'!C52</f>
        <v>Natureza</v>
      </c>
      <c r="D307" s="8" t="str">
        <f>'Criaturas - Base de Dados'!D52</f>
        <v>Centauro Arqueiro</v>
      </c>
      <c r="E307" s="8" t="str">
        <f>'Sistema de Raridade e Evolução'!B7</f>
        <v>Lendário</v>
      </c>
      <c r="F307" s="9">
        <f>ROUND(('Criaturas - Base de Dados'!H52*'Sistema de Raridade e Evolução'!E7)*1000,2)</f>
        <v>4200000</v>
      </c>
      <c r="G307" s="8">
        <f>ROUND('Criaturas - Base de Dados'!I52*'Sistema de Raridade e Evolução'!E7,0)</f>
        <v>2550</v>
      </c>
      <c r="H307" s="8">
        <f>ROUND('Criaturas - Base de Dados'!J52*'Sistema de Raridade e Evolução'!E7,0)</f>
        <v>2100</v>
      </c>
      <c r="I307" s="8">
        <f>ROUND('Criaturas - Base de Dados'!K52*'Sistema de Raridade e Evolução'!E7,0)</f>
        <v>13500</v>
      </c>
      <c r="J307" s="8">
        <f>'Sistema de Raridade e Evolução'!D7</f>
        <v>91</v>
      </c>
      <c r="K307" s="8" t="s">
        <v>925</v>
      </c>
      <c r="L307" s="9">
        <f t="shared" si="4"/>
        <v>10000000</v>
      </c>
    </row>
    <row r="308" spans="1:12" ht="14.25" customHeight="1" x14ac:dyDescent="0.3">
      <c r="A308" s="8">
        <v>307</v>
      </c>
      <c r="B308" s="8" t="str">
        <f>'Criaturas - Base de Dados'!B53</f>
        <v>Fúria Selvagem</v>
      </c>
      <c r="C308" s="8" t="str">
        <f>'Criaturas - Base de Dados'!C53</f>
        <v>Natureza</v>
      </c>
      <c r="D308" s="8" t="str">
        <f>'Criaturas - Base de Dados'!D53</f>
        <v>Fauno da Clareira</v>
      </c>
      <c r="E308" s="8" t="str">
        <f>'Sistema de Raridade e Evolução'!B2</f>
        <v>Default</v>
      </c>
      <c r="F308" s="9" t="e">
        <f>ROUND(('Criaturas - Base de Dados'!H53*'Sistema de Raridade e Evolução'!E2)*1000,2)</f>
        <v>#VALUE!</v>
      </c>
      <c r="G308" s="8" t="e">
        <f>ROUND('Criaturas - Base de Dados'!I53*'Sistema de Raridade e Evolução'!E2,0)</f>
        <v>#VALUE!</v>
      </c>
      <c r="H308" s="8" t="e">
        <f>ROUND('Criaturas - Base de Dados'!J53*'Sistema de Raridade e Evolução'!E2,0)</f>
        <v>#VALUE!</v>
      </c>
      <c r="I308" s="8" t="e">
        <f>ROUND('Criaturas - Base de Dados'!K53*'Sistema de Raridade e Evolução'!E2,0)</f>
        <v>#VALUE!</v>
      </c>
      <c r="J308" s="8">
        <f>'Sistema de Raridade e Evolução'!D2</f>
        <v>1</v>
      </c>
      <c r="K308" s="8" t="s">
        <v>8</v>
      </c>
      <c r="L308" s="9" t="e">
        <f t="shared" si="4"/>
        <v>#VALUE!</v>
      </c>
    </row>
    <row r="309" spans="1:12" ht="14.25" hidden="1" customHeight="1" x14ac:dyDescent="0.3">
      <c r="A309" s="8">
        <v>308</v>
      </c>
      <c r="B309" s="8" t="str">
        <f>'Criaturas - Base de Dados'!B53</f>
        <v>Fúria Selvagem</v>
      </c>
      <c r="C309" s="8" t="str">
        <f>'Criaturas - Base de Dados'!C53</f>
        <v>Natureza</v>
      </c>
      <c r="D309" s="8" t="str">
        <f>'Criaturas - Base de Dados'!D53</f>
        <v>Fauno da Clareira</v>
      </c>
      <c r="E309" s="8" t="str">
        <f>'Sistema de Raridade e Evolução'!B3</f>
        <v>Bronze</v>
      </c>
      <c r="F309" s="9">
        <f>ROUND(('Criaturas - Base de Dados'!H53*'Sistema de Raridade e Evolução'!E3)*1000,2)</f>
        <v>30000</v>
      </c>
      <c r="G309" s="8">
        <f>ROUND('Criaturas - Base de Dados'!I53*'Sistema de Raridade e Evolução'!E3,0)</f>
        <v>18</v>
      </c>
      <c r="H309" s="8">
        <f>ROUND('Criaturas - Base de Dados'!J53*'Sistema de Raridade e Evolução'!E3,0)</f>
        <v>15</v>
      </c>
      <c r="I309" s="8">
        <f>ROUND('Criaturas - Base de Dados'!K53*'Sistema de Raridade e Evolução'!E3,0)</f>
        <v>96</v>
      </c>
      <c r="J309" s="8">
        <f>'Sistema de Raridade e Evolução'!D3</f>
        <v>6</v>
      </c>
      <c r="K309" s="8" t="s">
        <v>9</v>
      </c>
      <c r="L309" s="9">
        <f t="shared" si="4"/>
        <v>71428.570000000007</v>
      </c>
    </row>
    <row r="310" spans="1:12" ht="14.25" hidden="1" customHeight="1" x14ac:dyDescent="0.3">
      <c r="A310" s="8">
        <v>309</v>
      </c>
      <c r="B310" s="8" t="str">
        <f>'Criaturas - Base de Dados'!B53</f>
        <v>Fúria Selvagem</v>
      </c>
      <c r="C310" s="8" t="str">
        <f>'Criaturas - Base de Dados'!C53</f>
        <v>Natureza</v>
      </c>
      <c r="D310" s="8" t="str">
        <f>'Criaturas - Base de Dados'!D53</f>
        <v>Fauno da Clareira</v>
      </c>
      <c r="E310" s="8" t="str">
        <f>'Sistema de Raridade e Evolução'!B4</f>
        <v>Prata</v>
      </c>
      <c r="F310" s="9">
        <f>ROUND(('Criaturas - Base de Dados'!H53*'Sistema de Raridade e Evolução'!E4)*1000,2)</f>
        <v>180000</v>
      </c>
      <c r="G310" s="8">
        <f>ROUND('Criaturas - Base de Dados'!I53*'Sistema de Raridade e Evolução'!E4,0)</f>
        <v>108</v>
      </c>
      <c r="H310" s="8">
        <f>ROUND('Criaturas - Base de Dados'!J53*'Sistema de Raridade e Evolução'!E4,0)</f>
        <v>90</v>
      </c>
      <c r="I310" s="8">
        <f>ROUND('Criaturas - Base de Dados'!K53*'Sistema de Raridade e Evolução'!E4,0)</f>
        <v>576</v>
      </c>
      <c r="J310" s="8">
        <f>'Sistema de Raridade e Evolução'!D4</f>
        <v>16</v>
      </c>
      <c r="K310" s="8" t="s">
        <v>10</v>
      </c>
      <c r="L310" s="9">
        <f t="shared" si="4"/>
        <v>428571.43</v>
      </c>
    </row>
    <row r="311" spans="1:12" ht="14.25" hidden="1" customHeight="1" x14ac:dyDescent="0.3">
      <c r="A311" s="8">
        <v>310</v>
      </c>
      <c r="B311" s="8" t="str">
        <f>'Criaturas - Base de Dados'!B53</f>
        <v>Fúria Selvagem</v>
      </c>
      <c r="C311" s="8" t="str">
        <f>'Criaturas - Base de Dados'!C53</f>
        <v>Natureza</v>
      </c>
      <c r="D311" s="8" t="str">
        <f>'Criaturas - Base de Dados'!D53</f>
        <v>Fauno da Clareira</v>
      </c>
      <c r="E311" s="8" t="str">
        <f>'Sistema de Raridade e Evolução'!B5</f>
        <v>Ouro</v>
      </c>
      <c r="F311" s="9">
        <f>ROUND(('Criaturas - Base de Dados'!H53*'Sistema de Raridade e Evolução'!E5)*1000,2)</f>
        <v>540000</v>
      </c>
      <c r="G311" s="8">
        <f>ROUND('Criaturas - Base de Dados'!I53*'Sistema de Raridade e Evolução'!E5,0)</f>
        <v>324</v>
      </c>
      <c r="H311" s="8">
        <f>ROUND('Criaturas - Base de Dados'!J53*'Sistema de Raridade e Evolução'!E5,0)</f>
        <v>270</v>
      </c>
      <c r="I311" s="8">
        <f>ROUND('Criaturas - Base de Dados'!K53*'Sistema de Raridade e Evolução'!E5,0)</f>
        <v>1728</v>
      </c>
      <c r="J311" s="8">
        <f>'Sistema de Raridade e Evolução'!D5</f>
        <v>31</v>
      </c>
      <c r="K311" s="8" t="s">
        <v>11</v>
      </c>
      <c r="L311" s="9">
        <f t="shared" si="4"/>
        <v>1285714.29</v>
      </c>
    </row>
    <row r="312" spans="1:12" ht="14.25" hidden="1" customHeight="1" x14ac:dyDescent="0.3">
      <c r="A312" s="8">
        <v>311</v>
      </c>
      <c r="B312" s="8" t="str">
        <f>'Criaturas - Base de Dados'!B53</f>
        <v>Fúria Selvagem</v>
      </c>
      <c r="C312" s="8" t="str">
        <f>'Criaturas - Base de Dados'!C53</f>
        <v>Natureza</v>
      </c>
      <c r="D312" s="8" t="str">
        <f>'Criaturas - Base de Dados'!D53</f>
        <v>Fauno da Clareira</v>
      </c>
      <c r="E312" s="8" t="str">
        <f>'Sistema de Raridade e Evolução'!B6</f>
        <v>Platina</v>
      </c>
      <c r="F312" s="9">
        <f>ROUND(('Criaturas - Base de Dados'!H53*'Sistema de Raridade e Evolução'!E6)*1000,2)</f>
        <v>1500000</v>
      </c>
      <c r="G312" s="8">
        <f>ROUND('Criaturas - Base de Dados'!I53*'Sistema de Raridade e Evolução'!E6,0)</f>
        <v>900</v>
      </c>
      <c r="H312" s="8">
        <f>ROUND('Criaturas - Base de Dados'!J53*'Sistema de Raridade e Evolução'!E6,0)</f>
        <v>750</v>
      </c>
      <c r="I312" s="8">
        <f>ROUND('Criaturas - Base de Dados'!K53*'Sistema de Raridade e Evolução'!E6,0)</f>
        <v>4800</v>
      </c>
      <c r="J312" s="8">
        <f>'Sistema de Raridade e Evolução'!D6</f>
        <v>56</v>
      </c>
      <c r="K312" s="8" t="s">
        <v>12</v>
      </c>
      <c r="L312" s="9">
        <f t="shared" si="4"/>
        <v>3571428.57</v>
      </c>
    </row>
    <row r="313" spans="1:12" ht="14.25" hidden="1" customHeight="1" x14ac:dyDescent="0.3">
      <c r="A313" s="8">
        <v>312</v>
      </c>
      <c r="B313" s="8" t="str">
        <f>'Criaturas - Base de Dados'!B53</f>
        <v>Fúria Selvagem</v>
      </c>
      <c r="C313" s="8" t="str">
        <f>'Criaturas - Base de Dados'!C53</f>
        <v>Natureza</v>
      </c>
      <c r="D313" s="8" t="str">
        <f>'Criaturas - Base de Dados'!D53</f>
        <v>Fauno da Clareira</v>
      </c>
      <c r="E313" s="8" t="str">
        <f>'Sistema de Raridade e Evolução'!B7</f>
        <v>Lendário</v>
      </c>
      <c r="F313" s="9">
        <f>ROUND(('Criaturas - Base de Dados'!H53*'Sistema de Raridade e Evolução'!E7)*1000,2)</f>
        <v>4500000</v>
      </c>
      <c r="G313" s="8">
        <f>ROUND('Criaturas - Base de Dados'!I53*'Sistema de Raridade e Evolução'!E7,0)</f>
        <v>2700</v>
      </c>
      <c r="H313" s="8">
        <f>ROUND('Criaturas - Base de Dados'!J53*'Sistema de Raridade e Evolução'!E7,0)</f>
        <v>2250</v>
      </c>
      <c r="I313" s="8">
        <f>ROUND('Criaturas - Base de Dados'!K53*'Sistema de Raridade e Evolução'!E7,0)</f>
        <v>14400</v>
      </c>
      <c r="J313" s="8">
        <f>'Sistema de Raridade e Evolução'!D7</f>
        <v>91</v>
      </c>
      <c r="K313" s="8" t="s">
        <v>925</v>
      </c>
      <c r="L313" s="9">
        <f t="shared" si="4"/>
        <v>10714285.710000001</v>
      </c>
    </row>
    <row r="314" spans="1:12" ht="14.25" customHeight="1" x14ac:dyDescent="0.3">
      <c r="A314" s="8">
        <v>313</v>
      </c>
      <c r="B314" s="8" t="str">
        <f>'Criaturas - Base de Dados'!B54</f>
        <v>Fúria Selvagem</v>
      </c>
      <c r="C314" s="8" t="str">
        <f>'Criaturas - Base de Dados'!C54</f>
        <v>Natureza</v>
      </c>
      <c r="D314" s="8" t="str">
        <f>'Criaturas - Base de Dados'!D54</f>
        <v>Sátiro Dançarino</v>
      </c>
      <c r="E314" s="8" t="str">
        <f>'Sistema de Raridade e Evolução'!B2</f>
        <v>Default</v>
      </c>
      <c r="F314" s="9" t="e">
        <f>ROUND(('Criaturas - Base de Dados'!H54*'Sistema de Raridade e Evolução'!E2)*1000,2)</f>
        <v>#VALUE!</v>
      </c>
      <c r="G314" s="8" t="e">
        <f>ROUND('Criaturas - Base de Dados'!I54*'Sistema de Raridade e Evolução'!E2,0)</f>
        <v>#VALUE!</v>
      </c>
      <c r="H314" s="8" t="e">
        <f>ROUND('Criaturas - Base de Dados'!J54*'Sistema de Raridade e Evolução'!E2,0)</f>
        <v>#VALUE!</v>
      </c>
      <c r="I314" s="8" t="e">
        <f>ROUND('Criaturas - Base de Dados'!K54*'Sistema de Raridade e Evolução'!E2,0)</f>
        <v>#VALUE!</v>
      </c>
      <c r="J314" s="8">
        <f>'Sistema de Raridade e Evolução'!D2</f>
        <v>1</v>
      </c>
      <c r="K314" s="8" t="s">
        <v>8</v>
      </c>
      <c r="L314" s="9" t="e">
        <f t="shared" si="4"/>
        <v>#VALUE!</v>
      </c>
    </row>
    <row r="315" spans="1:12" ht="14.25" hidden="1" customHeight="1" x14ac:dyDescent="0.3">
      <c r="A315" s="8">
        <v>314</v>
      </c>
      <c r="B315" s="8" t="str">
        <f>'Criaturas - Base de Dados'!B54</f>
        <v>Fúria Selvagem</v>
      </c>
      <c r="C315" s="8" t="str">
        <f>'Criaturas - Base de Dados'!C54</f>
        <v>Natureza</v>
      </c>
      <c r="D315" s="8" t="str">
        <f>'Criaturas - Base de Dados'!D54</f>
        <v>Sátiro Dançarino</v>
      </c>
      <c r="E315" s="8" t="str">
        <f>'Sistema de Raridade e Evolução'!B3</f>
        <v>Bronze</v>
      </c>
      <c r="F315" s="9">
        <f>ROUND(('Criaturas - Base de Dados'!H54*'Sistema de Raridade e Evolução'!E3)*1000,2)</f>
        <v>34000</v>
      </c>
      <c r="G315" s="8">
        <f>ROUND('Criaturas - Base de Dados'!I54*'Sistema de Raridade e Evolução'!E3,0)</f>
        <v>20</v>
      </c>
      <c r="H315" s="8">
        <f>ROUND('Criaturas - Base de Dados'!J54*'Sistema de Raridade e Evolução'!E3,0)</f>
        <v>17</v>
      </c>
      <c r="I315" s="8">
        <f>ROUND('Criaturas - Base de Dados'!K54*'Sistema de Raridade e Evolução'!E3,0)</f>
        <v>109</v>
      </c>
      <c r="J315" s="8">
        <f>'Sistema de Raridade e Evolução'!D3</f>
        <v>6</v>
      </c>
      <c r="K315" s="8" t="s">
        <v>9</v>
      </c>
      <c r="L315" s="9">
        <f t="shared" si="4"/>
        <v>80952.38</v>
      </c>
    </row>
    <row r="316" spans="1:12" ht="14.25" hidden="1" customHeight="1" x14ac:dyDescent="0.3">
      <c r="A316" s="8">
        <v>315</v>
      </c>
      <c r="B316" s="8" t="str">
        <f>'Criaturas - Base de Dados'!B54</f>
        <v>Fúria Selvagem</v>
      </c>
      <c r="C316" s="8" t="str">
        <f>'Criaturas - Base de Dados'!C54</f>
        <v>Natureza</v>
      </c>
      <c r="D316" s="8" t="str">
        <f>'Criaturas - Base de Dados'!D54</f>
        <v>Sátiro Dançarino</v>
      </c>
      <c r="E316" s="8" t="str">
        <f>'Sistema de Raridade e Evolução'!B4</f>
        <v>Prata</v>
      </c>
      <c r="F316" s="9">
        <f>ROUND(('Criaturas - Base de Dados'!H54*'Sistema de Raridade e Evolução'!E4)*1000,2)</f>
        <v>204000</v>
      </c>
      <c r="G316" s="8">
        <f>ROUND('Criaturas - Base de Dados'!I54*'Sistema de Raridade e Evolução'!E4,0)</f>
        <v>120</v>
      </c>
      <c r="H316" s="8">
        <f>ROUND('Criaturas - Base de Dados'!J54*'Sistema de Raridade e Evolução'!E4,0)</f>
        <v>102</v>
      </c>
      <c r="I316" s="8">
        <f>ROUND('Criaturas - Base de Dados'!K54*'Sistema de Raridade e Evolução'!E4,0)</f>
        <v>654</v>
      </c>
      <c r="J316" s="8">
        <f>'Sistema de Raridade e Evolução'!D4</f>
        <v>16</v>
      </c>
      <c r="K316" s="8" t="s">
        <v>10</v>
      </c>
      <c r="L316" s="9">
        <f t="shared" si="4"/>
        <v>485714.29</v>
      </c>
    </row>
    <row r="317" spans="1:12" ht="14.25" hidden="1" customHeight="1" x14ac:dyDescent="0.3">
      <c r="A317" s="8">
        <v>316</v>
      </c>
      <c r="B317" s="8" t="str">
        <f>'Criaturas - Base de Dados'!B54</f>
        <v>Fúria Selvagem</v>
      </c>
      <c r="C317" s="8" t="str">
        <f>'Criaturas - Base de Dados'!C54</f>
        <v>Natureza</v>
      </c>
      <c r="D317" s="8" t="str">
        <f>'Criaturas - Base de Dados'!D54</f>
        <v>Sátiro Dançarino</v>
      </c>
      <c r="E317" s="8" t="str">
        <f>'Sistema de Raridade e Evolução'!B5</f>
        <v>Ouro</v>
      </c>
      <c r="F317" s="9">
        <f>ROUND(('Criaturas - Base de Dados'!H54*'Sistema de Raridade e Evolução'!E5)*1000,2)</f>
        <v>612000</v>
      </c>
      <c r="G317" s="8">
        <f>ROUND('Criaturas - Base de Dados'!I54*'Sistema de Raridade e Evolução'!E5,0)</f>
        <v>360</v>
      </c>
      <c r="H317" s="8">
        <f>ROUND('Criaturas - Base de Dados'!J54*'Sistema de Raridade e Evolução'!E5,0)</f>
        <v>306</v>
      </c>
      <c r="I317" s="8">
        <f>ROUND('Criaturas - Base de Dados'!K54*'Sistema de Raridade e Evolução'!E5,0)</f>
        <v>1962</v>
      </c>
      <c r="J317" s="8">
        <f>'Sistema de Raridade e Evolução'!D5</f>
        <v>31</v>
      </c>
      <c r="K317" s="8" t="s">
        <v>11</v>
      </c>
      <c r="L317" s="9">
        <f t="shared" si="4"/>
        <v>1457142.86</v>
      </c>
    </row>
    <row r="318" spans="1:12" ht="14.25" hidden="1" customHeight="1" x14ac:dyDescent="0.3">
      <c r="A318" s="8">
        <v>317</v>
      </c>
      <c r="B318" s="8" t="str">
        <f>'Criaturas - Base de Dados'!B54</f>
        <v>Fúria Selvagem</v>
      </c>
      <c r="C318" s="8" t="str">
        <f>'Criaturas - Base de Dados'!C54</f>
        <v>Natureza</v>
      </c>
      <c r="D318" s="8" t="str">
        <f>'Criaturas - Base de Dados'!D54</f>
        <v>Sátiro Dançarino</v>
      </c>
      <c r="E318" s="8" t="str">
        <f>'Sistema de Raridade e Evolução'!B6</f>
        <v>Platina</v>
      </c>
      <c r="F318" s="9">
        <f>ROUND(('Criaturas - Base de Dados'!H54*'Sistema de Raridade e Evolução'!E6)*1000,2)</f>
        <v>1700000</v>
      </c>
      <c r="G318" s="8">
        <f>ROUND('Criaturas - Base de Dados'!I54*'Sistema de Raridade e Evolução'!E6,0)</f>
        <v>1000</v>
      </c>
      <c r="H318" s="8">
        <f>ROUND('Criaturas - Base de Dados'!J54*'Sistema de Raridade e Evolução'!E6,0)</f>
        <v>850</v>
      </c>
      <c r="I318" s="8">
        <f>ROUND('Criaturas - Base de Dados'!K54*'Sistema de Raridade e Evolução'!E6,0)</f>
        <v>5450</v>
      </c>
      <c r="J318" s="8">
        <f>'Sistema de Raridade e Evolução'!D6</f>
        <v>56</v>
      </c>
      <c r="K318" s="8" t="s">
        <v>12</v>
      </c>
      <c r="L318" s="9">
        <f t="shared" si="4"/>
        <v>4047619.05</v>
      </c>
    </row>
    <row r="319" spans="1:12" ht="14.25" hidden="1" customHeight="1" x14ac:dyDescent="0.3">
      <c r="A319" s="8">
        <v>318</v>
      </c>
      <c r="B319" s="8" t="str">
        <f>'Criaturas - Base de Dados'!B54</f>
        <v>Fúria Selvagem</v>
      </c>
      <c r="C319" s="8" t="str">
        <f>'Criaturas - Base de Dados'!C54</f>
        <v>Natureza</v>
      </c>
      <c r="D319" s="8" t="str">
        <f>'Criaturas - Base de Dados'!D54</f>
        <v>Sátiro Dançarino</v>
      </c>
      <c r="E319" s="8" t="str">
        <f>'Sistema de Raridade e Evolução'!B7</f>
        <v>Lendário</v>
      </c>
      <c r="F319" s="9">
        <f>ROUND(('Criaturas - Base de Dados'!H54*'Sistema de Raridade e Evolução'!E7)*1000,2)</f>
        <v>5100000</v>
      </c>
      <c r="G319" s="8">
        <f>ROUND('Criaturas - Base de Dados'!I54*'Sistema de Raridade e Evolução'!E7,0)</f>
        <v>3000</v>
      </c>
      <c r="H319" s="8">
        <f>ROUND('Criaturas - Base de Dados'!J54*'Sistema de Raridade e Evolução'!E7,0)</f>
        <v>2550</v>
      </c>
      <c r="I319" s="8">
        <f>ROUND('Criaturas - Base de Dados'!K54*'Sistema de Raridade e Evolução'!E7,0)</f>
        <v>16350</v>
      </c>
      <c r="J319" s="8">
        <f>'Sistema de Raridade e Evolução'!D7</f>
        <v>91</v>
      </c>
      <c r="K319" s="8" t="s">
        <v>925</v>
      </c>
      <c r="L319" s="9">
        <f t="shared" si="4"/>
        <v>12142857.140000001</v>
      </c>
    </row>
    <row r="320" spans="1:12" ht="14.25" customHeight="1" x14ac:dyDescent="0.3">
      <c r="A320" s="8">
        <v>319</v>
      </c>
      <c r="B320" s="8" t="str">
        <f>'Criaturas - Base de Dados'!B55</f>
        <v>Fúria Selvagem</v>
      </c>
      <c r="C320" s="8" t="str">
        <f>'Criaturas - Base de Dados'!C55</f>
        <v>Natureza</v>
      </c>
      <c r="D320" s="8" t="str">
        <f>'Criaturas - Base de Dados'!D55</f>
        <v>Dríade da Grande Árvore</v>
      </c>
      <c r="E320" s="8" t="str">
        <f>'Sistema de Raridade e Evolução'!B2</f>
        <v>Default</v>
      </c>
      <c r="F320" s="9" t="e">
        <f>ROUND(('Criaturas - Base de Dados'!H55*'Sistema de Raridade e Evolução'!E2)*1000,2)</f>
        <v>#VALUE!</v>
      </c>
      <c r="G320" s="8" t="e">
        <f>ROUND('Criaturas - Base de Dados'!I55*'Sistema de Raridade e Evolução'!E2,0)</f>
        <v>#VALUE!</v>
      </c>
      <c r="H320" s="8" t="e">
        <f>ROUND('Criaturas - Base de Dados'!J55*'Sistema de Raridade e Evolução'!E2,0)</f>
        <v>#VALUE!</v>
      </c>
      <c r="I320" s="8" t="e">
        <f>ROUND('Criaturas - Base de Dados'!K55*'Sistema de Raridade e Evolução'!E2,0)</f>
        <v>#VALUE!</v>
      </c>
      <c r="J320" s="8">
        <f>'Sistema de Raridade e Evolução'!D2</f>
        <v>1</v>
      </c>
      <c r="K320" s="8" t="s">
        <v>8</v>
      </c>
      <c r="L320" s="9" t="e">
        <f t="shared" si="4"/>
        <v>#VALUE!</v>
      </c>
    </row>
    <row r="321" spans="1:12" ht="14.25" hidden="1" customHeight="1" x14ac:dyDescent="0.3">
      <c r="A321" s="8">
        <v>320</v>
      </c>
      <c r="B321" s="8" t="str">
        <f>'Criaturas - Base de Dados'!B55</f>
        <v>Fúria Selvagem</v>
      </c>
      <c r="C321" s="8" t="str">
        <f>'Criaturas - Base de Dados'!C55</f>
        <v>Natureza</v>
      </c>
      <c r="D321" s="8" t="str">
        <f>'Criaturas - Base de Dados'!D55</f>
        <v>Dríade da Grande Árvore</v>
      </c>
      <c r="E321" s="8" t="str">
        <f>'Sistema de Raridade e Evolução'!B3</f>
        <v>Bronze</v>
      </c>
      <c r="F321" s="9">
        <f>ROUND(('Criaturas - Base de Dados'!H55*'Sistema de Raridade e Evolução'!E3)*1000,2)</f>
        <v>36000</v>
      </c>
      <c r="G321" s="8">
        <f>ROUND('Criaturas - Base de Dados'!I55*'Sistema de Raridade e Evolução'!E3,0)</f>
        <v>22</v>
      </c>
      <c r="H321" s="8">
        <f>ROUND('Criaturas - Base de Dados'!J55*'Sistema de Raridade e Evolução'!E3,0)</f>
        <v>18</v>
      </c>
      <c r="I321" s="8">
        <f>ROUND('Criaturas - Base de Dados'!K55*'Sistema de Raridade e Evolução'!E3,0)</f>
        <v>115</v>
      </c>
      <c r="J321" s="8">
        <f>'Sistema de Raridade e Evolução'!D3</f>
        <v>6</v>
      </c>
      <c r="K321" s="8" t="s">
        <v>9</v>
      </c>
      <c r="L321" s="9">
        <f t="shared" si="4"/>
        <v>85714.29</v>
      </c>
    </row>
    <row r="322" spans="1:12" ht="14.25" hidden="1" customHeight="1" x14ac:dyDescent="0.3">
      <c r="A322" s="8">
        <v>321</v>
      </c>
      <c r="B322" s="8" t="str">
        <f>'Criaturas - Base de Dados'!B55</f>
        <v>Fúria Selvagem</v>
      </c>
      <c r="C322" s="8" t="str">
        <f>'Criaturas - Base de Dados'!C55</f>
        <v>Natureza</v>
      </c>
      <c r="D322" s="8" t="str">
        <f>'Criaturas - Base de Dados'!D55</f>
        <v>Dríade da Grande Árvore</v>
      </c>
      <c r="E322" s="8" t="str">
        <f>'Sistema de Raridade e Evolução'!B4</f>
        <v>Prata</v>
      </c>
      <c r="F322" s="9">
        <f>ROUND(('Criaturas - Base de Dados'!H55*'Sistema de Raridade e Evolução'!E4)*1000,2)</f>
        <v>216000</v>
      </c>
      <c r="G322" s="8">
        <f>ROUND('Criaturas - Base de Dados'!I55*'Sistema de Raridade e Evolução'!E4,0)</f>
        <v>132</v>
      </c>
      <c r="H322" s="8">
        <f>ROUND('Criaturas - Base de Dados'!J55*'Sistema de Raridade e Evolução'!E4,0)</f>
        <v>108</v>
      </c>
      <c r="I322" s="8">
        <f>ROUND('Criaturas - Base de Dados'!K55*'Sistema de Raridade e Evolução'!E4,0)</f>
        <v>690</v>
      </c>
      <c r="J322" s="8">
        <f>'Sistema de Raridade e Evolução'!D4</f>
        <v>16</v>
      </c>
      <c r="K322" s="8" t="s">
        <v>10</v>
      </c>
      <c r="L322" s="9">
        <f t="shared" ref="L322:L385" si="5">ROUND(F322*(2.5/1.05),2)</f>
        <v>514285.71</v>
      </c>
    </row>
    <row r="323" spans="1:12" ht="14.25" hidden="1" customHeight="1" x14ac:dyDescent="0.3">
      <c r="A323" s="8">
        <v>322</v>
      </c>
      <c r="B323" s="8" t="str">
        <f>'Criaturas - Base de Dados'!B55</f>
        <v>Fúria Selvagem</v>
      </c>
      <c r="C323" s="8" t="str">
        <f>'Criaturas - Base de Dados'!C55</f>
        <v>Natureza</v>
      </c>
      <c r="D323" s="8" t="str">
        <f>'Criaturas - Base de Dados'!D55</f>
        <v>Dríade da Grande Árvore</v>
      </c>
      <c r="E323" s="8" t="str">
        <f>'Sistema de Raridade e Evolução'!B5</f>
        <v>Ouro</v>
      </c>
      <c r="F323" s="9">
        <f>ROUND(('Criaturas - Base de Dados'!H55*'Sistema de Raridade e Evolução'!E5)*1000,2)</f>
        <v>648000</v>
      </c>
      <c r="G323" s="8">
        <f>ROUND('Criaturas - Base de Dados'!I55*'Sistema de Raridade e Evolução'!E5,0)</f>
        <v>396</v>
      </c>
      <c r="H323" s="8">
        <f>ROUND('Criaturas - Base de Dados'!J55*'Sistema de Raridade e Evolução'!E5,0)</f>
        <v>324</v>
      </c>
      <c r="I323" s="8">
        <f>ROUND('Criaturas - Base de Dados'!K55*'Sistema de Raridade e Evolução'!E5,0)</f>
        <v>2070</v>
      </c>
      <c r="J323" s="8">
        <f>'Sistema de Raridade e Evolução'!D5</f>
        <v>31</v>
      </c>
      <c r="K323" s="8" t="s">
        <v>11</v>
      </c>
      <c r="L323" s="9">
        <f t="shared" si="5"/>
        <v>1542857.14</v>
      </c>
    </row>
    <row r="324" spans="1:12" ht="14.25" hidden="1" customHeight="1" x14ac:dyDescent="0.3">
      <c r="A324" s="8">
        <v>323</v>
      </c>
      <c r="B324" s="8" t="str">
        <f>'Criaturas - Base de Dados'!B55</f>
        <v>Fúria Selvagem</v>
      </c>
      <c r="C324" s="8" t="str">
        <f>'Criaturas - Base de Dados'!C55</f>
        <v>Natureza</v>
      </c>
      <c r="D324" s="8" t="str">
        <f>'Criaturas - Base de Dados'!D55</f>
        <v>Dríade da Grande Árvore</v>
      </c>
      <c r="E324" s="8" t="str">
        <f>'Sistema de Raridade e Evolução'!B6</f>
        <v>Platina</v>
      </c>
      <c r="F324" s="9">
        <f>ROUND(('Criaturas - Base de Dados'!H55*'Sistema de Raridade e Evolução'!E6)*1000,2)</f>
        <v>1800000</v>
      </c>
      <c r="G324" s="8">
        <f>ROUND('Criaturas - Base de Dados'!I55*'Sistema de Raridade e Evolução'!E6,0)</f>
        <v>1100</v>
      </c>
      <c r="H324" s="8">
        <f>ROUND('Criaturas - Base de Dados'!J55*'Sistema de Raridade e Evolução'!E6,0)</f>
        <v>900</v>
      </c>
      <c r="I324" s="8">
        <f>ROUND('Criaturas - Base de Dados'!K55*'Sistema de Raridade e Evolução'!E6,0)</f>
        <v>5750</v>
      </c>
      <c r="J324" s="8">
        <f>'Sistema de Raridade e Evolução'!D6</f>
        <v>56</v>
      </c>
      <c r="K324" s="8" t="s">
        <v>12</v>
      </c>
      <c r="L324" s="9">
        <f t="shared" si="5"/>
        <v>4285714.29</v>
      </c>
    </row>
    <row r="325" spans="1:12" ht="14.25" hidden="1" customHeight="1" x14ac:dyDescent="0.3">
      <c r="A325" s="8">
        <v>324</v>
      </c>
      <c r="B325" s="8" t="str">
        <f>'Criaturas - Base de Dados'!B55</f>
        <v>Fúria Selvagem</v>
      </c>
      <c r="C325" s="8" t="str">
        <f>'Criaturas - Base de Dados'!C55</f>
        <v>Natureza</v>
      </c>
      <c r="D325" s="8" t="str">
        <f>'Criaturas - Base de Dados'!D55</f>
        <v>Dríade da Grande Árvore</v>
      </c>
      <c r="E325" s="8" t="str">
        <f>'Sistema de Raridade e Evolução'!B7</f>
        <v>Lendário</v>
      </c>
      <c r="F325" s="9">
        <f>ROUND(('Criaturas - Base de Dados'!H55*'Sistema de Raridade e Evolução'!E7)*1000,2)</f>
        <v>5400000</v>
      </c>
      <c r="G325" s="8">
        <f>ROUND('Criaturas - Base de Dados'!I55*'Sistema de Raridade e Evolução'!E7,0)</f>
        <v>3300</v>
      </c>
      <c r="H325" s="8">
        <f>ROUND('Criaturas - Base de Dados'!J55*'Sistema de Raridade e Evolução'!E7,0)</f>
        <v>2700</v>
      </c>
      <c r="I325" s="8">
        <f>ROUND('Criaturas - Base de Dados'!K55*'Sistema de Raridade e Evolução'!E7,0)</f>
        <v>17250</v>
      </c>
      <c r="J325" s="8">
        <f>'Sistema de Raridade e Evolução'!D7</f>
        <v>91</v>
      </c>
      <c r="K325" s="8" t="s">
        <v>925</v>
      </c>
      <c r="L325" s="9">
        <f t="shared" si="5"/>
        <v>12857142.859999999</v>
      </c>
    </row>
    <row r="326" spans="1:12" ht="14.25" customHeight="1" x14ac:dyDescent="0.3">
      <c r="A326" s="8">
        <v>325</v>
      </c>
      <c r="B326" s="8" t="str">
        <f>'Criaturas - Base de Dados'!B56</f>
        <v>Fúria Selvagem</v>
      </c>
      <c r="C326" s="8" t="str">
        <f>'Criaturas - Base de Dados'!C56</f>
        <v>Natureza</v>
      </c>
      <c r="D326" s="8" t="str">
        <f>'Criaturas - Base de Dados'!D56</f>
        <v>Leshy da Floresta Funda</v>
      </c>
      <c r="E326" s="8" t="str">
        <f>'Sistema de Raridade e Evolução'!B2</f>
        <v>Default</v>
      </c>
      <c r="F326" s="9" t="e">
        <f>ROUND(('Criaturas - Base de Dados'!H56*'Sistema de Raridade e Evolução'!E2)*1000,2)</f>
        <v>#VALUE!</v>
      </c>
      <c r="G326" s="8" t="e">
        <f>ROUND('Criaturas - Base de Dados'!I56*'Sistema de Raridade e Evolução'!E2,0)</f>
        <v>#VALUE!</v>
      </c>
      <c r="H326" s="8" t="e">
        <f>ROUND('Criaturas - Base de Dados'!J56*'Sistema de Raridade e Evolução'!E2,0)</f>
        <v>#VALUE!</v>
      </c>
      <c r="I326" s="8" t="e">
        <f>ROUND('Criaturas - Base de Dados'!K56*'Sistema de Raridade e Evolução'!E2,0)</f>
        <v>#VALUE!</v>
      </c>
      <c r="J326" s="8">
        <f>'Sistema de Raridade e Evolução'!D2</f>
        <v>1</v>
      </c>
      <c r="K326" s="8" t="s">
        <v>8</v>
      </c>
      <c r="L326" s="9" t="e">
        <f t="shared" si="5"/>
        <v>#VALUE!</v>
      </c>
    </row>
    <row r="327" spans="1:12" ht="14.25" hidden="1" customHeight="1" x14ac:dyDescent="0.3">
      <c r="A327" s="8">
        <v>326</v>
      </c>
      <c r="B327" s="8" t="str">
        <f>'Criaturas - Base de Dados'!B56</f>
        <v>Fúria Selvagem</v>
      </c>
      <c r="C327" s="8" t="str">
        <f>'Criaturas - Base de Dados'!C56</f>
        <v>Natureza</v>
      </c>
      <c r="D327" s="8" t="str">
        <f>'Criaturas - Base de Dados'!D56</f>
        <v>Leshy da Floresta Funda</v>
      </c>
      <c r="E327" s="8" t="str">
        <f>'Sistema de Raridade e Evolução'!B3</f>
        <v>Bronze</v>
      </c>
      <c r="F327" s="9">
        <f>ROUND(('Criaturas - Base de Dados'!H56*'Sistema de Raridade e Evolução'!E3)*1000,2)</f>
        <v>38000</v>
      </c>
      <c r="G327" s="8">
        <f>ROUND('Criaturas - Base de Dados'!I56*'Sistema de Raridade e Evolução'!E3,0)</f>
        <v>23</v>
      </c>
      <c r="H327" s="8">
        <f>ROUND('Criaturas - Base de Dados'!J56*'Sistema de Raridade e Evolução'!E3,0)</f>
        <v>19</v>
      </c>
      <c r="I327" s="8">
        <f>ROUND('Criaturas - Base de Dados'!K56*'Sistema de Raridade e Evolução'!E3,0)</f>
        <v>122</v>
      </c>
      <c r="J327" s="8">
        <f>'Sistema de Raridade e Evolução'!D3</f>
        <v>6</v>
      </c>
      <c r="K327" s="8" t="s">
        <v>9</v>
      </c>
      <c r="L327" s="9">
        <f t="shared" si="5"/>
        <v>90476.19</v>
      </c>
    </row>
    <row r="328" spans="1:12" ht="14.25" hidden="1" customHeight="1" x14ac:dyDescent="0.3">
      <c r="A328" s="8">
        <v>327</v>
      </c>
      <c r="B328" s="8" t="str">
        <f>'Criaturas - Base de Dados'!B56</f>
        <v>Fúria Selvagem</v>
      </c>
      <c r="C328" s="8" t="str">
        <f>'Criaturas - Base de Dados'!C56</f>
        <v>Natureza</v>
      </c>
      <c r="D328" s="8" t="str">
        <f>'Criaturas - Base de Dados'!D56</f>
        <v>Leshy da Floresta Funda</v>
      </c>
      <c r="E328" s="8" t="str">
        <f>'Sistema de Raridade e Evolução'!B4</f>
        <v>Prata</v>
      </c>
      <c r="F328" s="9">
        <f>ROUND(('Criaturas - Base de Dados'!H56*'Sistema de Raridade e Evolução'!E4)*1000,2)</f>
        <v>228000</v>
      </c>
      <c r="G328" s="8">
        <f>ROUND('Criaturas - Base de Dados'!I56*'Sistema de Raridade e Evolução'!E4,0)</f>
        <v>138</v>
      </c>
      <c r="H328" s="8">
        <f>ROUND('Criaturas - Base de Dados'!J56*'Sistema de Raridade e Evolução'!E4,0)</f>
        <v>114</v>
      </c>
      <c r="I328" s="8">
        <f>ROUND('Criaturas - Base de Dados'!K56*'Sistema de Raridade e Evolução'!E4,0)</f>
        <v>732</v>
      </c>
      <c r="J328" s="8">
        <f>'Sistema de Raridade e Evolução'!D4</f>
        <v>16</v>
      </c>
      <c r="K328" s="8" t="s">
        <v>10</v>
      </c>
      <c r="L328" s="9">
        <f t="shared" si="5"/>
        <v>542857.14</v>
      </c>
    </row>
    <row r="329" spans="1:12" ht="14.25" hidden="1" customHeight="1" x14ac:dyDescent="0.3">
      <c r="A329" s="8">
        <v>328</v>
      </c>
      <c r="B329" s="8" t="str">
        <f>'Criaturas - Base de Dados'!B56</f>
        <v>Fúria Selvagem</v>
      </c>
      <c r="C329" s="8" t="str">
        <f>'Criaturas - Base de Dados'!C56</f>
        <v>Natureza</v>
      </c>
      <c r="D329" s="8" t="str">
        <f>'Criaturas - Base de Dados'!D56</f>
        <v>Leshy da Floresta Funda</v>
      </c>
      <c r="E329" s="8" t="str">
        <f>'Sistema de Raridade e Evolução'!B5</f>
        <v>Ouro</v>
      </c>
      <c r="F329" s="9">
        <f>ROUND(('Criaturas - Base de Dados'!H56*'Sistema de Raridade e Evolução'!E5)*1000,2)</f>
        <v>684000</v>
      </c>
      <c r="G329" s="8">
        <f>ROUND('Criaturas - Base de Dados'!I56*'Sistema de Raridade e Evolução'!E5,0)</f>
        <v>414</v>
      </c>
      <c r="H329" s="8">
        <f>ROUND('Criaturas - Base de Dados'!J56*'Sistema de Raridade e Evolução'!E5,0)</f>
        <v>342</v>
      </c>
      <c r="I329" s="8">
        <f>ROUND('Criaturas - Base de Dados'!K56*'Sistema de Raridade e Evolução'!E5,0)</f>
        <v>2196</v>
      </c>
      <c r="J329" s="8">
        <f>'Sistema de Raridade e Evolução'!D5</f>
        <v>31</v>
      </c>
      <c r="K329" s="8" t="s">
        <v>11</v>
      </c>
      <c r="L329" s="9">
        <f t="shared" si="5"/>
        <v>1628571.43</v>
      </c>
    </row>
    <row r="330" spans="1:12" ht="14.25" hidden="1" customHeight="1" x14ac:dyDescent="0.3">
      <c r="A330" s="8">
        <v>329</v>
      </c>
      <c r="B330" s="8" t="str">
        <f>'Criaturas - Base de Dados'!B56</f>
        <v>Fúria Selvagem</v>
      </c>
      <c r="C330" s="8" t="str">
        <f>'Criaturas - Base de Dados'!C56</f>
        <v>Natureza</v>
      </c>
      <c r="D330" s="8" t="str">
        <f>'Criaturas - Base de Dados'!D56</f>
        <v>Leshy da Floresta Funda</v>
      </c>
      <c r="E330" s="8" t="str">
        <f>'Sistema de Raridade e Evolução'!B6</f>
        <v>Platina</v>
      </c>
      <c r="F330" s="9">
        <f>ROUND(('Criaturas - Base de Dados'!H56*'Sistema de Raridade e Evolução'!E6)*1000,2)</f>
        <v>1900000</v>
      </c>
      <c r="G330" s="8">
        <f>ROUND('Criaturas - Base de Dados'!I56*'Sistema de Raridade e Evolução'!E6,0)</f>
        <v>1150</v>
      </c>
      <c r="H330" s="8">
        <f>ROUND('Criaturas - Base de Dados'!J56*'Sistema de Raridade e Evolução'!E6,0)</f>
        <v>950</v>
      </c>
      <c r="I330" s="8">
        <f>ROUND('Criaturas - Base de Dados'!K56*'Sistema de Raridade e Evolução'!E6,0)</f>
        <v>6100</v>
      </c>
      <c r="J330" s="8">
        <f>'Sistema de Raridade e Evolução'!D6</f>
        <v>56</v>
      </c>
      <c r="K330" s="8" t="s">
        <v>12</v>
      </c>
      <c r="L330" s="9">
        <f t="shared" si="5"/>
        <v>4523809.5199999996</v>
      </c>
    </row>
    <row r="331" spans="1:12" ht="14.25" hidden="1" customHeight="1" x14ac:dyDescent="0.3">
      <c r="A331" s="8">
        <v>330</v>
      </c>
      <c r="B331" s="8" t="str">
        <f>'Criaturas - Base de Dados'!B56</f>
        <v>Fúria Selvagem</v>
      </c>
      <c r="C331" s="8" t="str">
        <f>'Criaturas - Base de Dados'!C56</f>
        <v>Natureza</v>
      </c>
      <c r="D331" s="8" t="str">
        <f>'Criaturas - Base de Dados'!D56</f>
        <v>Leshy da Floresta Funda</v>
      </c>
      <c r="E331" s="8" t="str">
        <f>'Sistema de Raridade e Evolução'!B7</f>
        <v>Lendário</v>
      </c>
      <c r="F331" s="9">
        <f>ROUND(('Criaturas - Base de Dados'!H56*'Sistema de Raridade e Evolução'!E7)*1000,2)</f>
        <v>5700000</v>
      </c>
      <c r="G331" s="8">
        <f>ROUND('Criaturas - Base de Dados'!I56*'Sistema de Raridade e Evolução'!E7,0)</f>
        <v>3450</v>
      </c>
      <c r="H331" s="8">
        <f>ROUND('Criaturas - Base de Dados'!J56*'Sistema de Raridade e Evolução'!E7,0)</f>
        <v>2850</v>
      </c>
      <c r="I331" s="8">
        <f>ROUND('Criaturas - Base de Dados'!K56*'Sistema de Raridade e Evolução'!E7,0)</f>
        <v>18300</v>
      </c>
      <c r="J331" s="8">
        <f>'Sistema de Raridade e Evolução'!D7</f>
        <v>91</v>
      </c>
      <c r="K331" s="8" t="s">
        <v>925</v>
      </c>
      <c r="L331" s="9">
        <f t="shared" si="5"/>
        <v>13571428.57</v>
      </c>
    </row>
    <row r="332" spans="1:12" ht="14.25" customHeight="1" x14ac:dyDescent="0.3">
      <c r="A332" s="8">
        <v>331</v>
      </c>
      <c r="B332" s="8" t="str">
        <f>'Criaturas - Base de Dados'!B57</f>
        <v>Fúria Selvagem</v>
      </c>
      <c r="C332" s="8" t="str">
        <f>'Criaturas - Base de Dados'!C57</f>
        <v>Natureza</v>
      </c>
      <c r="D332" s="8" t="str">
        <f>'Criaturas - Base de Dados'!D57</f>
        <v>Skogsrå Encantadora</v>
      </c>
      <c r="E332" s="8" t="str">
        <f>'Sistema de Raridade e Evolução'!B2</f>
        <v>Default</v>
      </c>
      <c r="F332" s="9" t="e">
        <f>ROUND(('Criaturas - Base de Dados'!H57*'Sistema de Raridade e Evolução'!E2)*1000,2)</f>
        <v>#VALUE!</v>
      </c>
      <c r="G332" s="8" t="e">
        <f>ROUND('Criaturas - Base de Dados'!I57*'Sistema de Raridade e Evolução'!E2,0)</f>
        <v>#VALUE!</v>
      </c>
      <c r="H332" s="8" t="e">
        <f>ROUND('Criaturas - Base de Dados'!J57*'Sistema de Raridade e Evolução'!E2,0)</f>
        <v>#VALUE!</v>
      </c>
      <c r="I332" s="8" t="e">
        <f>ROUND('Criaturas - Base de Dados'!K57*'Sistema de Raridade e Evolução'!E2,0)</f>
        <v>#VALUE!</v>
      </c>
      <c r="J332" s="8">
        <f>'Sistema de Raridade e Evolução'!D2</f>
        <v>1</v>
      </c>
      <c r="K332" s="8" t="s">
        <v>8</v>
      </c>
      <c r="L332" s="9" t="e">
        <f t="shared" si="5"/>
        <v>#VALUE!</v>
      </c>
    </row>
    <row r="333" spans="1:12" ht="14.25" hidden="1" customHeight="1" x14ac:dyDescent="0.3">
      <c r="A333" s="8">
        <v>332</v>
      </c>
      <c r="B333" s="8" t="str">
        <f>'Criaturas - Base de Dados'!B57</f>
        <v>Fúria Selvagem</v>
      </c>
      <c r="C333" s="8" t="str">
        <f>'Criaturas - Base de Dados'!C57</f>
        <v>Natureza</v>
      </c>
      <c r="D333" s="8" t="str">
        <f>'Criaturas - Base de Dados'!D57</f>
        <v>Skogsrå Encantadora</v>
      </c>
      <c r="E333" s="8" t="str">
        <f>'Sistema de Raridade e Evolução'!B3</f>
        <v>Bronze</v>
      </c>
      <c r="F333" s="9">
        <f>ROUND(('Criaturas - Base de Dados'!H57*'Sistema de Raridade e Evolução'!E3)*1000,2)</f>
        <v>54000</v>
      </c>
      <c r="G333" s="8">
        <f>ROUND('Criaturas - Base de Dados'!I57*'Sistema de Raridade e Evolução'!E3,0)</f>
        <v>32</v>
      </c>
      <c r="H333" s="8">
        <f>ROUND('Criaturas - Base de Dados'!J57*'Sistema de Raridade e Evolução'!E3,0)</f>
        <v>27</v>
      </c>
      <c r="I333" s="8">
        <f>ROUND('Criaturas - Base de Dados'!K57*'Sistema de Raridade e Evolução'!E3,0)</f>
        <v>173</v>
      </c>
      <c r="J333" s="8">
        <f>'Sistema de Raridade e Evolução'!D3</f>
        <v>6</v>
      </c>
      <c r="K333" s="8" t="s">
        <v>9</v>
      </c>
      <c r="L333" s="9">
        <f t="shared" si="5"/>
        <v>128571.43</v>
      </c>
    </row>
    <row r="334" spans="1:12" ht="14.25" hidden="1" customHeight="1" x14ac:dyDescent="0.3">
      <c r="A334" s="8">
        <v>333</v>
      </c>
      <c r="B334" s="8" t="str">
        <f>'Criaturas - Base de Dados'!B57</f>
        <v>Fúria Selvagem</v>
      </c>
      <c r="C334" s="8" t="str">
        <f>'Criaturas - Base de Dados'!C57</f>
        <v>Natureza</v>
      </c>
      <c r="D334" s="8" t="str">
        <f>'Criaturas - Base de Dados'!D57</f>
        <v>Skogsrå Encantadora</v>
      </c>
      <c r="E334" s="8" t="str">
        <f>'Sistema de Raridade e Evolução'!B4</f>
        <v>Prata</v>
      </c>
      <c r="F334" s="9">
        <f>ROUND(('Criaturas - Base de Dados'!H57*'Sistema de Raridade e Evolução'!E4)*1000,2)</f>
        <v>324000</v>
      </c>
      <c r="G334" s="8">
        <f>ROUND('Criaturas - Base de Dados'!I57*'Sistema de Raridade e Evolução'!E4,0)</f>
        <v>192</v>
      </c>
      <c r="H334" s="8">
        <f>ROUND('Criaturas - Base de Dados'!J57*'Sistema de Raridade e Evolução'!E4,0)</f>
        <v>162</v>
      </c>
      <c r="I334" s="8">
        <f>ROUND('Criaturas - Base de Dados'!K57*'Sistema de Raridade e Evolução'!E4,0)</f>
        <v>1038</v>
      </c>
      <c r="J334" s="8">
        <f>'Sistema de Raridade e Evolução'!D4</f>
        <v>16</v>
      </c>
      <c r="K334" s="8" t="s">
        <v>10</v>
      </c>
      <c r="L334" s="9">
        <f t="shared" si="5"/>
        <v>771428.57</v>
      </c>
    </row>
    <row r="335" spans="1:12" ht="14.25" hidden="1" customHeight="1" x14ac:dyDescent="0.3">
      <c r="A335" s="8">
        <v>334</v>
      </c>
      <c r="B335" s="8" t="str">
        <f>'Criaturas - Base de Dados'!B57</f>
        <v>Fúria Selvagem</v>
      </c>
      <c r="C335" s="8" t="str">
        <f>'Criaturas - Base de Dados'!C57</f>
        <v>Natureza</v>
      </c>
      <c r="D335" s="8" t="str">
        <f>'Criaturas - Base de Dados'!D57</f>
        <v>Skogsrå Encantadora</v>
      </c>
      <c r="E335" s="8" t="str">
        <f>'Sistema de Raridade e Evolução'!B5</f>
        <v>Ouro</v>
      </c>
      <c r="F335" s="9">
        <f>ROUND(('Criaturas - Base de Dados'!H57*'Sistema de Raridade e Evolução'!E5)*1000,2)</f>
        <v>972000</v>
      </c>
      <c r="G335" s="8">
        <f>ROUND('Criaturas - Base de Dados'!I57*'Sistema de Raridade e Evolução'!E5,0)</f>
        <v>576</v>
      </c>
      <c r="H335" s="8">
        <f>ROUND('Criaturas - Base de Dados'!J57*'Sistema de Raridade e Evolução'!E5,0)</f>
        <v>486</v>
      </c>
      <c r="I335" s="8">
        <f>ROUND('Criaturas - Base de Dados'!K57*'Sistema de Raridade e Evolução'!E5,0)</f>
        <v>3114</v>
      </c>
      <c r="J335" s="8">
        <f>'Sistema de Raridade e Evolução'!D5</f>
        <v>31</v>
      </c>
      <c r="K335" s="8" t="s">
        <v>11</v>
      </c>
      <c r="L335" s="9">
        <f t="shared" si="5"/>
        <v>2314285.71</v>
      </c>
    </row>
    <row r="336" spans="1:12" ht="14.25" hidden="1" customHeight="1" x14ac:dyDescent="0.3">
      <c r="A336" s="8">
        <v>335</v>
      </c>
      <c r="B336" s="8" t="str">
        <f>'Criaturas - Base de Dados'!B57</f>
        <v>Fúria Selvagem</v>
      </c>
      <c r="C336" s="8" t="str">
        <f>'Criaturas - Base de Dados'!C57</f>
        <v>Natureza</v>
      </c>
      <c r="D336" s="8" t="str">
        <f>'Criaturas - Base de Dados'!D57</f>
        <v>Skogsrå Encantadora</v>
      </c>
      <c r="E336" s="8" t="str">
        <f>'Sistema de Raridade e Evolução'!B6</f>
        <v>Platina</v>
      </c>
      <c r="F336" s="9">
        <f>ROUND(('Criaturas - Base de Dados'!H57*'Sistema de Raridade e Evolução'!E6)*1000,2)</f>
        <v>2700000</v>
      </c>
      <c r="G336" s="8">
        <f>ROUND('Criaturas - Base de Dados'!I57*'Sistema de Raridade e Evolução'!E6,0)</f>
        <v>1600</v>
      </c>
      <c r="H336" s="8">
        <f>ROUND('Criaturas - Base de Dados'!J57*'Sistema de Raridade e Evolução'!E6,0)</f>
        <v>1350</v>
      </c>
      <c r="I336" s="8">
        <f>ROUND('Criaturas - Base de Dados'!K57*'Sistema de Raridade e Evolução'!E6,0)</f>
        <v>8650</v>
      </c>
      <c r="J336" s="8">
        <f>'Sistema de Raridade e Evolução'!D6</f>
        <v>56</v>
      </c>
      <c r="K336" s="8" t="s">
        <v>12</v>
      </c>
      <c r="L336" s="9">
        <f t="shared" si="5"/>
        <v>6428571.4299999997</v>
      </c>
    </row>
    <row r="337" spans="1:12" ht="14.25" hidden="1" customHeight="1" x14ac:dyDescent="0.3">
      <c r="A337" s="8">
        <v>336</v>
      </c>
      <c r="B337" s="8" t="str">
        <f>'Criaturas - Base de Dados'!B57</f>
        <v>Fúria Selvagem</v>
      </c>
      <c r="C337" s="8" t="str">
        <f>'Criaturas - Base de Dados'!C57</f>
        <v>Natureza</v>
      </c>
      <c r="D337" s="8" t="str">
        <f>'Criaturas - Base de Dados'!D57</f>
        <v>Skogsrå Encantadora</v>
      </c>
      <c r="E337" s="8" t="str">
        <f>'Sistema de Raridade e Evolução'!B7</f>
        <v>Lendário</v>
      </c>
      <c r="F337" s="9">
        <f>ROUND(('Criaturas - Base de Dados'!H57*'Sistema de Raridade e Evolução'!E7)*1000,2)</f>
        <v>8100000</v>
      </c>
      <c r="G337" s="8">
        <f>ROUND('Criaturas - Base de Dados'!I57*'Sistema de Raridade e Evolução'!E7,0)</f>
        <v>4800</v>
      </c>
      <c r="H337" s="8">
        <f>ROUND('Criaturas - Base de Dados'!J57*'Sistema de Raridade e Evolução'!E7,0)</f>
        <v>4050</v>
      </c>
      <c r="I337" s="8">
        <f>ROUND('Criaturas - Base de Dados'!K57*'Sistema de Raridade e Evolução'!E7,0)</f>
        <v>25950</v>
      </c>
      <c r="J337" s="8">
        <f>'Sistema de Raridade e Evolução'!D7</f>
        <v>91</v>
      </c>
      <c r="K337" s="8" t="s">
        <v>925</v>
      </c>
      <c r="L337" s="9">
        <f t="shared" si="5"/>
        <v>19285714.289999999</v>
      </c>
    </row>
    <row r="338" spans="1:12" ht="14.25" customHeight="1" x14ac:dyDescent="0.3">
      <c r="A338" s="8">
        <v>337</v>
      </c>
      <c r="B338" s="8" t="str">
        <f>'Criaturas - Base de Dados'!B58</f>
        <v>Fúria Selvagem</v>
      </c>
      <c r="C338" s="8" t="str">
        <f>'Criaturas - Base de Dados'!C58</f>
        <v>Natureza</v>
      </c>
      <c r="D338" s="8" t="str">
        <f>'Criaturas - Base de Dados'!D58</f>
        <v>Wolpertinger Travesso</v>
      </c>
      <c r="E338" s="8" t="str">
        <f>'Sistema de Raridade e Evolução'!B2</f>
        <v>Default</v>
      </c>
      <c r="F338" s="9" t="e">
        <f>ROUND(('Criaturas - Base de Dados'!H58*'Sistema de Raridade e Evolução'!E2)*1000,2)</f>
        <v>#VALUE!</v>
      </c>
      <c r="G338" s="8" t="e">
        <f>ROUND('Criaturas - Base de Dados'!I58*'Sistema de Raridade e Evolução'!E2,0)</f>
        <v>#VALUE!</v>
      </c>
      <c r="H338" s="8" t="e">
        <f>ROUND('Criaturas - Base de Dados'!J58*'Sistema de Raridade e Evolução'!E2,0)</f>
        <v>#VALUE!</v>
      </c>
      <c r="I338" s="8" t="e">
        <f>ROUND('Criaturas - Base de Dados'!K58*'Sistema de Raridade e Evolução'!E2,0)</f>
        <v>#VALUE!</v>
      </c>
      <c r="J338" s="8">
        <f>'Sistema de Raridade e Evolução'!D2</f>
        <v>1</v>
      </c>
      <c r="K338" s="8" t="s">
        <v>8</v>
      </c>
      <c r="L338" s="9" t="e">
        <f t="shared" si="5"/>
        <v>#VALUE!</v>
      </c>
    </row>
    <row r="339" spans="1:12" ht="14.25" hidden="1" customHeight="1" x14ac:dyDescent="0.3">
      <c r="A339" s="8">
        <v>338</v>
      </c>
      <c r="B339" s="8" t="str">
        <f>'Criaturas - Base de Dados'!B58</f>
        <v>Fúria Selvagem</v>
      </c>
      <c r="C339" s="8" t="str">
        <f>'Criaturas - Base de Dados'!C58</f>
        <v>Natureza</v>
      </c>
      <c r="D339" s="8" t="str">
        <f>'Criaturas - Base de Dados'!D58</f>
        <v>Wolpertinger Travesso</v>
      </c>
      <c r="E339" s="8" t="str">
        <f>'Sistema de Raridade e Evolução'!B3</f>
        <v>Bronze</v>
      </c>
      <c r="F339" s="9">
        <f>ROUND(('Criaturas - Base de Dados'!H58*'Sistema de Raridade e Evolução'!E3)*1000,2)</f>
        <v>48000</v>
      </c>
      <c r="G339" s="8">
        <f>ROUND('Criaturas - Base de Dados'!I58*'Sistema de Raridade e Evolução'!E3,0)</f>
        <v>29</v>
      </c>
      <c r="H339" s="8">
        <f>ROUND('Criaturas - Base de Dados'!J58*'Sistema de Raridade e Evolução'!E3,0)</f>
        <v>24</v>
      </c>
      <c r="I339" s="8">
        <f>ROUND('Criaturas - Base de Dados'!K58*'Sistema de Raridade e Evolução'!E3,0)</f>
        <v>154</v>
      </c>
      <c r="J339" s="8">
        <f>'Sistema de Raridade e Evolução'!D3</f>
        <v>6</v>
      </c>
      <c r="K339" s="8" t="s">
        <v>9</v>
      </c>
      <c r="L339" s="9">
        <f t="shared" si="5"/>
        <v>114285.71</v>
      </c>
    </row>
    <row r="340" spans="1:12" ht="14.25" hidden="1" customHeight="1" x14ac:dyDescent="0.3">
      <c r="A340" s="8">
        <v>339</v>
      </c>
      <c r="B340" s="8" t="str">
        <f>'Criaturas - Base de Dados'!B58</f>
        <v>Fúria Selvagem</v>
      </c>
      <c r="C340" s="8" t="str">
        <f>'Criaturas - Base de Dados'!C58</f>
        <v>Natureza</v>
      </c>
      <c r="D340" s="8" t="str">
        <f>'Criaturas - Base de Dados'!D58</f>
        <v>Wolpertinger Travesso</v>
      </c>
      <c r="E340" s="8" t="str">
        <f>'Sistema de Raridade e Evolução'!B4</f>
        <v>Prata</v>
      </c>
      <c r="F340" s="9">
        <f>ROUND(('Criaturas - Base de Dados'!H58*'Sistema de Raridade e Evolução'!E4)*1000,2)</f>
        <v>288000</v>
      </c>
      <c r="G340" s="8">
        <f>ROUND('Criaturas - Base de Dados'!I58*'Sistema de Raridade e Evolução'!E4,0)</f>
        <v>174</v>
      </c>
      <c r="H340" s="8">
        <f>ROUND('Criaturas - Base de Dados'!J58*'Sistema de Raridade e Evolução'!E4,0)</f>
        <v>144</v>
      </c>
      <c r="I340" s="8">
        <f>ROUND('Criaturas - Base de Dados'!K58*'Sistema de Raridade e Evolução'!E4,0)</f>
        <v>924</v>
      </c>
      <c r="J340" s="8">
        <f>'Sistema de Raridade e Evolução'!D4</f>
        <v>16</v>
      </c>
      <c r="K340" s="8" t="s">
        <v>10</v>
      </c>
      <c r="L340" s="9">
        <f t="shared" si="5"/>
        <v>685714.29</v>
      </c>
    </row>
    <row r="341" spans="1:12" ht="14.25" hidden="1" customHeight="1" x14ac:dyDescent="0.3">
      <c r="A341" s="8">
        <v>340</v>
      </c>
      <c r="B341" s="8" t="str">
        <f>'Criaturas - Base de Dados'!B58</f>
        <v>Fúria Selvagem</v>
      </c>
      <c r="C341" s="8" t="str">
        <f>'Criaturas - Base de Dados'!C58</f>
        <v>Natureza</v>
      </c>
      <c r="D341" s="8" t="str">
        <f>'Criaturas - Base de Dados'!D58</f>
        <v>Wolpertinger Travesso</v>
      </c>
      <c r="E341" s="8" t="str">
        <f>'Sistema de Raridade e Evolução'!B5</f>
        <v>Ouro</v>
      </c>
      <c r="F341" s="9">
        <f>ROUND(('Criaturas - Base de Dados'!H58*'Sistema de Raridade e Evolução'!E5)*1000,2)</f>
        <v>864000</v>
      </c>
      <c r="G341" s="8">
        <f>ROUND('Criaturas - Base de Dados'!I58*'Sistema de Raridade e Evolução'!E5,0)</f>
        <v>522</v>
      </c>
      <c r="H341" s="8">
        <f>ROUND('Criaturas - Base de Dados'!J58*'Sistema de Raridade e Evolução'!E5,0)</f>
        <v>432</v>
      </c>
      <c r="I341" s="8">
        <f>ROUND('Criaturas - Base de Dados'!K58*'Sistema de Raridade e Evolução'!E5,0)</f>
        <v>2772</v>
      </c>
      <c r="J341" s="8">
        <f>'Sistema de Raridade e Evolução'!D5</f>
        <v>31</v>
      </c>
      <c r="K341" s="8" t="s">
        <v>11</v>
      </c>
      <c r="L341" s="9">
        <f t="shared" si="5"/>
        <v>2057142.86</v>
      </c>
    </row>
    <row r="342" spans="1:12" ht="14.25" hidden="1" customHeight="1" x14ac:dyDescent="0.3">
      <c r="A342" s="8">
        <v>341</v>
      </c>
      <c r="B342" s="8" t="str">
        <f>'Criaturas - Base de Dados'!B58</f>
        <v>Fúria Selvagem</v>
      </c>
      <c r="C342" s="8" t="str">
        <f>'Criaturas - Base de Dados'!C58</f>
        <v>Natureza</v>
      </c>
      <c r="D342" s="8" t="str">
        <f>'Criaturas - Base de Dados'!D58</f>
        <v>Wolpertinger Travesso</v>
      </c>
      <c r="E342" s="8" t="str">
        <f>'Sistema de Raridade e Evolução'!B6</f>
        <v>Platina</v>
      </c>
      <c r="F342" s="9">
        <f>ROUND(('Criaturas - Base de Dados'!H58*'Sistema de Raridade e Evolução'!E6)*1000,2)</f>
        <v>2400000</v>
      </c>
      <c r="G342" s="8">
        <f>ROUND('Criaturas - Base de Dados'!I58*'Sistema de Raridade e Evolução'!E6,0)</f>
        <v>1450</v>
      </c>
      <c r="H342" s="8">
        <f>ROUND('Criaturas - Base de Dados'!J58*'Sistema de Raridade e Evolução'!E6,0)</f>
        <v>1200</v>
      </c>
      <c r="I342" s="8">
        <f>ROUND('Criaturas - Base de Dados'!K58*'Sistema de Raridade e Evolução'!E6,0)</f>
        <v>7700</v>
      </c>
      <c r="J342" s="8">
        <f>'Sistema de Raridade e Evolução'!D6</f>
        <v>56</v>
      </c>
      <c r="K342" s="8" t="s">
        <v>12</v>
      </c>
      <c r="L342" s="9">
        <f t="shared" si="5"/>
        <v>5714285.71</v>
      </c>
    </row>
    <row r="343" spans="1:12" ht="14.25" hidden="1" customHeight="1" x14ac:dyDescent="0.3">
      <c r="A343" s="8">
        <v>342</v>
      </c>
      <c r="B343" s="8" t="str">
        <f>'Criaturas - Base de Dados'!B58</f>
        <v>Fúria Selvagem</v>
      </c>
      <c r="C343" s="8" t="str">
        <f>'Criaturas - Base de Dados'!C58</f>
        <v>Natureza</v>
      </c>
      <c r="D343" s="8" t="str">
        <f>'Criaturas - Base de Dados'!D58</f>
        <v>Wolpertinger Travesso</v>
      </c>
      <c r="E343" s="8" t="str">
        <f>'Sistema de Raridade e Evolução'!B7</f>
        <v>Lendário</v>
      </c>
      <c r="F343" s="9">
        <f>ROUND(('Criaturas - Base de Dados'!H58*'Sistema de Raridade e Evolução'!E7)*1000,2)</f>
        <v>7200000</v>
      </c>
      <c r="G343" s="8">
        <f>ROUND('Criaturas - Base de Dados'!I58*'Sistema de Raridade e Evolução'!E7,0)</f>
        <v>4350</v>
      </c>
      <c r="H343" s="8">
        <f>ROUND('Criaturas - Base de Dados'!J58*'Sistema de Raridade e Evolução'!E7,0)</f>
        <v>3600</v>
      </c>
      <c r="I343" s="8">
        <f>ROUND('Criaturas - Base de Dados'!K58*'Sistema de Raridade e Evolução'!E7,0)</f>
        <v>23100</v>
      </c>
      <c r="J343" s="8">
        <f>'Sistema de Raridade e Evolução'!D7</f>
        <v>91</v>
      </c>
      <c r="K343" s="8" t="s">
        <v>925</v>
      </c>
      <c r="L343" s="9">
        <f t="shared" si="5"/>
        <v>17142857.140000001</v>
      </c>
    </row>
    <row r="344" spans="1:12" ht="14.25" customHeight="1" x14ac:dyDescent="0.3">
      <c r="A344" s="8">
        <v>343</v>
      </c>
      <c r="B344" s="8" t="str">
        <f>'Criaturas - Base de Dados'!B59</f>
        <v>Fúria Selvagem</v>
      </c>
      <c r="C344" s="8" t="str">
        <f>'Criaturas - Base de Dados'!C59</f>
        <v>Natureza</v>
      </c>
      <c r="D344" s="8" t="str">
        <f>'Criaturas - Base de Dados'!D59</f>
        <v>Alce Ancestral</v>
      </c>
      <c r="E344" s="8" t="str">
        <f>'Sistema de Raridade e Evolução'!B2</f>
        <v>Default</v>
      </c>
      <c r="F344" s="9" t="e">
        <f>ROUND(('Criaturas - Base de Dados'!H59*'Sistema de Raridade e Evolução'!E2)*1000,2)</f>
        <v>#VALUE!</v>
      </c>
      <c r="G344" s="8" t="e">
        <f>ROUND('Criaturas - Base de Dados'!I59*'Sistema de Raridade e Evolução'!E2,0)</f>
        <v>#VALUE!</v>
      </c>
      <c r="H344" s="8" t="e">
        <f>ROUND('Criaturas - Base de Dados'!J59*'Sistema de Raridade e Evolução'!E2,0)</f>
        <v>#VALUE!</v>
      </c>
      <c r="I344" s="8" t="e">
        <f>ROUND('Criaturas - Base de Dados'!K59*'Sistema de Raridade e Evolução'!E2,0)</f>
        <v>#VALUE!</v>
      </c>
      <c r="J344" s="8">
        <f>'Sistema de Raridade e Evolução'!D2</f>
        <v>1</v>
      </c>
      <c r="K344" s="8" t="s">
        <v>8</v>
      </c>
      <c r="L344" s="9" t="e">
        <f t="shared" si="5"/>
        <v>#VALUE!</v>
      </c>
    </row>
    <row r="345" spans="1:12" ht="14.25" hidden="1" customHeight="1" x14ac:dyDescent="0.3">
      <c r="A345" s="8">
        <v>344</v>
      </c>
      <c r="B345" s="8" t="str">
        <f>'Criaturas - Base de Dados'!B59</f>
        <v>Fúria Selvagem</v>
      </c>
      <c r="C345" s="8" t="str">
        <f>'Criaturas - Base de Dados'!C59</f>
        <v>Natureza</v>
      </c>
      <c r="D345" s="8" t="str">
        <f>'Criaturas - Base de Dados'!D59</f>
        <v>Alce Ancestral</v>
      </c>
      <c r="E345" s="8" t="str">
        <f>'Sistema de Raridade e Evolução'!B3</f>
        <v>Bronze</v>
      </c>
      <c r="F345" s="9">
        <f>ROUND(('Criaturas - Base de Dados'!H59*'Sistema de Raridade e Evolução'!E3)*1000,2)</f>
        <v>50000</v>
      </c>
      <c r="G345" s="8">
        <f>ROUND('Criaturas - Base de Dados'!I59*'Sistema de Raridade e Evolução'!E3,0)</f>
        <v>30</v>
      </c>
      <c r="H345" s="8">
        <f>ROUND('Criaturas - Base de Dados'!J59*'Sistema de Raridade e Evolução'!E3,0)</f>
        <v>25</v>
      </c>
      <c r="I345" s="8">
        <f>ROUND('Criaturas - Base de Dados'!K59*'Sistema de Raridade e Evolução'!E3,0)</f>
        <v>160</v>
      </c>
      <c r="J345" s="8">
        <f>'Sistema de Raridade e Evolução'!D3</f>
        <v>6</v>
      </c>
      <c r="K345" s="8" t="s">
        <v>9</v>
      </c>
      <c r="L345" s="9">
        <f t="shared" si="5"/>
        <v>119047.62</v>
      </c>
    </row>
    <row r="346" spans="1:12" ht="14.25" hidden="1" customHeight="1" x14ac:dyDescent="0.3">
      <c r="A346" s="8">
        <v>345</v>
      </c>
      <c r="B346" s="8" t="str">
        <f>'Criaturas - Base de Dados'!B59</f>
        <v>Fúria Selvagem</v>
      </c>
      <c r="C346" s="8" t="str">
        <f>'Criaturas - Base de Dados'!C59</f>
        <v>Natureza</v>
      </c>
      <c r="D346" s="8" t="str">
        <f>'Criaturas - Base de Dados'!D59</f>
        <v>Alce Ancestral</v>
      </c>
      <c r="E346" s="8" t="str">
        <f>'Sistema de Raridade e Evolução'!B4</f>
        <v>Prata</v>
      </c>
      <c r="F346" s="9">
        <f>ROUND(('Criaturas - Base de Dados'!H59*'Sistema de Raridade e Evolução'!E4)*1000,2)</f>
        <v>300000</v>
      </c>
      <c r="G346" s="8">
        <f>ROUND('Criaturas - Base de Dados'!I59*'Sistema de Raridade e Evolução'!E4,0)</f>
        <v>180</v>
      </c>
      <c r="H346" s="8">
        <f>ROUND('Criaturas - Base de Dados'!J59*'Sistema de Raridade e Evolução'!E4,0)</f>
        <v>150</v>
      </c>
      <c r="I346" s="8">
        <f>ROUND('Criaturas - Base de Dados'!K59*'Sistema de Raridade e Evolução'!E4,0)</f>
        <v>960</v>
      </c>
      <c r="J346" s="8">
        <f>'Sistema de Raridade e Evolução'!D4</f>
        <v>16</v>
      </c>
      <c r="K346" s="8" t="s">
        <v>10</v>
      </c>
      <c r="L346" s="9">
        <f t="shared" si="5"/>
        <v>714285.71</v>
      </c>
    </row>
    <row r="347" spans="1:12" ht="14.25" hidden="1" customHeight="1" x14ac:dyDescent="0.3">
      <c r="A347" s="8">
        <v>346</v>
      </c>
      <c r="B347" s="8" t="str">
        <f>'Criaturas - Base de Dados'!B59</f>
        <v>Fúria Selvagem</v>
      </c>
      <c r="C347" s="8" t="str">
        <f>'Criaturas - Base de Dados'!C59</f>
        <v>Natureza</v>
      </c>
      <c r="D347" s="8" t="str">
        <f>'Criaturas - Base de Dados'!D59</f>
        <v>Alce Ancestral</v>
      </c>
      <c r="E347" s="8" t="str">
        <f>'Sistema de Raridade e Evolução'!B5</f>
        <v>Ouro</v>
      </c>
      <c r="F347" s="9">
        <f>ROUND(('Criaturas - Base de Dados'!H59*'Sistema de Raridade e Evolução'!E5)*1000,2)</f>
        <v>900000</v>
      </c>
      <c r="G347" s="8">
        <f>ROUND('Criaturas - Base de Dados'!I59*'Sistema de Raridade e Evolução'!E5,0)</f>
        <v>540</v>
      </c>
      <c r="H347" s="8">
        <f>ROUND('Criaturas - Base de Dados'!J59*'Sistema de Raridade e Evolução'!E5,0)</f>
        <v>450</v>
      </c>
      <c r="I347" s="8">
        <f>ROUND('Criaturas - Base de Dados'!K59*'Sistema de Raridade e Evolução'!E5,0)</f>
        <v>2880</v>
      </c>
      <c r="J347" s="8">
        <f>'Sistema de Raridade e Evolução'!D5</f>
        <v>31</v>
      </c>
      <c r="K347" s="8" t="s">
        <v>11</v>
      </c>
      <c r="L347" s="9">
        <f t="shared" si="5"/>
        <v>2142857.14</v>
      </c>
    </row>
    <row r="348" spans="1:12" ht="14.25" hidden="1" customHeight="1" x14ac:dyDescent="0.3">
      <c r="A348" s="8">
        <v>347</v>
      </c>
      <c r="B348" s="8" t="str">
        <f>'Criaturas - Base de Dados'!B59</f>
        <v>Fúria Selvagem</v>
      </c>
      <c r="C348" s="8" t="str">
        <f>'Criaturas - Base de Dados'!C59</f>
        <v>Natureza</v>
      </c>
      <c r="D348" s="8" t="str">
        <f>'Criaturas - Base de Dados'!D59</f>
        <v>Alce Ancestral</v>
      </c>
      <c r="E348" s="8" t="str">
        <f>'Sistema de Raridade e Evolução'!B6</f>
        <v>Platina</v>
      </c>
      <c r="F348" s="9">
        <f>ROUND(('Criaturas - Base de Dados'!H59*'Sistema de Raridade e Evolução'!E6)*1000,2)</f>
        <v>2500000</v>
      </c>
      <c r="G348" s="8">
        <f>ROUND('Criaturas - Base de Dados'!I59*'Sistema de Raridade e Evolução'!E6,0)</f>
        <v>1500</v>
      </c>
      <c r="H348" s="8">
        <f>ROUND('Criaturas - Base de Dados'!J59*'Sistema de Raridade e Evolução'!E6,0)</f>
        <v>1250</v>
      </c>
      <c r="I348" s="8">
        <f>ROUND('Criaturas - Base de Dados'!K59*'Sistema de Raridade e Evolução'!E6,0)</f>
        <v>8000</v>
      </c>
      <c r="J348" s="8">
        <f>'Sistema de Raridade e Evolução'!D6</f>
        <v>56</v>
      </c>
      <c r="K348" s="8" t="s">
        <v>12</v>
      </c>
      <c r="L348" s="9">
        <f t="shared" si="5"/>
        <v>5952380.9500000002</v>
      </c>
    </row>
    <row r="349" spans="1:12" ht="14.25" hidden="1" customHeight="1" x14ac:dyDescent="0.3">
      <c r="A349" s="8">
        <v>348</v>
      </c>
      <c r="B349" s="8" t="str">
        <f>'Criaturas - Base de Dados'!B59</f>
        <v>Fúria Selvagem</v>
      </c>
      <c r="C349" s="8" t="str">
        <f>'Criaturas - Base de Dados'!C59</f>
        <v>Natureza</v>
      </c>
      <c r="D349" s="8" t="str">
        <f>'Criaturas - Base de Dados'!D59</f>
        <v>Alce Ancestral</v>
      </c>
      <c r="E349" s="8" t="str">
        <f>'Sistema de Raridade e Evolução'!B7</f>
        <v>Lendário</v>
      </c>
      <c r="F349" s="9">
        <f>ROUND(('Criaturas - Base de Dados'!H59*'Sistema de Raridade e Evolução'!E7)*1000,2)</f>
        <v>7500000</v>
      </c>
      <c r="G349" s="8">
        <f>ROUND('Criaturas - Base de Dados'!I59*'Sistema de Raridade e Evolução'!E7,0)</f>
        <v>4500</v>
      </c>
      <c r="H349" s="8">
        <f>ROUND('Criaturas - Base de Dados'!J59*'Sistema de Raridade e Evolução'!E7,0)</f>
        <v>3750</v>
      </c>
      <c r="I349" s="8">
        <f>ROUND('Criaturas - Base de Dados'!K59*'Sistema de Raridade e Evolução'!E7,0)</f>
        <v>24000</v>
      </c>
      <c r="J349" s="8">
        <f>'Sistema de Raridade e Evolução'!D7</f>
        <v>91</v>
      </c>
      <c r="K349" s="8" t="s">
        <v>925</v>
      </c>
      <c r="L349" s="9">
        <f t="shared" si="5"/>
        <v>17857142.859999999</v>
      </c>
    </row>
    <row r="350" spans="1:12" ht="14.25" customHeight="1" x14ac:dyDescent="0.3">
      <c r="A350" s="8">
        <v>349</v>
      </c>
      <c r="B350" s="8" t="str">
        <f>'Criaturas - Base de Dados'!B60</f>
        <v>Fúria Selvagem</v>
      </c>
      <c r="C350" s="8" t="str">
        <f>'Criaturas - Base de Dados'!C60</f>
        <v>Natureza</v>
      </c>
      <c r="D350" s="8" t="str">
        <f>'Criaturas - Base de Dados'!D60</f>
        <v>Rakshasa da Selva</v>
      </c>
      <c r="E350" s="8" t="str">
        <f>'Sistema de Raridade e Evolução'!B2</f>
        <v>Default</v>
      </c>
      <c r="F350" s="9" t="e">
        <f>ROUND(('Criaturas - Base de Dados'!H60*'Sistema de Raridade e Evolução'!E2)*1000,2)</f>
        <v>#VALUE!</v>
      </c>
      <c r="G350" s="8" t="e">
        <f>ROUND('Criaturas - Base de Dados'!I60*'Sistema de Raridade e Evolução'!E2,0)</f>
        <v>#VALUE!</v>
      </c>
      <c r="H350" s="8" t="e">
        <f>ROUND('Criaturas - Base de Dados'!J60*'Sistema de Raridade e Evolução'!E2,0)</f>
        <v>#VALUE!</v>
      </c>
      <c r="I350" s="8" t="e">
        <f>ROUND('Criaturas - Base de Dados'!K60*'Sistema de Raridade e Evolução'!E2,0)</f>
        <v>#VALUE!</v>
      </c>
      <c r="J350" s="8">
        <f>'Sistema de Raridade e Evolução'!D2</f>
        <v>1</v>
      </c>
      <c r="K350" s="8" t="s">
        <v>8</v>
      </c>
      <c r="L350" s="9" t="e">
        <f t="shared" si="5"/>
        <v>#VALUE!</v>
      </c>
    </row>
    <row r="351" spans="1:12" ht="14.25" hidden="1" customHeight="1" x14ac:dyDescent="0.3">
      <c r="A351" s="8">
        <v>350</v>
      </c>
      <c r="B351" s="8" t="str">
        <f>'Criaturas - Base de Dados'!B60</f>
        <v>Fúria Selvagem</v>
      </c>
      <c r="C351" s="8" t="str">
        <f>'Criaturas - Base de Dados'!C60</f>
        <v>Natureza</v>
      </c>
      <c r="D351" s="8" t="str">
        <f>'Criaturas - Base de Dados'!D60</f>
        <v>Rakshasa da Selva</v>
      </c>
      <c r="E351" s="8" t="str">
        <f>'Sistema de Raridade e Evolução'!B3</f>
        <v>Bronze</v>
      </c>
      <c r="F351" s="9">
        <f>ROUND(('Criaturas - Base de Dados'!H60*'Sistema de Raridade e Evolução'!E3)*1000,2)</f>
        <v>69000</v>
      </c>
      <c r="G351" s="8">
        <f>ROUND('Criaturas - Base de Dados'!I60*'Sistema de Raridade e Evolução'!E3,0)</f>
        <v>41</v>
      </c>
      <c r="H351" s="8">
        <f>ROUND('Criaturas - Base de Dados'!J60*'Sistema de Raridade e Evolução'!E3,0)</f>
        <v>34</v>
      </c>
      <c r="I351" s="8">
        <f>ROUND('Criaturas - Base de Dados'!K60*'Sistema de Raridade e Evolução'!E3,0)</f>
        <v>221</v>
      </c>
      <c r="J351" s="8">
        <f>'Sistema de Raridade e Evolução'!D3</f>
        <v>6</v>
      </c>
      <c r="K351" s="8" t="s">
        <v>9</v>
      </c>
      <c r="L351" s="9">
        <f t="shared" si="5"/>
        <v>164285.71</v>
      </c>
    </row>
    <row r="352" spans="1:12" ht="14.25" hidden="1" customHeight="1" x14ac:dyDescent="0.3">
      <c r="A352" s="8">
        <v>351</v>
      </c>
      <c r="B352" s="8" t="str">
        <f>'Criaturas - Base de Dados'!B60</f>
        <v>Fúria Selvagem</v>
      </c>
      <c r="C352" s="8" t="str">
        <f>'Criaturas - Base de Dados'!C60</f>
        <v>Natureza</v>
      </c>
      <c r="D352" s="8" t="str">
        <f>'Criaturas - Base de Dados'!D60</f>
        <v>Rakshasa da Selva</v>
      </c>
      <c r="E352" s="8" t="str">
        <f>'Sistema de Raridade e Evolução'!B4</f>
        <v>Prata</v>
      </c>
      <c r="F352" s="9">
        <f>ROUND(('Criaturas - Base de Dados'!H60*'Sistema de Raridade e Evolução'!E4)*1000,2)</f>
        <v>414000</v>
      </c>
      <c r="G352" s="8">
        <f>ROUND('Criaturas - Base de Dados'!I60*'Sistema de Raridade e Evolução'!E4,0)</f>
        <v>246</v>
      </c>
      <c r="H352" s="8">
        <f>ROUND('Criaturas - Base de Dados'!J60*'Sistema de Raridade e Evolução'!E4,0)</f>
        <v>204</v>
      </c>
      <c r="I352" s="8">
        <f>ROUND('Criaturas - Base de Dados'!K60*'Sistema de Raridade e Evolução'!E4,0)</f>
        <v>1326</v>
      </c>
      <c r="J352" s="8">
        <f>'Sistema de Raridade e Evolução'!D4</f>
        <v>16</v>
      </c>
      <c r="K352" s="8" t="s">
        <v>10</v>
      </c>
      <c r="L352" s="9">
        <f t="shared" si="5"/>
        <v>985714.29</v>
      </c>
    </row>
    <row r="353" spans="1:12" ht="14.25" hidden="1" customHeight="1" x14ac:dyDescent="0.3">
      <c r="A353" s="8">
        <v>352</v>
      </c>
      <c r="B353" s="8" t="str">
        <f>'Criaturas - Base de Dados'!B60</f>
        <v>Fúria Selvagem</v>
      </c>
      <c r="C353" s="8" t="str">
        <f>'Criaturas - Base de Dados'!C60</f>
        <v>Natureza</v>
      </c>
      <c r="D353" s="8" t="str">
        <f>'Criaturas - Base de Dados'!D60</f>
        <v>Rakshasa da Selva</v>
      </c>
      <c r="E353" s="8" t="str">
        <f>'Sistema de Raridade e Evolução'!B5</f>
        <v>Ouro</v>
      </c>
      <c r="F353" s="9">
        <f>ROUND(('Criaturas - Base de Dados'!H60*'Sistema de Raridade e Evolução'!E5)*1000,2)</f>
        <v>1242000</v>
      </c>
      <c r="G353" s="8">
        <f>ROUND('Criaturas - Base de Dados'!I60*'Sistema de Raridade e Evolução'!E5,0)</f>
        <v>738</v>
      </c>
      <c r="H353" s="8">
        <f>ROUND('Criaturas - Base de Dados'!J60*'Sistema de Raridade e Evolução'!E5,0)</f>
        <v>612</v>
      </c>
      <c r="I353" s="8">
        <f>ROUND('Criaturas - Base de Dados'!K60*'Sistema de Raridade e Evolução'!E5,0)</f>
        <v>3978</v>
      </c>
      <c r="J353" s="8">
        <f>'Sistema de Raridade e Evolução'!D5</f>
        <v>31</v>
      </c>
      <c r="K353" s="8" t="s">
        <v>11</v>
      </c>
      <c r="L353" s="9">
        <f t="shared" si="5"/>
        <v>2957142.86</v>
      </c>
    </row>
    <row r="354" spans="1:12" ht="14.25" hidden="1" customHeight="1" x14ac:dyDescent="0.3">
      <c r="A354" s="8">
        <v>353</v>
      </c>
      <c r="B354" s="8" t="str">
        <f>'Criaturas - Base de Dados'!B60</f>
        <v>Fúria Selvagem</v>
      </c>
      <c r="C354" s="8" t="str">
        <f>'Criaturas - Base de Dados'!C60</f>
        <v>Natureza</v>
      </c>
      <c r="D354" s="8" t="str">
        <f>'Criaturas - Base de Dados'!D60</f>
        <v>Rakshasa da Selva</v>
      </c>
      <c r="E354" s="8" t="str">
        <f>'Sistema de Raridade e Evolução'!B6</f>
        <v>Platina</v>
      </c>
      <c r="F354" s="9">
        <f>ROUND(('Criaturas - Base de Dados'!H60*'Sistema de Raridade e Evolução'!E6)*1000,2)</f>
        <v>3450000</v>
      </c>
      <c r="G354" s="8">
        <f>ROUND('Criaturas - Base de Dados'!I60*'Sistema de Raridade e Evolução'!E6,0)</f>
        <v>2050</v>
      </c>
      <c r="H354" s="8">
        <f>ROUND('Criaturas - Base de Dados'!J60*'Sistema de Raridade e Evolução'!E6,0)</f>
        <v>1700</v>
      </c>
      <c r="I354" s="8">
        <f>ROUND('Criaturas - Base de Dados'!K60*'Sistema de Raridade e Evolução'!E6,0)</f>
        <v>11050</v>
      </c>
      <c r="J354" s="8">
        <f>'Sistema de Raridade e Evolução'!D6</f>
        <v>56</v>
      </c>
      <c r="K354" s="8" t="s">
        <v>12</v>
      </c>
      <c r="L354" s="9">
        <f t="shared" si="5"/>
        <v>8214285.71</v>
      </c>
    </row>
    <row r="355" spans="1:12" ht="14.25" hidden="1" customHeight="1" x14ac:dyDescent="0.3">
      <c r="A355" s="8">
        <v>354</v>
      </c>
      <c r="B355" s="8" t="str">
        <f>'Criaturas - Base de Dados'!B60</f>
        <v>Fúria Selvagem</v>
      </c>
      <c r="C355" s="8" t="str">
        <f>'Criaturas - Base de Dados'!C60</f>
        <v>Natureza</v>
      </c>
      <c r="D355" s="8" t="str">
        <f>'Criaturas - Base de Dados'!D60</f>
        <v>Rakshasa da Selva</v>
      </c>
      <c r="E355" s="8" t="str">
        <f>'Sistema de Raridade e Evolução'!B7</f>
        <v>Lendário</v>
      </c>
      <c r="F355" s="9">
        <f>ROUND(('Criaturas - Base de Dados'!H60*'Sistema de Raridade e Evolução'!E7)*1000,2)</f>
        <v>10350000</v>
      </c>
      <c r="G355" s="8">
        <f>ROUND('Criaturas - Base de Dados'!I60*'Sistema de Raridade e Evolução'!E7,0)</f>
        <v>6150</v>
      </c>
      <c r="H355" s="8">
        <f>ROUND('Criaturas - Base de Dados'!J60*'Sistema de Raridade e Evolução'!E7,0)</f>
        <v>5100</v>
      </c>
      <c r="I355" s="8">
        <f>ROUND('Criaturas - Base de Dados'!K60*'Sistema de Raridade e Evolução'!E7,0)</f>
        <v>33150</v>
      </c>
      <c r="J355" s="8">
        <f>'Sistema de Raridade e Evolução'!D7</f>
        <v>91</v>
      </c>
      <c r="K355" s="8" t="s">
        <v>925</v>
      </c>
      <c r="L355" s="9">
        <f t="shared" si="5"/>
        <v>24642857.140000001</v>
      </c>
    </row>
    <row r="356" spans="1:12" ht="14.25" customHeight="1" x14ac:dyDescent="0.3">
      <c r="A356" s="8">
        <v>355</v>
      </c>
      <c r="B356" s="8" t="str">
        <f>'Criaturas - Base de Dados'!B61</f>
        <v>Fúria Selvagem</v>
      </c>
      <c r="C356" s="8" t="str">
        <f>'Criaturas - Base de Dados'!C61</f>
        <v>Natureza</v>
      </c>
      <c r="D356" s="8" t="str">
        <f>'Criaturas - Base de Dados'!D61</f>
        <v>Yeti das Terras Altas</v>
      </c>
      <c r="E356" s="8" t="str">
        <f>'Sistema de Raridade e Evolução'!B2</f>
        <v>Default</v>
      </c>
      <c r="F356" s="9" t="e">
        <f>ROUND(('Criaturas - Base de Dados'!H61*'Sistema de Raridade e Evolução'!E2)*1000,2)</f>
        <v>#VALUE!</v>
      </c>
      <c r="G356" s="8" t="e">
        <f>ROUND('Criaturas - Base de Dados'!I61*'Sistema de Raridade e Evolução'!E2,0)</f>
        <v>#VALUE!</v>
      </c>
      <c r="H356" s="8" t="e">
        <f>ROUND('Criaturas - Base de Dados'!J61*'Sistema de Raridade e Evolução'!E2,0)</f>
        <v>#VALUE!</v>
      </c>
      <c r="I356" s="8" t="e">
        <f>ROUND('Criaturas - Base de Dados'!K61*'Sistema de Raridade e Evolução'!E2,0)</f>
        <v>#VALUE!</v>
      </c>
      <c r="J356" s="8">
        <f>'Sistema de Raridade e Evolução'!D2</f>
        <v>1</v>
      </c>
      <c r="K356" s="8" t="s">
        <v>8</v>
      </c>
      <c r="L356" s="9" t="e">
        <f t="shared" si="5"/>
        <v>#VALUE!</v>
      </c>
    </row>
    <row r="357" spans="1:12" ht="14.25" hidden="1" customHeight="1" x14ac:dyDescent="0.3">
      <c r="A357" s="8">
        <v>356</v>
      </c>
      <c r="B357" s="8" t="str">
        <f>'Criaturas - Base de Dados'!B61</f>
        <v>Fúria Selvagem</v>
      </c>
      <c r="C357" s="8" t="str">
        <f>'Criaturas - Base de Dados'!C61</f>
        <v>Natureza</v>
      </c>
      <c r="D357" s="8" t="str">
        <f>'Criaturas - Base de Dados'!D61</f>
        <v>Yeti das Terras Altas</v>
      </c>
      <c r="E357" s="8" t="str">
        <f>'Sistema de Raridade e Evolução'!B3</f>
        <v>Bronze</v>
      </c>
      <c r="F357" s="9">
        <f>ROUND(('Criaturas - Base de Dados'!H61*'Sistema de Raridade e Evolução'!E3)*1000,2)</f>
        <v>71000</v>
      </c>
      <c r="G357" s="8">
        <f>ROUND('Criaturas - Base de Dados'!I61*'Sistema de Raridade e Evolução'!E3,0)</f>
        <v>43</v>
      </c>
      <c r="H357" s="8">
        <f>ROUND('Criaturas - Base de Dados'!J61*'Sistema de Raridade e Evolução'!E3,0)</f>
        <v>36</v>
      </c>
      <c r="I357" s="8">
        <f>ROUND('Criaturas - Base de Dados'!K61*'Sistema de Raridade e Evolução'!E3,0)</f>
        <v>227</v>
      </c>
      <c r="J357" s="8">
        <f>'Sistema de Raridade e Evolução'!D3</f>
        <v>6</v>
      </c>
      <c r="K357" s="8" t="s">
        <v>9</v>
      </c>
      <c r="L357" s="9">
        <f t="shared" si="5"/>
        <v>169047.62</v>
      </c>
    </row>
    <row r="358" spans="1:12" ht="14.25" hidden="1" customHeight="1" x14ac:dyDescent="0.3">
      <c r="A358" s="8">
        <v>357</v>
      </c>
      <c r="B358" s="8" t="str">
        <f>'Criaturas - Base de Dados'!B61</f>
        <v>Fúria Selvagem</v>
      </c>
      <c r="C358" s="8" t="str">
        <f>'Criaturas - Base de Dados'!C61</f>
        <v>Natureza</v>
      </c>
      <c r="D358" s="8" t="str">
        <f>'Criaturas - Base de Dados'!D61</f>
        <v>Yeti das Terras Altas</v>
      </c>
      <c r="E358" s="8" t="str">
        <f>'Sistema de Raridade e Evolução'!B4</f>
        <v>Prata</v>
      </c>
      <c r="F358" s="9">
        <f>ROUND(('Criaturas - Base de Dados'!H61*'Sistema de Raridade e Evolução'!E4)*1000,2)</f>
        <v>426000</v>
      </c>
      <c r="G358" s="8">
        <f>ROUND('Criaturas - Base de Dados'!I61*'Sistema de Raridade e Evolução'!E4,0)</f>
        <v>258</v>
      </c>
      <c r="H358" s="8">
        <f>ROUND('Criaturas - Base de Dados'!J61*'Sistema de Raridade e Evolução'!E4,0)</f>
        <v>216</v>
      </c>
      <c r="I358" s="8">
        <f>ROUND('Criaturas - Base de Dados'!K61*'Sistema de Raridade e Evolução'!E4,0)</f>
        <v>1362</v>
      </c>
      <c r="J358" s="8">
        <f>'Sistema de Raridade e Evolução'!D4</f>
        <v>16</v>
      </c>
      <c r="K358" s="8" t="s">
        <v>10</v>
      </c>
      <c r="L358" s="9">
        <f t="shared" si="5"/>
        <v>1014285.71</v>
      </c>
    </row>
    <row r="359" spans="1:12" ht="14.25" hidden="1" customHeight="1" x14ac:dyDescent="0.3">
      <c r="A359" s="8">
        <v>358</v>
      </c>
      <c r="B359" s="8" t="str">
        <f>'Criaturas - Base de Dados'!B61</f>
        <v>Fúria Selvagem</v>
      </c>
      <c r="C359" s="8" t="str">
        <f>'Criaturas - Base de Dados'!C61</f>
        <v>Natureza</v>
      </c>
      <c r="D359" s="8" t="str">
        <f>'Criaturas - Base de Dados'!D61</f>
        <v>Yeti das Terras Altas</v>
      </c>
      <c r="E359" s="8" t="str">
        <f>'Sistema de Raridade e Evolução'!B5</f>
        <v>Ouro</v>
      </c>
      <c r="F359" s="9">
        <f>ROUND(('Criaturas - Base de Dados'!H61*'Sistema de Raridade e Evolução'!E5)*1000,2)</f>
        <v>1278000</v>
      </c>
      <c r="G359" s="8">
        <f>ROUND('Criaturas - Base de Dados'!I61*'Sistema de Raridade e Evolução'!E5,0)</f>
        <v>774</v>
      </c>
      <c r="H359" s="8">
        <f>ROUND('Criaturas - Base de Dados'!J61*'Sistema de Raridade e Evolução'!E5,0)</f>
        <v>648</v>
      </c>
      <c r="I359" s="8">
        <f>ROUND('Criaturas - Base de Dados'!K61*'Sistema de Raridade e Evolução'!E5,0)</f>
        <v>4086</v>
      </c>
      <c r="J359" s="8">
        <f>'Sistema de Raridade e Evolução'!D5</f>
        <v>31</v>
      </c>
      <c r="K359" s="8" t="s">
        <v>11</v>
      </c>
      <c r="L359" s="9">
        <f t="shared" si="5"/>
        <v>3042857.14</v>
      </c>
    </row>
    <row r="360" spans="1:12" ht="14.25" hidden="1" customHeight="1" x14ac:dyDescent="0.3">
      <c r="A360" s="8">
        <v>359</v>
      </c>
      <c r="B360" s="8" t="str">
        <f>'Criaturas - Base de Dados'!B61</f>
        <v>Fúria Selvagem</v>
      </c>
      <c r="C360" s="8" t="str">
        <f>'Criaturas - Base de Dados'!C61</f>
        <v>Natureza</v>
      </c>
      <c r="D360" s="8" t="str">
        <f>'Criaturas - Base de Dados'!D61</f>
        <v>Yeti das Terras Altas</v>
      </c>
      <c r="E360" s="8" t="str">
        <f>'Sistema de Raridade e Evolução'!B6</f>
        <v>Platina</v>
      </c>
      <c r="F360" s="9">
        <f>ROUND(('Criaturas - Base de Dados'!H61*'Sistema de Raridade e Evolução'!E6)*1000,2)</f>
        <v>3550000</v>
      </c>
      <c r="G360" s="8">
        <f>ROUND('Criaturas - Base de Dados'!I61*'Sistema de Raridade e Evolução'!E6,0)</f>
        <v>2150</v>
      </c>
      <c r="H360" s="8">
        <f>ROUND('Criaturas - Base de Dados'!J61*'Sistema de Raridade e Evolução'!E6,0)</f>
        <v>1800</v>
      </c>
      <c r="I360" s="8">
        <f>ROUND('Criaturas - Base de Dados'!K61*'Sistema de Raridade e Evolução'!E6,0)</f>
        <v>11350</v>
      </c>
      <c r="J360" s="8">
        <f>'Sistema de Raridade e Evolução'!D6</f>
        <v>56</v>
      </c>
      <c r="K360" s="8" t="s">
        <v>12</v>
      </c>
      <c r="L360" s="9">
        <f t="shared" si="5"/>
        <v>8452380.9499999993</v>
      </c>
    </row>
    <row r="361" spans="1:12" ht="14.25" hidden="1" customHeight="1" x14ac:dyDescent="0.3">
      <c r="A361" s="8">
        <v>360</v>
      </c>
      <c r="B361" s="8" t="str">
        <f>'Criaturas - Base de Dados'!B61</f>
        <v>Fúria Selvagem</v>
      </c>
      <c r="C361" s="8" t="str">
        <f>'Criaturas - Base de Dados'!C61</f>
        <v>Natureza</v>
      </c>
      <c r="D361" s="8" t="str">
        <f>'Criaturas - Base de Dados'!D61</f>
        <v>Yeti das Terras Altas</v>
      </c>
      <c r="E361" s="8" t="str">
        <f>'Sistema de Raridade e Evolução'!B7</f>
        <v>Lendário</v>
      </c>
      <c r="F361" s="9">
        <f>ROUND(('Criaturas - Base de Dados'!H61*'Sistema de Raridade e Evolução'!E7)*1000,2)</f>
        <v>10650000</v>
      </c>
      <c r="G361" s="8">
        <f>ROUND('Criaturas - Base de Dados'!I61*'Sistema de Raridade e Evolução'!E7,0)</f>
        <v>6450</v>
      </c>
      <c r="H361" s="8">
        <f>ROUND('Criaturas - Base de Dados'!J61*'Sistema de Raridade e Evolução'!E7,0)</f>
        <v>5400</v>
      </c>
      <c r="I361" s="8">
        <f>ROUND('Criaturas - Base de Dados'!K61*'Sistema de Raridade e Evolução'!E7,0)</f>
        <v>34050</v>
      </c>
      <c r="J361" s="8">
        <f>'Sistema de Raridade e Evolução'!D7</f>
        <v>91</v>
      </c>
      <c r="K361" s="8" t="s">
        <v>925</v>
      </c>
      <c r="L361" s="9">
        <f t="shared" si="5"/>
        <v>25357142.859999999</v>
      </c>
    </row>
    <row r="362" spans="1:12" ht="14.25" customHeight="1" x14ac:dyDescent="0.3">
      <c r="A362" s="8">
        <v>361</v>
      </c>
      <c r="B362" s="8" t="str">
        <f>'Criaturas - Base de Dados'!B62</f>
        <v>Abismo Glacial</v>
      </c>
      <c r="C362" s="8" t="str">
        <f>'Criaturas - Base de Dados'!C62</f>
        <v>Gelo</v>
      </c>
      <c r="D362" s="8" t="str">
        <f>'Criaturas - Base de Dados'!D62</f>
        <v>Yuki-onna Congelante</v>
      </c>
      <c r="E362" s="8" t="str">
        <f>'Sistema de Raridade e Evolução'!B2</f>
        <v>Default</v>
      </c>
      <c r="F362" s="9" t="e">
        <f>ROUND(('Criaturas - Base de Dados'!H62*'Sistema de Raridade e Evolução'!E2)*1000,2)</f>
        <v>#VALUE!</v>
      </c>
      <c r="G362" s="8" t="e">
        <f>ROUND('Criaturas - Base de Dados'!I62*'Sistema de Raridade e Evolução'!E2,0)</f>
        <v>#VALUE!</v>
      </c>
      <c r="H362" s="8" t="e">
        <f>ROUND('Criaturas - Base de Dados'!J62*'Sistema de Raridade e Evolução'!E2,0)</f>
        <v>#VALUE!</v>
      </c>
      <c r="I362" s="8" t="e">
        <f>ROUND('Criaturas - Base de Dados'!K62*'Sistema de Raridade e Evolução'!E2,0)</f>
        <v>#VALUE!</v>
      </c>
      <c r="J362" s="8">
        <f>'Sistema de Raridade e Evolução'!D2</f>
        <v>1</v>
      </c>
      <c r="K362" s="8" t="s">
        <v>8</v>
      </c>
      <c r="L362" s="9" t="e">
        <f t="shared" si="5"/>
        <v>#VALUE!</v>
      </c>
    </row>
    <row r="363" spans="1:12" ht="14.25" hidden="1" customHeight="1" x14ac:dyDescent="0.3">
      <c r="A363" s="8">
        <v>362</v>
      </c>
      <c r="B363" s="8" t="str">
        <f>'Criaturas - Base de Dados'!B62</f>
        <v>Abismo Glacial</v>
      </c>
      <c r="C363" s="8" t="str">
        <f>'Criaturas - Base de Dados'!C62</f>
        <v>Gelo</v>
      </c>
      <c r="D363" s="8" t="str">
        <f>'Criaturas - Base de Dados'!D62</f>
        <v>Yuki-onna Congelante</v>
      </c>
      <c r="E363" s="8" t="str">
        <f>'Sistema de Raridade e Evolução'!B3</f>
        <v>Bronze</v>
      </c>
      <c r="F363" s="9">
        <f>ROUND(('Criaturas - Base de Dados'!H62*'Sistema de Raridade e Evolução'!E3)*1000,2)</f>
        <v>10000</v>
      </c>
      <c r="G363" s="8">
        <f>ROUND('Criaturas - Base de Dados'!I62*'Sistema de Raridade e Evolução'!E3,0)</f>
        <v>6</v>
      </c>
      <c r="H363" s="8">
        <f>ROUND('Criaturas - Base de Dados'!J62*'Sistema de Raridade e Evolução'!E3,0)</f>
        <v>5</v>
      </c>
      <c r="I363" s="8">
        <f>ROUND('Criaturas - Base de Dados'!K62*'Sistema de Raridade e Evolução'!E3,0)</f>
        <v>32</v>
      </c>
      <c r="J363" s="8">
        <f>'Sistema de Raridade e Evolução'!D3</f>
        <v>6</v>
      </c>
      <c r="K363" s="8" t="s">
        <v>9</v>
      </c>
      <c r="L363" s="9">
        <f t="shared" si="5"/>
        <v>23809.52</v>
      </c>
    </row>
    <row r="364" spans="1:12" ht="14.25" hidden="1" customHeight="1" x14ac:dyDescent="0.3">
      <c r="A364" s="8">
        <v>363</v>
      </c>
      <c r="B364" s="8" t="str">
        <f>'Criaturas - Base de Dados'!B62</f>
        <v>Abismo Glacial</v>
      </c>
      <c r="C364" s="8" t="str">
        <f>'Criaturas - Base de Dados'!C62</f>
        <v>Gelo</v>
      </c>
      <c r="D364" s="8" t="str">
        <f>'Criaturas - Base de Dados'!D62</f>
        <v>Yuki-onna Congelante</v>
      </c>
      <c r="E364" s="8" t="str">
        <f>'Sistema de Raridade e Evolução'!B4</f>
        <v>Prata</v>
      </c>
      <c r="F364" s="9">
        <f>ROUND(('Criaturas - Base de Dados'!H62*'Sistema de Raridade e Evolução'!E4)*1000,2)</f>
        <v>60000</v>
      </c>
      <c r="G364" s="8">
        <f>ROUND('Criaturas - Base de Dados'!I62*'Sistema de Raridade e Evolução'!E4,0)</f>
        <v>36</v>
      </c>
      <c r="H364" s="8">
        <f>ROUND('Criaturas - Base de Dados'!J62*'Sistema de Raridade e Evolução'!E4,0)</f>
        <v>30</v>
      </c>
      <c r="I364" s="8">
        <f>ROUND('Criaturas - Base de Dados'!K62*'Sistema de Raridade e Evolução'!E4,0)</f>
        <v>192</v>
      </c>
      <c r="J364" s="8">
        <f>'Sistema de Raridade e Evolução'!D4</f>
        <v>16</v>
      </c>
      <c r="K364" s="8" t="s">
        <v>10</v>
      </c>
      <c r="L364" s="9">
        <f t="shared" si="5"/>
        <v>142857.14000000001</v>
      </c>
    </row>
    <row r="365" spans="1:12" ht="14.25" hidden="1" customHeight="1" x14ac:dyDescent="0.3">
      <c r="A365" s="8">
        <v>364</v>
      </c>
      <c r="B365" s="8" t="str">
        <f>'Criaturas - Base de Dados'!B62</f>
        <v>Abismo Glacial</v>
      </c>
      <c r="C365" s="8" t="str">
        <f>'Criaturas - Base de Dados'!C62</f>
        <v>Gelo</v>
      </c>
      <c r="D365" s="8" t="str">
        <f>'Criaturas - Base de Dados'!D62</f>
        <v>Yuki-onna Congelante</v>
      </c>
      <c r="E365" s="8" t="str">
        <f>'Sistema de Raridade e Evolução'!B5</f>
        <v>Ouro</v>
      </c>
      <c r="F365" s="9">
        <f>ROUND(('Criaturas - Base de Dados'!H62*'Sistema de Raridade e Evolução'!E5)*1000,2)</f>
        <v>180000</v>
      </c>
      <c r="G365" s="8">
        <f>ROUND('Criaturas - Base de Dados'!I62*'Sistema de Raridade e Evolução'!E5,0)</f>
        <v>108</v>
      </c>
      <c r="H365" s="8">
        <f>ROUND('Criaturas - Base de Dados'!J62*'Sistema de Raridade e Evolução'!E5,0)</f>
        <v>90</v>
      </c>
      <c r="I365" s="8">
        <f>ROUND('Criaturas - Base de Dados'!K62*'Sistema de Raridade e Evolução'!E5,0)</f>
        <v>576</v>
      </c>
      <c r="J365" s="8">
        <f>'Sistema de Raridade e Evolução'!D5</f>
        <v>31</v>
      </c>
      <c r="K365" s="8" t="s">
        <v>11</v>
      </c>
      <c r="L365" s="9">
        <f t="shared" si="5"/>
        <v>428571.43</v>
      </c>
    </row>
    <row r="366" spans="1:12" ht="14.25" hidden="1" customHeight="1" x14ac:dyDescent="0.3">
      <c r="A366" s="8">
        <v>365</v>
      </c>
      <c r="B366" s="8" t="str">
        <f>'Criaturas - Base de Dados'!B62</f>
        <v>Abismo Glacial</v>
      </c>
      <c r="C366" s="8" t="str">
        <f>'Criaturas - Base de Dados'!C62</f>
        <v>Gelo</v>
      </c>
      <c r="D366" s="8" t="str">
        <f>'Criaturas - Base de Dados'!D62</f>
        <v>Yuki-onna Congelante</v>
      </c>
      <c r="E366" s="8" t="str">
        <f>'Sistema de Raridade e Evolução'!B6</f>
        <v>Platina</v>
      </c>
      <c r="F366" s="9">
        <f>ROUND(('Criaturas - Base de Dados'!H62*'Sistema de Raridade e Evolução'!E6)*1000,2)</f>
        <v>500000</v>
      </c>
      <c r="G366" s="8">
        <f>ROUND('Criaturas - Base de Dados'!I62*'Sistema de Raridade e Evolução'!E6,0)</f>
        <v>300</v>
      </c>
      <c r="H366" s="8">
        <f>ROUND('Criaturas - Base de Dados'!J62*'Sistema de Raridade e Evolução'!E6,0)</f>
        <v>250</v>
      </c>
      <c r="I366" s="8">
        <f>ROUND('Criaturas - Base de Dados'!K62*'Sistema de Raridade e Evolução'!E6,0)</f>
        <v>1600</v>
      </c>
      <c r="J366" s="8">
        <f>'Sistema de Raridade e Evolução'!D6</f>
        <v>56</v>
      </c>
      <c r="K366" s="8" t="s">
        <v>12</v>
      </c>
      <c r="L366" s="9">
        <f t="shared" si="5"/>
        <v>1190476.19</v>
      </c>
    </row>
    <row r="367" spans="1:12" ht="14.25" hidden="1" customHeight="1" x14ac:dyDescent="0.3">
      <c r="A367" s="8">
        <v>366</v>
      </c>
      <c r="B367" s="8" t="str">
        <f>'Criaturas - Base de Dados'!B62</f>
        <v>Abismo Glacial</v>
      </c>
      <c r="C367" s="8" t="str">
        <f>'Criaturas - Base de Dados'!C62</f>
        <v>Gelo</v>
      </c>
      <c r="D367" s="8" t="str">
        <f>'Criaturas - Base de Dados'!D62</f>
        <v>Yuki-onna Congelante</v>
      </c>
      <c r="E367" s="8" t="str">
        <f>'Sistema de Raridade e Evolução'!B7</f>
        <v>Lendário</v>
      </c>
      <c r="F367" s="9">
        <f>ROUND(('Criaturas - Base de Dados'!H62*'Sistema de Raridade e Evolução'!E7)*1000,2)</f>
        <v>1500000</v>
      </c>
      <c r="G367" s="8">
        <f>ROUND('Criaturas - Base de Dados'!I62*'Sistema de Raridade e Evolução'!E7,0)</f>
        <v>900</v>
      </c>
      <c r="H367" s="8">
        <f>ROUND('Criaturas - Base de Dados'!J62*'Sistema de Raridade e Evolução'!E7,0)</f>
        <v>750</v>
      </c>
      <c r="I367" s="8">
        <f>ROUND('Criaturas - Base de Dados'!K62*'Sistema de Raridade e Evolução'!E7,0)</f>
        <v>4800</v>
      </c>
      <c r="J367" s="8">
        <f>'Sistema de Raridade e Evolução'!D7</f>
        <v>91</v>
      </c>
      <c r="K367" s="8" t="s">
        <v>925</v>
      </c>
      <c r="L367" s="9">
        <f t="shared" si="5"/>
        <v>3571428.57</v>
      </c>
    </row>
    <row r="368" spans="1:12" ht="14.25" customHeight="1" x14ac:dyDescent="0.3">
      <c r="A368" s="8">
        <v>367</v>
      </c>
      <c r="B368" s="8" t="str">
        <f>'Criaturas - Base de Dados'!B63</f>
        <v>Abismo Glacial</v>
      </c>
      <c r="C368" s="8" t="str">
        <f>'Criaturas - Base de Dados'!C63</f>
        <v>Gelo</v>
      </c>
      <c r="D368" s="8" t="str">
        <f>'Criaturas - Base de Dados'!D63</f>
        <v>Troll da Geada</v>
      </c>
      <c r="E368" s="8" t="str">
        <f>'Sistema de Raridade e Evolução'!B2</f>
        <v>Default</v>
      </c>
      <c r="F368" s="9" t="e">
        <f>ROUND(('Criaturas - Base de Dados'!H63*'Sistema de Raridade e Evolução'!E2)*1000,2)</f>
        <v>#VALUE!</v>
      </c>
      <c r="G368" s="8" t="e">
        <f>ROUND('Criaturas - Base de Dados'!I63*'Sistema de Raridade e Evolução'!E2,0)</f>
        <v>#VALUE!</v>
      </c>
      <c r="H368" s="8" t="e">
        <f>ROUND('Criaturas - Base de Dados'!J63*'Sistema de Raridade e Evolução'!E2,0)</f>
        <v>#VALUE!</v>
      </c>
      <c r="I368" s="8" t="e">
        <f>ROUND('Criaturas - Base de Dados'!K63*'Sistema de Raridade e Evolução'!E2,0)</f>
        <v>#VALUE!</v>
      </c>
      <c r="J368" s="8">
        <f>'Sistema de Raridade e Evolução'!D2</f>
        <v>1</v>
      </c>
      <c r="K368" s="8" t="s">
        <v>8</v>
      </c>
      <c r="L368" s="9" t="e">
        <f t="shared" si="5"/>
        <v>#VALUE!</v>
      </c>
    </row>
    <row r="369" spans="1:12" ht="14.25" hidden="1" customHeight="1" x14ac:dyDescent="0.3">
      <c r="A369" s="8">
        <v>368</v>
      </c>
      <c r="B369" s="8" t="str">
        <f>'Criaturas - Base de Dados'!B63</f>
        <v>Abismo Glacial</v>
      </c>
      <c r="C369" s="8" t="str">
        <f>'Criaturas - Base de Dados'!C63</f>
        <v>Gelo</v>
      </c>
      <c r="D369" s="8" t="str">
        <f>'Criaturas - Base de Dados'!D63</f>
        <v>Troll da Geada</v>
      </c>
      <c r="E369" s="8" t="str">
        <f>'Sistema de Raridade e Evolução'!B3</f>
        <v>Bronze</v>
      </c>
      <c r="F369" s="9">
        <f>ROUND(('Criaturas - Base de Dados'!H63*'Sistema de Raridade e Evolução'!E3)*1000,2)</f>
        <v>12000</v>
      </c>
      <c r="G369" s="8">
        <f>ROUND('Criaturas - Base de Dados'!I63*'Sistema de Raridade e Evolução'!E3,0)</f>
        <v>7</v>
      </c>
      <c r="H369" s="8">
        <f>ROUND('Criaturas - Base de Dados'!J63*'Sistema de Raridade e Evolução'!E3,0)</f>
        <v>6</v>
      </c>
      <c r="I369" s="8">
        <f>ROUND('Criaturas - Base de Dados'!K63*'Sistema de Raridade e Evolução'!E3,0)</f>
        <v>38</v>
      </c>
      <c r="J369" s="8">
        <f>'Sistema de Raridade e Evolução'!D3</f>
        <v>6</v>
      </c>
      <c r="K369" s="8" t="s">
        <v>9</v>
      </c>
      <c r="L369" s="9">
        <f t="shared" si="5"/>
        <v>28571.43</v>
      </c>
    </row>
    <row r="370" spans="1:12" ht="14.25" hidden="1" customHeight="1" x14ac:dyDescent="0.3">
      <c r="A370" s="8">
        <v>369</v>
      </c>
      <c r="B370" s="8" t="str">
        <f>'Criaturas - Base de Dados'!B63</f>
        <v>Abismo Glacial</v>
      </c>
      <c r="C370" s="8" t="str">
        <f>'Criaturas - Base de Dados'!C63</f>
        <v>Gelo</v>
      </c>
      <c r="D370" s="8" t="str">
        <f>'Criaturas - Base de Dados'!D63</f>
        <v>Troll da Geada</v>
      </c>
      <c r="E370" s="8" t="str">
        <f>'Sistema de Raridade e Evolução'!B4</f>
        <v>Prata</v>
      </c>
      <c r="F370" s="9">
        <f>ROUND(('Criaturas - Base de Dados'!H63*'Sistema de Raridade e Evolução'!E4)*1000,2)</f>
        <v>72000</v>
      </c>
      <c r="G370" s="8">
        <f>ROUND('Criaturas - Base de Dados'!I63*'Sistema de Raridade e Evolução'!E4,0)</f>
        <v>42</v>
      </c>
      <c r="H370" s="8">
        <f>ROUND('Criaturas - Base de Dados'!J63*'Sistema de Raridade e Evolução'!E4,0)</f>
        <v>36</v>
      </c>
      <c r="I370" s="8">
        <f>ROUND('Criaturas - Base de Dados'!K63*'Sistema de Raridade e Evolução'!E4,0)</f>
        <v>228</v>
      </c>
      <c r="J370" s="8">
        <f>'Sistema de Raridade e Evolução'!D4</f>
        <v>16</v>
      </c>
      <c r="K370" s="8" t="s">
        <v>10</v>
      </c>
      <c r="L370" s="9">
        <f t="shared" si="5"/>
        <v>171428.57</v>
      </c>
    </row>
    <row r="371" spans="1:12" ht="14.25" hidden="1" customHeight="1" x14ac:dyDescent="0.3">
      <c r="A371" s="8">
        <v>370</v>
      </c>
      <c r="B371" s="8" t="str">
        <f>'Criaturas - Base de Dados'!B63</f>
        <v>Abismo Glacial</v>
      </c>
      <c r="C371" s="8" t="str">
        <f>'Criaturas - Base de Dados'!C63</f>
        <v>Gelo</v>
      </c>
      <c r="D371" s="8" t="str">
        <f>'Criaturas - Base de Dados'!D63</f>
        <v>Troll da Geada</v>
      </c>
      <c r="E371" s="8" t="str">
        <f>'Sistema de Raridade e Evolução'!B5</f>
        <v>Ouro</v>
      </c>
      <c r="F371" s="9">
        <f>ROUND(('Criaturas - Base de Dados'!H63*'Sistema de Raridade e Evolução'!E5)*1000,2)</f>
        <v>216000</v>
      </c>
      <c r="G371" s="8">
        <f>ROUND('Criaturas - Base de Dados'!I63*'Sistema de Raridade e Evolução'!E5,0)</f>
        <v>126</v>
      </c>
      <c r="H371" s="8">
        <f>ROUND('Criaturas - Base de Dados'!J63*'Sistema de Raridade e Evolução'!E5,0)</f>
        <v>108</v>
      </c>
      <c r="I371" s="8">
        <f>ROUND('Criaturas - Base de Dados'!K63*'Sistema de Raridade e Evolução'!E5,0)</f>
        <v>684</v>
      </c>
      <c r="J371" s="8">
        <f>'Sistema de Raridade e Evolução'!D5</f>
        <v>31</v>
      </c>
      <c r="K371" s="8" t="s">
        <v>11</v>
      </c>
      <c r="L371" s="9">
        <f t="shared" si="5"/>
        <v>514285.71</v>
      </c>
    </row>
    <row r="372" spans="1:12" ht="14.25" hidden="1" customHeight="1" x14ac:dyDescent="0.3">
      <c r="A372" s="8">
        <v>371</v>
      </c>
      <c r="B372" s="8" t="str">
        <f>'Criaturas - Base de Dados'!B63</f>
        <v>Abismo Glacial</v>
      </c>
      <c r="C372" s="8" t="str">
        <f>'Criaturas - Base de Dados'!C63</f>
        <v>Gelo</v>
      </c>
      <c r="D372" s="8" t="str">
        <f>'Criaturas - Base de Dados'!D63</f>
        <v>Troll da Geada</v>
      </c>
      <c r="E372" s="8" t="str">
        <f>'Sistema de Raridade e Evolução'!B6</f>
        <v>Platina</v>
      </c>
      <c r="F372" s="9">
        <f>ROUND(('Criaturas - Base de Dados'!H63*'Sistema de Raridade e Evolução'!E6)*1000,2)</f>
        <v>600000</v>
      </c>
      <c r="G372" s="8">
        <f>ROUND('Criaturas - Base de Dados'!I63*'Sistema de Raridade e Evolução'!E6,0)</f>
        <v>350</v>
      </c>
      <c r="H372" s="8">
        <f>ROUND('Criaturas - Base de Dados'!J63*'Sistema de Raridade e Evolução'!E6,0)</f>
        <v>300</v>
      </c>
      <c r="I372" s="8">
        <f>ROUND('Criaturas - Base de Dados'!K63*'Sistema de Raridade e Evolução'!E6,0)</f>
        <v>1900</v>
      </c>
      <c r="J372" s="8">
        <f>'Sistema de Raridade e Evolução'!D6</f>
        <v>56</v>
      </c>
      <c r="K372" s="8" t="s">
        <v>12</v>
      </c>
      <c r="L372" s="9">
        <f t="shared" si="5"/>
        <v>1428571.43</v>
      </c>
    </row>
    <row r="373" spans="1:12" ht="14.25" hidden="1" customHeight="1" x14ac:dyDescent="0.3">
      <c r="A373" s="8">
        <v>372</v>
      </c>
      <c r="B373" s="8" t="str">
        <f>'Criaturas - Base de Dados'!B63</f>
        <v>Abismo Glacial</v>
      </c>
      <c r="C373" s="8" t="str">
        <f>'Criaturas - Base de Dados'!C63</f>
        <v>Gelo</v>
      </c>
      <c r="D373" s="8" t="str">
        <f>'Criaturas - Base de Dados'!D63</f>
        <v>Troll da Geada</v>
      </c>
      <c r="E373" s="8" t="str">
        <f>'Sistema de Raridade e Evolução'!B7</f>
        <v>Lendário</v>
      </c>
      <c r="F373" s="9">
        <f>ROUND(('Criaturas - Base de Dados'!H63*'Sistema de Raridade e Evolução'!E7)*1000,2)</f>
        <v>1800000</v>
      </c>
      <c r="G373" s="8">
        <f>ROUND('Criaturas - Base de Dados'!I63*'Sistema de Raridade e Evolução'!E7,0)</f>
        <v>1050</v>
      </c>
      <c r="H373" s="8">
        <f>ROUND('Criaturas - Base de Dados'!J63*'Sistema de Raridade e Evolução'!E7,0)</f>
        <v>900</v>
      </c>
      <c r="I373" s="8">
        <f>ROUND('Criaturas - Base de Dados'!K63*'Sistema de Raridade e Evolução'!E7,0)</f>
        <v>5700</v>
      </c>
      <c r="J373" s="8">
        <f>'Sistema de Raridade e Evolução'!D7</f>
        <v>91</v>
      </c>
      <c r="K373" s="8" t="s">
        <v>925</v>
      </c>
      <c r="L373" s="9">
        <f t="shared" si="5"/>
        <v>4285714.29</v>
      </c>
    </row>
    <row r="374" spans="1:12" ht="14.25" customHeight="1" x14ac:dyDescent="0.3">
      <c r="A374" s="8">
        <v>373</v>
      </c>
      <c r="B374" s="8" t="str">
        <f>'Criaturas - Base de Dados'!B64</f>
        <v>Abismo Glacial</v>
      </c>
      <c r="C374" s="8" t="str">
        <f>'Criaturas - Base de Dados'!C64</f>
        <v>Gelo</v>
      </c>
      <c r="D374" s="8" t="str">
        <f>'Criaturas - Base de Dados'!D64</f>
        <v>Espectro de Gelo</v>
      </c>
      <c r="E374" s="8" t="str">
        <f>'Sistema de Raridade e Evolução'!B2</f>
        <v>Default</v>
      </c>
      <c r="F374" s="9" t="e">
        <f>ROUND(('Criaturas - Base de Dados'!H64*'Sistema de Raridade e Evolução'!E2)*1000,2)</f>
        <v>#VALUE!</v>
      </c>
      <c r="G374" s="8" t="e">
        <f>ROUND('Criaturas - Base de Dados'!I64*'Sistema de Raridade e Evolução'!E2,0)</f>
        <v>#VALUE!</v>
      </c>
      <c r="H374" s="8" t="e">
        <f>ROUND('Criaturas - Base de Dados'!J64*'Sistema de Raridade e Evolução'!E2,0)</f>
        <v>#VALUE!</v>
      </c>
      <c r="I374" s="8" t="e">
        <f>ROUND('Criaturas - Base de Dados'!K64*'Sistema de Raridade e Evolução'!E2,0)</f>
        <v>#VALUE!</v>
      </c>
      <c r="J374" s="8">
        <f>'Sistema de Raridade e Evolução'!D2</f>
        <v>1</v>
      </c>
      <c r="K374" s="8" t="s">
        <v>8</v>
      </c>
      <c r="L374" s="9" t="e">
        <f t="shared" si="5"/>
        <v>#VALUE!</v>
      </c>
    </row>
    <row r="375" spans="1:12" ht="14.25" hidden="1" customHeight="1" x14ac:dyDescent="0.3">
      <c r="A375" s="8">
        <v>374</v>
      </c>
      <c r="B375" s="8" t="str">
        <f>'Criaturas - Base de Dados'!B64</f>
        <v>Abismo Glacial</v>
      </c>
      <c r="C375" s="8" t="str">
        <f>'Criaturas - Base de Dados'!C64</f>
        <v>Gelo</v>
      </c>
      <c r="D375" s="8" t="str">
        <f>'Criaturas - Base de Dados'!D64</f>
        <v>Espectro de Gelo</v>
      </c>
      <c r="E375" s="8" t="str">
        <f>'Sistema de Raridade e Evolução'!B3</f>
        <v>Bronze</v>
      </c>
      <c r="F375" s="9">
        <f>ROUND(('Criaturas - Base de Dados'!H64*'Sistema de Raridade e Evolução'!E3)*1000,2)</f>
        <v>14000</v>
      </c>
      <c r="G375" s="8">
        <f>ROUND('Criaturas - Base de Dados'!I64*'Sistema de Raridade e Evolução'!E3,0)</f>
        <v>8</v>
      </c>
      <c r="H375" s="8">
        <f>ROUND('Criaturas - Base de Dados'!J64*'Sistema de Raridade e Evolução'!E3,0)</f>
        <v>7</v>
      </c>
      <c r="I375" s="8">
        <f>ROUND('Criaturas - Base de Dados'!K64*'Sistema de Raridade e Evolução'!E3,0)</f>
        <v>45</v>
      </c>
      <c r="J375" s="8">
        <f>'Sistema de Raridade e Evolução'!D3</f>
        <v>6</v>
      </c>
      <c r="K375" s="8" t="s">
        <v>9</v>
      </c>
      <c r="L375" s="9">
        <f t="shared" si="5"/>
        <v>33333.33</v>
      </c>
    </row>
    <row r="376" spans="1:12" ht="14.25" hidden="1" customHeight="1" x14ac:dyDescent="0.3">
      <c r="A376" s="8">
        <v>375</v>
      </c>
      <c r="B376" s="8" t="str">
        <f>'Criaturas - Base de Dados'!B64</f>
        <v>Abismo Glacial</v>
      </c>
      <c r="C376" s="8" t="str">
        <f>'Criaturas - Base de Dados'!C64</f>
        <v>Gelo</v>
      </c>
      <c r="D376" s="8" t="str">
        <f>'Criaturas - Base de Dados'!D64</f>
        <v>Espectro de Gelo</v>
      </c>
      <c r="E376" s="8" t="str">
        <f>'Sistema de Raridade e Evolução'!B4</f>
        <v>Prata</v>
      </c>
      <c r="F376" s="9">
        <f>ROUND(('Criaturas - Base de Dados'!H64*'Sistema de Raridade e Evolução'!E4)*1000,2)</f>
        <v>84000</v>
      </c>
      <c r="G376" s="8">
        <f>ROUND('Criaturas - Base de Dados'!I64*'Sistema de Raridade e Evolução'!E4,0)</f>
        <v>48</v>
      </c>
      <c r="H376" s="8">
        <f>ROUND('Criaturas - Base de Dados'!J64*'Sistema de Raridade e Evolução'!E4,0)</f>
        <v>42</v>
      </c>
      <c r="I376" s="8">
        <f>ROUND('Criaturas - Base de Dados'!K64*'Sistema de Raridade e Evolução'!E4,0)</f>
        <v>270</v>
      </c>
      <c r="J376" s="8">
        <f>'Sistema de Raridade e Evolução'!D4</f>
        <v>16</v>
      </c>
      <c r="K376" s="8" t="s">
        <v>10</v>
      </c>
      <c r="L376" s="9">
        <f t="shared" si="5"/>
        <v>200000</v>
      </c>
    </row>
    <row r="377" spans="1:12" ht="14.25" hidden="1" customHeight="1" x14ac:dyDescent="0.3">
      <c r="A377" s="8">
        <v>376</v>
      </c>
      <c r="B377" s="8" t="str">
        <f>'Criaturas - Base de Dados'!B64</f>
        <v>Abismo Glacial</v>
      </c>
      <c r="C377" s="8" t="str">
        <f>'Criaturas - Base de Dados'!C64</f>
        <v>Gelo</v>
      </c>
      <c r="D377" s="8" t="str">
        <f>'Criaturas - Base de Dados'!D64</f>
        <v>Espectro de Gelo</v>
      </c>
      <c r="E377" s="8" t="str">
        <f>'Sistema de Raridade e Evolução'!B5</f>
        <v>Ouro</v>
      </c>
      <c r="F377" s="9">
        <f>ROUND(('Criaturas - Base de Dados'!H64*'Sistema de Raridade e Evolução'!E5)*1000,2)</f>
        <v>252000</v>
      </c>
      <c r="G377" s="8">
        <f>ROUND('Criaturas - Base de Dados'!I64*'Sistema de Raridade e Evolução'!E5,0)</f>
        <v>144</v>
      </c>
      <c r="H377" s="8">
        <f>ROUND('Criaturas - Base de Dados'!J64*'Sistema de Raridade e Evolução'!E5,0)</f>
        <v>126</v>
      </c>
      <c r="I377" s="8">
        <f>ROUND('Criaturas - Base de Dados'!K64*'Sistema de Raridade e Evolução'!E5,0)</f>
        <v>810</v>
      </c>
      <c r="J377" s="8">
        <f>'Sistema de Raridade e Evolução'!D5</f>
        <v>31</v>
      </c>
      <c r="K377" s="8" t="s">
        <v>11</v>
      </c>
      <c r="L377" s="9">
        <f t="shared" si="5"/>
        <v>600000</v>
      </c>
    </row>
    <row r="378" spans="1:12" ht="14.25" hidden="1" customHeight="1" x14ac:dyDescent="0.3">
      <c r="A378" s="8">
        <v>377</v>
      </c>
      <c r="B378" s="8" t="str">
        <f>'Criaturas - Base de Dados'!B64</f>
        <v>Abismo Glacial</v>
      </c>
      <c r="C378" s="8" t="str">
        <f>'Criaturas - Base de Dados'!C64</f>
        <v>Gelo</v>
      </c>
      <c r="D378" s="8" t="str">
        <f>'Criaturas - Base de Dados'!D64</f>
        <v>Espectro de Gelo</v>
      </c>
      <c r="E378" s="8" t="str">
        <f>'Sistema de Raridade e Evolução'!B6</f>
        <v>Platina</v>
      </c>
      <c r="F378" s="9">
        <f>ROUND(('Criaturas - Base de Dados'!H64*'Sistema de Raridade e Evolução'!E6)*1000,2)</f>
        <v>700000</v>
      </c>
      <c r="G378" s="8">
        <f>ROUND('Criaturas - Base de Dados'!I64*'Sistema de Raridade e Evolução'!E6,0)</f>
        <v>400</v>
      </c>
      <c r="H378" s="8">
        <f>ROUND('Criaturas - Base de Dados'!J64*'Sistema de Raridade e Evolução'!E6,0)</f>
        <v>350</v>
      </c>
      <c r="I378" s="8">
        <f>ROUND('Criaturas - Base de Dados'!K64*'Sistema de Raridade e Evolução'!E6,0)</f>
        <v>2250</v>
      </c>
      <c r="J378" s="8">
        <f>'Sistema de Raridade e Evolução'!D6</f>
        <v>56</v>
      </c>
      <c r="K378" s="8" t="s">
        <v>12</v>
      </c>
      <c r="L378" s="9">
        <f t="shared" si="5"/>
        <v>1666666.67</v>
      </c>
    </row>
    <row r="379" spans="1:12" ht="14.25" hidden="1" customHeight="1" x14ac:dyDescent="0.3">
      <c r="A379" s="8">
        <v>378</v>
      </c>
      <c r="B379" s="8" t="str">
        <f>'Criaturas - Base de Dados'!B64</f>
        <v>Abismo Glacial</v>
      </c>
      <c r="C379" s="8" t="str">
        <f>'Criaturas - Base de Dados'!C64</f>
        <v>Gelo</v>
      </c>
      <c r="D379" s="8" t="str">
        <f>'Criaturas - Base de Dados'!D64</f>
        <v>Espectro de Gelo</v>
      </c>
      <c r="E379" s="8" t="str">
        <f>'Sistema de Raridade e Evolução'!B7</f>
        <v>Lendário</v>
      </c>
      <c r="F379" s="9">
        <f>ROUND(('Criaturas - Base de Dados'!H64*'Sistema de Raridade e Evolução'!E7)*1000,2)</f>
        <v>2100000</v>
      </c>
      <c r="G379" s="8">
        <f>ROUND('Criaturas - Base de Dados'!I64*'Sistema de Raridade e Evolução'!E7,0)</f>
        <v>1200</v>
      </c>
      <c r="H379" s="8">
        <f>ROUND('Criaturas - Base de Dados'!J64*'Sistema de Raridade e Evolução'!E7,0)</f>
        <v>1050</v>
      </c>
      <c r="I379" s="8">
        <f>ROUND('Criaturas - Base de Dados'!K64*'Sistema de Raridade e Evolução'!E7,0)</f>
        <v>6750</v>
      </c>
      <c r="J379" s="8">
        <f>'Sistema de Raridade e Evolução'!D7</f>
        <v>91</v>
      </c>
      <c r="K379" s="8" t="s">
        <v>925</v>
      </c>
      <c r="L379" s="9">
        <f t="shared" si="5"/>
        <v>5000000</v>
      </c>
    </row>
    <row r="380" spans="1:12" ht="14.25" customHeight="1" x14ac:dyDescent="0.3">
      <c r="A380" s="8">
        <v>379</v>
      </c>
      <c r="B380" s="8" t="str">
        <f>'Criaturas - Base de Dados'!B65</f>
        <v>Abismo Glacial</v>
      </c>
      <c r="C380" s="8" t="str">
        <f>'Criaturas - Base de Dados'!C65</f>
        <v>Gelo</v>
      </c>
      <c r="D380" s="8" t="str">
        <f>'Criaturas - Base de Dados'!D65</f>
        <v>Skoll, Perseguidor do Sol</v>
      </c>
      <c r="E380" s="8" t="str">
        <f>'Sistema de Raridade e Evolução'!B2</f>
        <v>Default</v>
      </c>
      <c r="F380" s="9" t="e">
        <f>ROUND(('Criaturas - Base de Dados'!H65*'Sistema de Raridade e Evolução'!E2)*1000,2)</f>
        <v>#VALUE!</v>
      </c>
      <c r="G380" s="8" t="e">
        <f>ROUND('Criaturas - Base de Dados'!I65*'Sistema de Raridade e Evolução'!E2,0)</f>
        <v>#VALUE!</v>
      </c>
      <c r="H380" s="8" t="e">
        <f>ROUND('Criaturas - Base de Dados'!J65*'Sistema de Raridade e Evolução'!E2,0)</f>
        <v>#VALUE!</v>
      </c>
      <c r="I380" s="8" t="e">
        <f>ROUND('Criaturas - Base de Dados'!K65*'Sistema de Raridade e Evolução'!E2,0)</f>
        <v>#VALUE!</v>
      </c>
      <c r="J380" s="8">
        <f>'Sistema de Raridade e Evolução'!D2</f>
        <v>1</v>
      </c>
      <c r="K380" s="8" t="s">
        <v>8</v>
      </c>
      <c r="L380" s="9" t="e">
        <f t="shared" si="5"/>
        <v>#VALUE!</v>
      </c>
    </row>
    <row r="381" spans="1:12" ht="14.25" hidden="1" customHeight="1" x14ac:dyDescent="0.3">
      <c r="A381" s="8">
        <v>380</v>
      </c>
      <c r="B381" s="8" t="str">
        <f>'Criaturas - Base de Dados'!B65</f>
        <v>Abismo Glacial</v>
      </c>
      <c r="C381" s="8" t="str">
        <f>'Criaturas - Base de Dados'!C65</f>
        <v>Gelo</v>
      </c>
      <c r="D381" s="8" t="str">
        <f>'Criaturas - Base de Dados'!D65</f>
        <v>Skoll, Perseguidor do Sol</v>
      </c>
      <c r="E381" s="8" t="str">
        <f>'Sistema de Raridade e Evolução'!B3</f>
        <v>Bronze</v>
      </c>
      <c r="F381" s="9">
        <f>ROUND(('Criaturas - Base de Dados'!H65*'Sistema de Raridade e Evolução'!E3)*1000,2)</f>
        <v>16000</v>
      </c>
      <c r="G381" s="8">
        <f>ROUND('Criaturas - Base de Dados'!I65*'Sistema de Raridade e Evolução'!E3,0)</f>
        <v>10</v>
      </c>
      <c r="H381" s="8">
        <f>ROUND('Criaturas - Base de Dados'!J65*'Sistema de Raridade e Evolução'!E3,0)</f>
        <v>8</v>
      </c>
      <c r="I381" s="8">
        <f>ROUND('Criaturas - Base de Dados'!K65*'Sistema de Raridade e Evolução'!E3,0)</f>
        <v>51</v>
      </c>
      <c r="J381" s="8">
        <f>'Sistema de Raridade e Evolução'!D3</f>
        <v>6</v>
      </c>
      <c r="K381" s="8" t="s">
        <v>9</v>
      </c>
      <c r="L381" s="9">
        <f t="shared" si="5"/>
        <v>38095.24</v>
      </c>
    </row>
    <row r="382" spans="1:12" ht="14.25" hidden="1" customHeight="1" x14ac:dyDescent="0.3">
      <c r="A382" s="8">
        <v>381</v>
      </c>
      <c r="B382" s="8" t="str">
        <f>'Criaturas - Base de Dados'!B65</f>
        <v>Abismo Glacial</v>
      </c>
      <c r="C382" s="8" t="str">
        <f>'Criaturas - Base de Dados'!C65</f>
        <v>Gelo</v>
      </c>
      <c r="D382" s="8" t="str">
        <f>'Criaturas - Base de Dados'!D65</f>
        <v>Skoll, Perseguidor do Sol</v>
      </c>
      <c r="E382" s="8" t="str">
        <f>'Sistema de Raridade e Evolução'!B4</f>
        <v>Prata</v>
      </c>
      <c r="F382" s="9">
        <f>ROUND(('Criaturas - Base de Dados'!H65*'Sistema de Raridade e Evolução'!E4)*1000,2)</f>
        <v>96000</v>
      </c>
      <c r="G382" s="8">
        <f>ROUND('Criaturas - Base de Dados'!I65*'Sistema de Raridade e Evolução'!E4,0)</f>
        <v>60</v>
      </c>
      <c r="H382" s="8">
        <f>ROUND('Criaturas - Base de Dados'!J65*'Sistema de Raridade e Evolução'!E4,0)</f>
        <v>48</v>
      </c>
      <c r="I382" s="8">
        <f>ROUND('Criaturas - Base de Dados'!K65*'Sistema de Raridade e Evolução'!E4,0)</f>
        <v>306</v>
      </c>
      <c r="J382" s="8">
        <f>'Sistema de Raridade e Evolução'!D4</f>
        <v>16</v>
      </c>
      <c r="K382" s="8" t="s">
        <v>10</v>
      </c>
      <c r="L382" s="9">
        <f t="shared" si="5"/>
        <v>228571.43</v>
      </c>
    </row>
    <row r="383" spans="1:12" ht="14.25" hidden="1" customHeight="1" x14ac:dyDescent="0.3">
      <c r="A383" s="8">
        <v>382</v>
      </c>
      <c r="B383" s="8" t="str">
        <f>'Criaturas - Base de Dados'!B65</f>
        <v>Abismo Glacial</v>
      </c>
      <c r="C383" s="8" t="str">
        <f>'Criaturas - Base de Dados'!C65</f>
        <v>Gelo</v>
      </c>
      <c r="D383" s="8" t="str">
        <f>'Criaturas - Base de Dados'!D65</f>
        <v>Skoll, Perseguidor do Sol</v>
      </c>
      <c r="E383" s="8" t="str">
        <f>'Sistema de Raridade e Evolução'!B5</f>
        <v>Ouro</v>
      </c>
      <c r="F383" s="9">
        <f>ROUND(('Criaturas - Base de Dados'!H65*'Sistema de Raridade e Evolução'!E5)*1000,2)</f>
        <v>288000</v>
      </c>
      <c r="G383" s="8">
        <f>ROUND('Criaturas - Base de Dados'!I65*'Sistema de Raridade e Evolução'!E5,0)</f>
        <v>180</v>
      </c>
      <c r="H383" s="8">
        <f>ROUND('Criaturas - Base de Dados'!J65*'Sistema de Raridade e Evolução'!E5,0)</f>
        <v>144</v>
      </c>
      <c r="I383" s="8">
        <f>ROUND('Criaturas - Base de Dados'!K65*'Sistema de Raridade e Evolução'!E5,0)</f>
        <v>918</v>
      </c>
      <c r="J383" s="8">
        <f>'Sistema de Raridade e Evolução'!D5</f>
        <v>31</v>
      </c>
      <c r="K383" s="8" t="s">
        <v>11</v>
      </c>
      <c r="L383" s="9">
        <f t="shared" si="5"/>
        <v>685714.29</v>
      </c>
    </row>
    <row r="384" spans="1:12" ht="14.25" hidden="1" customHeight="1" x14ac:dyDescent="0.3">
      <c r="A384" s="8">
        <v>383</v>
      </c>
      <c r="B384" s="8" t="str">
        <f>'Criaturas - Base de Dados'!B65</f>
        <v>Abismo Glacial</v>
      </c>
      <c r="C384" s="8" t="str">
        <f>'Criaturas - Base de Dados'!C65</f>
        <v>Gelo</v>
      </c>
      <c r="D384" s="8" t="str">
        <f>'Criaturas - Base de Dados'!D65</f>
        <v>Skoll, Perseguidor do Sol</v>
      </c>
      <c r="E384" s="8" t="str">
        <f>'Sistema de Raridade e Evolução'!B6</f>
        <v>Platina</v>
      </c>
      <c r="F384" s="9">
        <f>ROUND(('Criaturas - Base de Dados'!H65*'Sistema de Raridade e Evolução'!E6)*1000,2)</f>
        <v>800000</v>
      </c>
      <c r="G384" s="8">
        <f>ROUND('Criaturas - Base de Dados'!I65*'Sistema de Raridade e Evolução'!E6,0)</f>
        <v>500</v>
      </c>
      <c r="H384" s="8">
        <f>ROUND('Criaturas - Base de Dados'!J65*'Sistema de Raridade e Evolução'!E6,0)</f>
        <v>400</v>
      </c>
      <c r="I384" s="8">
        <f>ROUND('Criaturas - Base de Dados'!K65*'Sistema de Raridade e Evolução'!E6,0)</f>
        <v>2550</v>
      </c>
      <c r="J384" s="8">
        <f>'Sistema de Raridade e Evolução'!D6</f>
        <v>56</v>
      </c>
      <c r="K384" s="8" t="s">
        <v>12</v>
      </c>
      <c r="L384" s="9">
        <f t="shared" si="5"/>
        <v>1904761.9</v>
      </c>
    </row>
    <row r="385" spans="1:12" ht="14.25" hidden="1" customHeight="1" x14ac:dyDescent="0.3">
      <c r="A385" s="8">
        <v>384</v>
      </c>
      <c r="B385" s="8" t="str">
        <f>'Criaturas - Base de Dados'!B65</f>
        <v>Abismo Glacial</v>
      </c>
      <c r="C385" s="8" t="str">
        <f>'Criaturas - Base de Dados'!C65</f>
        <v>Gelo</v>
      </c>
      <c r="D385" s="8" t="str">
        <f>'Criaturas - Base de Dados'!D65</f>
        <v>Skoll, Perseguidor do Sol</v>
      </c>
      <c r="E385" s="8" t="str">
        <f>'Sistema de Raridade e Evolução'!B7</f>
        <v>Lendário</v>
      </c>
      <c r="F385" s="9">
        <f>ROUND(('Criaturas - Base de Dados'!H65*'Sistema de Raridade e Evolução'!E7)*1000,2)</f>
        <v>2400000</v>
      </c>
      <c r="G385" s="8">
        <f>ROUND('Criaturas - Base de Dados'!I65*'Sistema de Raridade e Evolução'!E7,0)</f>
        <v>1500</v>
      </c>
      <c r="H385" s="8">
        <f>ROUND('Criaturas - Base de Dados'!J65*'Sistema de Raridade e Evolução'!E7,0)</f>
        <v>1200</v>
      </c>
      <c r="I385" s="8">
        <f>ROUND('Criaturas - Base de Dados'!K65*'Sistema de Raridade e Evolução'!E7,0)</f>
        <v>7650</v>
      </c>
      <c r="J385" s="8">
        <f>'Sistema de Raridade e Evolução'!D7</f>
        <v>91</v>
      </c>
      <c r="K385" s="8" t="s">
        <v>925</v>
      </c>
      <c r="L385" s="9">
        <f t="shared" si="5"/>
        <v>5714285.71</v>
      </c>
    </row>
    <row r="386" spans="1:12" ht="14.25" customHeight="1" x14ac:dyDescent="0.3">
      <c r="A386" s="8">
        <v>385</v>
      </c>
      <c r="B386" s="8" t="str">
        <f>'Criaturas - Base de Dados'!B66</f>
        <v>Abismo Glacial</v>
      </c>
      <c r="C386" s="8" t="str">
        <f>'Criaturas - Base de Dados'!C66</f>
        <v>Gelo</v>
      </c>
      <c r="D386" s="8" t="str">
        <f>'Criaturas - Base de Dados'!D66</f>
        <v>Bergelmir Ancestral</v>
      </c>
      <c r="E386" s="8" t="str">
        <f>'Sistema de Raridade e Evolução'!B2</f>
        <v>Default</v>
      </c>
      <c r="F386" s="9" t="e">
        <f>ROUND(('Criaturas - Base de Dados'!H66*'Sistema de Raridade e Evolução'!E2)*1000,2)</f>
        <v>#VALUE!</v>
      </c>
      <c r="G386" s="8" t="e">
        <f>ROUND('Criaturas - Base de Dados'!I66*'Sistema de Raridade e Evolução'!E2,0)</f>
        <v>#VALUE!</v>
      </c>
      <c r="H386" s="8" t="e">
        <f>ROUND('Criaturas - Base de Dados'!J66*'Sistema de Raridade e Evolução'!E2,0)</f>
        <v>#VALUE!</v>
      </c>
      <c r="I386" s="8" t="e">
        <f>ROUND('Criaturas - Base de Dados'!K66*'Sistema de Raridade e Evolução'!E2,0)</f>
        <v>#VALUE!</v>
      </c>
      <c r="J386" s="8">
        <f>'Sistema de Raridade e Evolução'!D2</f>
        <v>1</v>
      </c>
      <c r="K386" s="8" t="s">
        <v>8</v>
      </c>
      <c r="L386" s="9" t="e">
        <f t="shared" ref="L386:L449" si="6">ROUND(F386*(2.5/1.05),2)</f>
        <v>#VALUE!</v>
      </c>
    </row>
    <row r="387" spans="1:12" ht="14.25" hidden="1" customHeight="1" x14ac:dyDescent="0.3">
      <c r="A387" s="8">
        <v>386</v>
      </c>
      <c r="B387" s="8" t="str">
        <f>'Criaturas - Base de Dados'!B66</f>
        <v>Abismo Glacial</v>
      </c>
      <c r="C387" s="8" t="str">
        <f>'Criaturas - Base de Dados'!C66</f>
        <v>Gelo</v>
      </c>
      <c r="D387" s="8" t="str">
        <f>'Criaturas - Base de Dados'!D66</f>
        <v>Bergelmir Ancestral</v>
      </c>
      <c r="E387" s="8" t="str">
        <f>'Sistema de Raridade e Evolução'!B3</f>
        <v>Bronze</v>
      </c>
      <c r="F387" s="9">
        <f>ROUND(('Criaturas - Base de Dados'!H66*'Sistema de Raridade e Evolução'!E3)*1000,2)</f>
        <v>16000</v>
      </c>
      <c r="G387" s="8">
        <f>ROUND('Criaturas - Base de Dados'!I66*'Sistema de Raridade e Evolução'!E3,0)</f>
        <v>10</v>
      </c>
      <c r="H387" s="8">
        <f>ROUND('Criaturas - Base de Dados'!J66*'Sistema de Raridade e Evolução'!E3,0)</f>
        <v>8</v>
      </c>
      <c r="I387" s="8">
        <f>ROUND('Criaturas - Base de Dados'!K66*'Sistema de Raridade e Evolução'!E3,0)</f>
        <v>51</v>
      </c>
      <c r="J387" s="8">
        <f>'Sistema de Raridade e Evolução'!D3</f>
        <v>6</v>
      </c>
      <c r="K387" s="8" t="s">
        <v>9</v>
      </c>
      <c r="L387" s="9">
        <f t="shared" si="6"/>
        <v>38095.24</v>
      </c>
    </row>
    <row r="388" spans="1:12" ht="14.25" hidden="1" customHeight="1" x14ac:dyDescent="0.3">
      <c r="A388" s="8">
        <v>387</v>
      </c>
      <c r="B388" s="8" t="str">
        <f>'Criaturas - Base de Dados'!B66</f>
        <v>Abismo Glacial</v>
      </c>
      <c r="C388" s="8" t="str">
        <f>'Criaturas - Base de Dados'!C66</f>
        <v>Gelo</v>
      </c>
      <c r="D388" s="8" t="str">
        <f>'Criaturas - Base de Dados'!D66</f>
        <v>Bergelmir Ancestral</v>
      </c>
      <c r="E388" s="8" t="str">
        <f>'Sistema de Raridade e Evolução'!B4</f>
        <v>Prata</v>
      </c>
      <c r="F388" s="9">
        <f>ROUND(('Criaturas - Base de Dados'!H66*'Sistema de Raridade e Evolução'!E4)*1000,2)</f>
        <v>96000</v>
      </c>
      <c r="G388" s="8">
        <f>ROUND('Criaturas - Base de Dados'!I66*'Sistema de Raridade e Evolução'!E4,0)</f>
        <v>60</v>
      </c>
      <c r="H388" s="8">
        <f>ROUND('Criaturas - Base de Dados'!J66*'Sistema de Raridade e Evolução'!E4,0)</f>
        <v>48</v>
      </c>
      <c r="I388" s="8">
        <f>ROUND('Criaturas - Base de Dados'!K66*'Sistema de Raridade e Evolução'!E4,0)</f>
        <v>306</v>
      </c>
      <c r="J388" s="8">
        <f>'Sistema de Raridade e Evolução'!D4</f>
        <v>16</v>
      </c>
      <c r="K388" s="8" t="s">
        <v>10</v>
      </c>
      <c r="L388" s="9">
        <f t="shared" si="6"/>
        <v>228571.43</v>
      </c>
    </row>
    <row r="389" spans="1:12" ht="14.25" hidden="1" customHeight="1" x14ac:dyDescent="0.3">
      <c r="A389" s="8">
        <v>388</v>
      </c>
      <c r="B389" s="8" t="str">
        <f>'Criaturas - Base de Dados'!B66</f>
        <v>Abismo Glacial</v>
      </c>
      <c r="C389" s="8" t="str">
        <f>'Criaturas - Base de Dados'!C66</f>
        <v>Gelo</v>
      </c>
      <c r="D389" s="8" t="str">
        <f>'Criaturas - Base de Dados'!D66</f>
        <v>Bergelmir Ancestral</v>
      </c>
      <c r="E389" s="8" t="str">
        <f>'Sistema de Raridade e Evolução'!B5</f>
        <v>Ouro</v>
      </c>
      <c r="F389" s="9">
        <f>ROUND(('Criaturas - Base de Dados'!H66*'Sistema de Raridade e Evolução'!E5)*1000,2)</f>
        <v>288000</v>
      </c>
      <c r="G389" s="8">
        <f>ROUND('Criaturas - Base de Dados'!I66*'Sistema de Raridade e Evolução'!E5,0)</f>
        <v>180</v>
      </c>
      <c r="H389" s="8">
        <f>ROUND('Criaturas - Base de Dados'!J66*'Sistema de Raridade e Evolução'!E5,0)</f>
        <v>144</v>
      </c>
      <c r="I389" s="8">
        <f>ROUND('Criaturas - Base de Dados'!K66*'Sistema de Raridade e Evolução'!E5,0)</f>
        <v>918</v>
      </c>
      <c r="J389" s="8">
        <f>'Sistema de Raridade e Evolução'!D5</f>
        <v>31</v>
      </c>
      <c r="K389" s="8" t="s">
        <v>11</v>
      </c>
      <c r="L389" s="9">
        <f t="shared" si="6"/>
        <v>685714.29</v>
      </c>
    </row>
    <row r="390" spans="1:12" ht="14.25" hidden="1" customHeight="1" x14ac:dyDescent="0.3">
      <c r="A390" s="8">
        <v>389</v>
      </c>
      <c r="B390" s="8" t="str">
        <f>'Criaturas - Base de Dados'!B66</f>
        <v>Abismo Glacial</v>
      </c>
      <c r="C390" s="8" t="str">
        <f>'Criaturas - Base de Dados'!C66</f>
        <v>Gelo</v>
      </c>
      <c r="D390" s="8" t="str">
        <f>'Criaturas - Base de Dados'!D66</f>
        <v>Bergelmir Ancestral</v>
      </c>
      <c r="E390" s="8" t="str">
        <f>'Sistema de Raridade e Evolução'!B6</f>
        <v>Platina</v>
      </c>
      <c r="F390" s="9">
        <f>ROUND(('Criaturas - Base de Dados'!H66*'Sistema de Raridade e Evolução'!E6)*1000,2)</f>
        <v>800000</v>
      </c>
      <c r="G390" s="8">
        <f>ROUND('Criaturas - Base de Dados'!I66*'Sistema de Raridade e Evolução'!E6,0)</f>
        <v>500</v>
      </c>
      <c r="H390" s="8">
        <f>ROUND('Criaturas - Base de Dados'!J66*'Sistema de Raridade e Evolução'!E6,0)</f>
        <v>400</v>
      </c>
      <c r="I390" s="8">
        <f>ROUND('Criaturas - Base de Dados'!K66*'Sistema de Raridade e Evolução'!E6,0)</f>
        <v>2550</v>
      </c>
      <c r="J390" s="8">
        <f>'Sistema de Raridade e Evolução'!D6</f>
        <v>56</v>
      </c>
      <c r="K390" s="8" t="s">
        <v>12</v>
      </c>
      <c r="L390" s="9">
        <f t="shared" si="6"/>
        <v>1904761.9</v>
      </c>
    </row>
    <row r="391" spans="1:12" ht="14.25" hidden="1" customHeight="1" x14ac:dyDescent="0.3">
      <c r="A391" s="8">
        <v>390</v>
      </c>
      <c r="B391" s="8" t="str">
        <f>'Criaturas - Base de Dados'!B66</f>
        <v>Abismo Glacial</v>
      </c>
      <c r="C391" s="8" t="str">
        <f>'Criaturas - Base de Dados'!C66</f>
        <v>Gelo</v>
      </c>
      <c r="D391" s="8" t="str">
        <f>'Criaturas - Base de Dados'!D66</f>
        <v>Bergelmir Ancestral</v>
      </c>
      <c r="E391" s="8" t="str">
        <f>'Sistema de Raridade e Evolução'!B7</f>
        <v>Lendário</v>
      </c>
      <c r="F391" s="9">
        <f>ROUND(('Criaturas - Base de Dados'!H66*'Sistema de Raridade e Evolução'!E7)*1000,2)</f>
        <v>2400000</v>
      </c>
      <c r="G391" s="8">
        <f>ROUND('Criaturas - Base de Dados'!I66*'Sistema de Raridade e Evolução'!E7,0)</f>
        <v>1500</v>
      </c>
      <c r="H391" s="8">
        <f>ROUND('Criaturas - Base de Dados'!J66*'Sistema de Raridade e Evolução'!E7,0)</f>
        <v>1200</v>
      </c>
      <c r="I391" s="8">
        <f>ROUND('Criaturas - Base de Dados'!K66*'Sistema de Raridade e Evolução'!E7,0)</f>
        <v>7650</v>
      </c>
      <c r="J391" s="8">
        <f>'Sistema de Raridade e Evolução'!D7</f>
        <v>91</v>
      </c>
      <c r="K391" s="8" t="s">
        <v>925</v>
      </c>
      <c r="L391" s="9">
        <f t="shared" si="6"/>
        <v>5714285.71</v>
      </c>
    </row>
    <row r="392" spans="1:12" ht="14.25" customHeight="1" x14ac:dyDescent="0.3">
      <c r="A392" s="8">
        <v>391</v>
      </c>
      <c r="B392" s="8" t="str">
        <f>'Criaturas - Base de Dados'!B67</f>
        <v>Abismo Glacial</v>
      </c>
      <c r="C392" s="8" t="str">
        <f>'Criaturas - Base de Dados'!C67</f>
        <v>Gelo</v>
      </c>
      <c r="D392" s="8" t="str">
        <f>'Criaturas - Base de Dados'!D67</f>
        <v>Jotun das Nevascas</v>
      </c>
      <c r="E392" s="8" t="str">
        <f>'Sistema de Raridade e Evolução'!B2</f>
        <v>Default</v>
      </c>
      <c r="F392" s="9" t="e">
        <f>ROUND(('Criaturas - Base de Dados'!H67*'Sistema de Raridade e Evolução'!E2)*1000,2)</f>
        <v>#VALUE!</v>
      </c>
      <c r="G392" s="8" t="e">
        <f>ROUND('Criaturas - Base de Dados'!I67*'Sistema de Raridade e Evolução'!E2,0)</f>
        <v>#VALUE!</v>
      </c>
      <c r="H392" s="8" t="e">
        <f>ROUND('Criaturas - Base de Dados'!J67*'Sistema de Raridade e Evolução'!E2,0)</f>
        <v>#VALUE!</v>
      </c>
      <c r="I392" s="8" t="e">
        <f>ROUND('Criaturas - Base de Dados'!K67*'Sistema de Raridade e Evolução'!E2,0)</f>
        <v>#VALUE!</v>
      </c>
      <c r="J392" s="8">
        <f>'Sistema de Raridade e Evolução'!D2</f>
        <v>1</v>
      </c>
      <c r="K392" s="8" t="s">
        <v>8</v>
      </c>
      <c r="L392" s="9" t="e">
        <f t="shared" si="6"/>
        <v>#VALUE!</v>
      </c>
    </row>
    <row r="393" spans="1:12" ht="14.25" hidden="1" customHeight="1" x14ac:dyDescent="0.3">
      <c r="A393" s="8">
        <v>392</v>
      </c>
      <c r="B393" s="8" t="str">
        <f>'Criaturas - Base de Dados'!B67</f>
        <v>Abismo Glacial</v>
      </c>
      <c r="C393" s="8" t="str">
        <f>'Criaturas - Base de Dados'!C67</f>
        <v>Gelo</v>
      </c>
      <c r="D393" s="8" t="str">
        <f>'Criaturas - Base de Dados'!D67</f>
        <v>Jotun das Nevascas</v>
      </c>
      <c r="E393" s="8" t="str">
        <f>'Sistema de Raridade e Evolução'!B3</f>
        <v>Bronze</v>
      </c>
      <c r="F393" s="9">
        <f>ROUND(('Criaturas - Base de Dados'!H67*'Sistema de Raridade e Evolução'!E3)*1000,2)</f>
        <v>18000</v>
      </c>
      <c r="G393" s="8">
        <f>ROUND('Criaturas - Base de Dados'!I67*'Sistema de Raridade e Evolução'!E3,0)</f>
        <v>11</v>
      </c>
      <c r="H393" s="8">
        <f>ROUND('Criaturas - Base de Dados'!J67*'Sistema de Raridade e Evolução'!E3,0)</f>
        <v>9</v>
      </c>
      <c r="I393" s="8">
        <f>ROUND('Criaturas - Base de Dados'!K67*'Sistema de Raridade e Evolução'!E3,0)</f>
        <v>58</v>
      </c>
      <c r="J393" s="8">
        <f>'Sistema de Raridade e Evolução'!D3</f>
        <v>6</v>
      </c>
      <c r="K393" s="8" t="s">
        <v>9</v>
      </c>
      <c r="L393" s="9">
        <f t="shared" si="6"/>
        <v>42857.14</v>
      </c>
    </row>
    <row r="394" spans="1:12" ht="14.25" hidden="1" customHeight="1" x14ac:dyDescent="0.3">
      <c r="A394" s="8">
        <v>393</v>
      </c>
      <c r="B394" s="8" t="str">
        <f>'Criaturas - Base de Dados'!B67</f>
        <v>Abismo Glacial</v>
      </c>
      <c r="C394" s="8" t="str">
        <f>'Criaturas - Base de Dados'!C67</f>
        <v>Gelo</v>
      </c>
      <c r="D394" s="8" t="str">
        <f>'Criaturas - Base de Dados'!D67</f>
        <v>Jotun das Nevascas</v>
      </c>
      <c r="E394" s="8" t="str">
        <f>'Sistema de Raridade e Evolução'!B4</f>
        <v>Prata</v>
      </c>
      <c r="F394" s="9">
        <f>ROUND(('Criaturas - Base de Dados'!H67*'Sistema de Raridade e Evolução'!E4)*1000,2)</f>
        <v>108000</v>
      </c>
      <c r="G394" s="8">
        <f>ROUND('Criaturas - Base de Dados'!I67*'Sistema de Raridade e Evolução'!E4,0)</f>
        <v>66</v>
      </c>
      <c r="H394" s="8">
        <f>ROUND('Criaturas - Base de Dados'!J67*'Sistema de Raridade e Evolução'!E4,0)</f>
        <v>54</v>
      </c>
      <c r="I394" s="8">
        <f>ROUND('Criaturas - Base de Dados'!K67*'Sistema de Raridade e Evolução'!E4,0)</f>
        <v>348</v>
      </c>
      <c r="J394" s="8">
        <f>'Sistema de Raridade e Evolução'!D4</f>
        <v>16</v>
      </c>
      <c r="K394" s="8" t="s">
        <v>10</v>
      </c>
      <c r="L394" s="9">
        <f t="shared" si="6"/>
        <v>257142.86</v>
      </c>
    </row>
    <row r="395" spans="1:12" ht="14.25" hidden="1" customHeight="1" x14ac:dyDescent="0.3">
      <c r="A395" s="8">
        <v>394</v>
      </c>
      <c r="B395" s="8" t="str">
        <f>'Criaturas - Base de Dados'!B67</f>
        <v>Abismo Glacial</v>
      </c>
      <c r="C395" s="8" t="str">
        <f>'Criaturas - Base de Dados'!C67</f>
        <v>Gelo</v>
      </c>
      <c r="D395" s="8" t="str">
        <f>'Criaturas - Base de Dados'!D67</f>
        <v>Jotun das Nevascas</v>
      </c>
      <c r="E395" s="8" t="str">
        <f>'Sistema de Raridade e Evolução'!B5</f>
        <v>Ouro</v>
      </c>
      <c r="F395" s="9">
        <f>ROUND(('Criaturas - Base de Dados'!H67*'Sistema de Raridade e Evolução'!E5)*1000,2)</f>
        <v>324000</v>
      </c>
      <c r="G395" s="8">
        <f>ROUND('Criaturas - Base de Dados'!I67*'Sistema de Raridade e Evolução'!E5,0)</f>
        <v>198</v>
      </c>
      <c r="H395" s="8">
        <f>ROUND('Criaturas - Base de Dados'!J67*'Sistema de Raridade e Evolução'!E5,0)</f>
        <v>162</v>
      </c>
      <c r="I395" s="8">
        <f>ROUND('Criaturas - Base de Dados'!K67*'Sistema de Raridade e Evolução'!E5,0)</f>
        <v>1044</v>
      </c>
      <c r="J395" s="8">
        <f>'Sistema de Raridade e Evolução'!D5</f>
        <v>31</v>
      </c>
      <c r="K395" s="8" t="s">
        <v>11</v>
      </c>
      <c r="L395" s="9">
        <f t="shared" si="6"/>
        <v>771428.57</v>
      </c>
    </row>
    <row r="396" spans="1:12" ht="14.25" hidden="1" customHeight="1" x14ac:dyDescent="0.3">
      <c r="A396" s="8">
        <v>395</v>
      </c>
      <c r="B396" s="8" t="str">
        <f>'Criaturas - Base de Dados'!B67</f>
        <v>Abismo Glacial</v>
      </c>
      <c r="C396" s="8" t="str">
        <f>'Criaturas - Base de Dados'!C67</f>
        <v>Gelo</v>
      </c>
      <c r="D396" s="8" t="str">
        <f>'Criaturas - Base de Dados'!D67</f>
        <v>Jotun das Nevascas</v>
      </c>
      <c r="E396" s="8" t="str">
        <f>'Sistema de Raridade e Evolução'!B6</f>
        <v>Platina</v>
      </c>
      <c r="F396" s="9">
        <f>ROUND(('Criaturas - Base de Dados'!H67*'Sistema de Raridade e Evolução'!E6)*1000,2)</f>
        <v>900000</v>
      </c>
      <c r="G396" s="8">
        <f>ROUND('Criaturas - Base de Dados'!I67*'Sistema de Raridade e Evolução'!E6,0)</f>
        <v>550</v>
      </c>
      <c r="H396" s="8">
        <f>ROUND('Criaturas - Base de Dados'!J67*'Sistema de Raridade e Evolução'!E6,0)</f>
        <v>450</v>
      </c>
      <c r="I396" s="8">
        <f>ROUND('Criaturas - Base de Dados'!K67*'Sistema de Raridade e Evolução'!E6,0)</f>
        <v>2900</v>
      </c>
      <c r="J396" s="8">
        <f>'Sistema de Raridade e Evolução'!D6</f>
        <v>56</v>
      </c>
      <c r="K396" s="8" t="s">
        <v>12</v>
      </c>
      <c r="L396" s="9">
        <f t="shared" si="6"/>
        <v>2142857.14</v>
      </c>
    </row>
    <row r="397" spans="1:12" ht="14.25" hidden="1" customHeight="1" x14ac:dyDescent="0.3">
      <c r="A397" s="8">
        <v>396</v>
      </c>
      <c r="B397" s="8" t="str">
        <f>'Criaturas - Base de Dados'!B67</f>
        <v>Abismo Glacial</v>
      </c>
      <c r="C397" s="8" t="str">
        <f>'Criaturas - Base de Dados'!C67</f>
        <v>Gelo</v>
      </c>
      <c r="D397" s="8" t="str">
        <f>'Criaturas - Base de Dados'!D67</f>
        <v>Jotun das Nevascas</v>
      </c>
      <c r="E397" s="8" t="str">
        <f>'Sistema de Raridade e Evolução'!B7</f>
        <v>Lendário</v>
      </c>
      <c r="F397" s="9">
        <f>ROUND(('Criaturas - Base de Dados'!H67*'Sistema de Raridade e Evolução'!E7)*1000,2)</f>
        <v>2700000</v>
      </c>
      <c r="G397" s="8">
        <f>ROUND('Criaturas - Base de Dados'!I67*'Sistema de Raridade e Evolução'!E7,0)</f>
        <v>1650</v>
      </c>
      <c r="H397" s="8">
        <f>ROUND('Criaturas - Base de Dados'!J67*'Sistema de Raridade e Evolução'!E7,0)</f>
        <v>1350</v>
      </c>
      <c r="I397" s="8">
        <f>ROUND('Criaturas - Base de Dados'!K67*'Sistema de Raridade e Evolução'!E7,0)</f>
        <v>8700</v>
      </c>
      <c r="J397" s="8">
        <f>'Sistema de Raridade e Evolução'!D7</f>
        <v>91</v>
      </c>
      <c r="K397" s="8" t="s">
        <v>925</v>
      </c>
      <c r="L397" s="9">
        <f t="shared" si="6"/>
        <v>6428571.4299999997</v>
      </c>
    </row>
    <row r="398" spans="1:12" ht="14.25" customHeight="1" x14ac:dyDescent="0.3">
      <c r="A398" s="8">
        <v>397</v>
      </c>
      <c r="B398" s="8" t="str">
        <f>'Criaturas - Base de Dados'!B68</f>
        <v>Abismo Glacial</v>
      </c>
      <c r="C398" s="8" t="str">
        <f>'Criaturas - Base de Dados'!C68</f>
        <v>Gelo</v>
      </c>
      <c r="D398" s="8" t="str">
        <f>'Criaturas - Base de Dados'!D68</f>
        <v>Ninfa da Geada</v>
      </c>
      <c r="E398" s="8" t="str">
        <f>'Sistema de Raridade e Evolução'!B2</f>
        <v>Default</v>
      </c>
      <c r="F398" s="9" t="e">
        <f>ROUND(('Criaturas - Base de Dados'!H68*'Sistema de Raridade e Evolução'!E2)*1000,2)</f>
        <v>#VALUE!</v>
      </c>
      <c r="G398" s="8" t="e">
        <f>ROUND('Criaturas - Base de Dados'!I68*'Sistema de Raridade e Evolução'!E2,0)</f>
        <v>#VALUE!</v>
      </c>
      <c r="H398" s="8" t="e">
        <f>ROUND('Criaturas - Base de Dados'!J68*'Sistema de Raridade e Evolução'!E2,0)</f>
        <v>#VALUE!</v>
      </c>
      <c r="I398" s="8" t="e">
        <f>ROUND('Criaturas - Base de Dados'!K68*'Sistema de Raridade e Evolução'!E2,0)</f>
        <v>#VALUE!</v>
      </c>
      <c r="J398" s="8">
        <f>'Sistema de Raridade e Evolução'!D2</f>
        <v>1</v>
      </c>
      <c r="K398" s="8" t="s">
        <v>8</v>
      </c>
      <c r="L398" s="9" t="e">
        <f t="shared" si="6"/>
        <v>#VALUE!</v>
      </c>
    </row>
    <row r="399" spans="1:12" ht="14.25" hidden="1" customHeight="1" x14ac:dyDescent="0.3">
      <c r="A399" s="8">
        <v>398</v>
      </c>
      <c r="B399" s="8" t="str">
        <f>'Criaturas - Base de Dados'!B68</f>
        <v>Abismo Glacial</v>
      </c>
      <c r="C399" s="8" t="str">
        <f>'Criaturas - Base de Dados'!C68</f>
        <v>Gelo</v>
      </c>
      <c r="D399" s="8" t="str">
        <f>'Criaturas - Base de Dados'!D68</f>
        <v>Ninfa da Geada</v>
      </c>
      <c r="E399" s="8" t="str">
        <f>'Sistema de Raridade e Evolução'!B3</f>
        <v>Bronze</v>
      </c>
      <c r="F399" s="9">
        <f>ROUND(('Criaturas - Base de Dados'!H68*'Sistema de Raridade e Evolução'!E3)*1000,2)</f>
        <v>20000</v>
      </c>
      <c r="G399" s="8">
        <f>ROUND('Criaturas - Base de Dados'!I68*'Sistema de Raridade e Evolução'!E3,0)</f>
        <v>12</v>
      </c>
      <c r="H399" s="8">
        <f>ROUND('Criaturas - Base de Dados'!J68*'Sistema de Raridade e Evolução'!E3,0)</f>
        <v>10</v>
      </c>
      <c r="I399" s="8">
        <f>ROUND('Criaturas - Base de Dados'!K68*'Sistema de Raridade e Evolução'!E3,0)</f>
        <v>64</v>
      </c>
      <c r="J399" s="8">
        <f>'Sistema de Raridade e Evolução'!D3</f>
        <v>6</v>
      </c>
      <c r="K399" s="8" t="s">
        <v>9</v>
      </c>
      <c r="L399" s="9">
        <f t="shared" si="6"/>
        <v>47619.05</v>
      </c>
    </row>
    <row r="400" spans="1:12" ht="14.25" hidden="1" customHeight="1" x14ac:dyDescent="0.3">
      <c r="A400" s="8">
        <v>399</v>
      </c>
      <c r="B400" s="8" t="str">
        <f>'Criaturas - Base de Dados'!B68</f>
        <v>Abismo Glacial</v>
      </c>
      <c r="C400" s="8" t="str">
        <f>'Criaturas - Base de Dados'!C68</f>
        <v>Gelo</v>
      </c>
      <c r="D400" s="8" t="str">
        <f>'Criaturas - Base de Dados'!D68</f>
        <v>Ninfa da Geada</v>
      </c>
      <c r="E400" s="8" t="str">
        <f>'Sistema de Raridade e Evolução'!B4</f>
        <v>Prata</v>
      </c>
      <c r="F400" s="9">
        <f>ROUND(('Criaturas - Base de Dados'!H68*'Sistema de Raridade e Evolução'!E4)*1000,2)</f>
        <v>120000</v>
      </c>
      <c r="G400" s="8">
        <f>ROUND('Criaturas - Base de Dados'!I68*'Sistema de Raridade e Evolução'!E4,0)</f>
        <v>72</v>
      </c>
      <c r="H400" s="8">
        <f>ROUND('Criaturas - Base de Dados'!J68*'Sistema de Raridade e Evolução'!E4,0)</f>
        <v>60</v>
      </c>
      <c r="I400" s="8">
        <f>ROUND('Criaturas - Base de Dados'!K68*'Sistema de Raridade e Evolução'!E4,0)</f>
        <v>384</v>
      </c>
      <c r="J400" s="8">
        <f>'Sistema de Raridade e Evolução'!D4</f>
        <v>16</v>
      </c>
      <c r="K400" s="8" t="s">
        <v>10</v>
      </c>
      <c r="L400" s="9">
        <f t="shared" si="6"/>
        <v>285714.28999999998</v>
      </c>
    </row>
    <row r="401" spans="1:12" ht="14.25" hidden="1" customHeight="1" x14ac:dyDescent="0.3">
      <c r="A401" s="8">
        <v>400</v>
      </c>
      <c r="B401" s="8" t="str">
        <f>'Criaturas - Base de Dados'!B68</f>
        <v>Abismo Glacial</v>
      </c>
      <c r="C401" s="8" t="str">
        <f>'Criaturas - Base de Dados'!C68</f>
        <v>Gelo</v>
      </c>
      <c r="D401" s="8" t="str">
        <f>'Criaturas - Base de Dados'!D68</f>
        <v>Ninfa da Geada</v>
      </c>
      <c r="E401" s="8" t="str">
        <f>'Sistema de Raridade e Evolução'!B5</f>
        <v>Ouro</v>
      </c>
      <c r="F401" s="9">
        <f>ROUND(('Criaturas - Base de Dados'!H68*'Sistema de Raridade e Evolução'!E5)*1000,2)</f>
        <v>360000</v>
      </c>
      <c r="G401" s="8">
        <f>ROUND('Criaturas - Base de Dados'!I68*'Sistema de Raridade e Evolução'!E5,0)</f>
        <v>216</v>
      </c>
      <c r="H401" s="8">
        <f>ROUND('Criaturas - Base de Dados'!J68*'Sistema de Raridade e Evolução'!E5,0)</f>
        <v>180</v>
      </c>
      <c r="I401" s="8">
        <f>ROUND('Criaturas - Base de Dados'!K68*'Sistema de Raridade e Evolução'!E5,0)</f>
        <v>1152</v>
      </c>
      <c r="J401" s="8">
        <f>'Sistema de Raridade e Evolução'!D5</f>
        <v>31</v>
      </c>
      <c r="K401" s="8" t="s">
        <v>11</v>
      </c>
      <c r="L401" s="9">
        <f t="shared" si="6"/>
        <v>857142.86</v>
      </c>
    </row>
    <row r="402" spans="1:12" ht="14.25" hidden="1" customHeight="1" x14ac:dyDescent="0.3">
      <c r="A402" s="8">
        <v>401</v>
      </c>
      <c r="B402" s="8" t="str">
        <f>'Criaturas - Base de Dados'!B68</f>
        <v>Abismo Glacial</v>
      </c>
      <c r="C402" s="8" t="str">
        <f>'Criaturas - Base de Dados'!C68</f>
        <v>Gelo</v>
      </c>
      <c r="D402" s="8" t="str">
        <f>'Criaturas - Base de Dados'!D68</f>
        <v>Ninfa da Geada</v>
      </c>
      <c r="E402" s="8" t="str">
        <f>'Sistema de Raridade e Evolução'!B6</f>
        <v>Platina</v>
      </c>
      <c r="F402" s="9">
        <f>ROUND(('Criaturas - Base de Dados'!H68*'Sistema de Raridade e Evolução'!E6)*1000,2)</f>
        <v>1000000</v>
      </c>
      <c r="G402" s="8">
        <f>ROUND('Criaturas - Base de Dados'!I68*'Sistema de Raridade e Evolução'!E6,0)</f>
        <v>600</v>
      </c>
      <c r="H402" s="8">
        <f>ROUND('Criaturas - Base de Dados'!J68*'Sistema de Raridade e Evolução'!E6,0)</f>
        <v>500</v>
      </c>
      <c r="I402" s="8">
        <f>ROUND('Criaturas - Base de Dados'!K68*'Sistema de Raridade e Evolução'!E6,0)</f>
        <v>3200</v>
      </c>
      <c r="J402" s="8">
        <f>'Sistema de Raridade e Evolução'!D6</f>
        <v>56</v>
      </c>
      <c r="K402" s="8" t="s">
        <v>12</v>
      </c>
      <c r="L402" s="9">
        <f t="shared" si="6"/>
        <v>2380952.38</v>
      </c>
    </row>
    <row r="403" spans="1:12" ht="14.25" hidden="1" customHeight="1" x14ac:dyDescent="0.3">
      <c r="A403" s="8">
        <v>402</v>
      </c>
      <c r="B403" s="8" t="str">
        <f>'Criaturas - Base de Dados'!B68</f>
        <v>Abismo Glacial</v>
      </c>
      <c r="C403" s="8" t="str">
        <f>'Criaturas - Base de Dados'!C68</f>
        <v>Gelo</v>
      </c>
      <c r="D403" s="8" t="str">
        <f>'Criaturas - Base de Dados'!D68</f>
        <v>Ninfa da Geada</v>
      </c>
      <c r="E403" s="8" t="str">
        <f>'Sistema de Raridade e Evolução'!B7</f>
        <v>Lendário</v>
      </c>
      <c r="F403" s="9">
        <f>ROUND(('Criaturas - Base de Dados'!H68*'Sistema de Raridade e Evolução'!E7)*1000,2)</f>
        <v>3000000</v>
      </c>
      <c r="G403" s="8">
        <f>ROUND('Criaturas - Base de Dados'!I68*'Sistema de Raridade e Evolução'!E7,0)</f>
        <v>1800</v>
      </c>
      <c r="H403" s="8">
        <f>ROUND('Criaturas - Base de Dados'!J68*'Sistema de Raridade e Evolução'!E7,0)</f>
        <v>1500</v>
      </c>
      <c r="I403" s="8">
        <f>ROUND('Criaturas - Base de Dados'!K68*'Sistema de Raridade e Evolução'!E7,0)</f>
        <v>9600</v>
      </c>
      <c r="J403" s="8">
        <f>'Sistema de Raridade e Evolução'!D7</f>
        <v>91</v>
      </c>
      <c r="K403" s="8" t="s">
        <v>925</v>
      </c>
      <c r="L403" s="9">
        <f t="shared" si="6"/>
        <v>7142857.1399999997</v>
      </c>
    </row>
    <row r="404" spans="1:12" ht="14.25" customHeight="1" x14ac:dyDescent="0.3">
      <c r="A404" s="8">
        <v>403</v>
      </c>
      <c r="B404" s="8" t="str">
        <f>'Criaturas - Base de Dados'!B69</f>
        <v>Abismo Glacial</v>
      </c>
      <c r="C404" s="8" t="str">
        <f>'Criaturas - Base de Dados'!C69</f>
        <v>Gelo</v>
      </c>
      <c r="D404" s="8" t="str">
        <f>'Criaturas - Base de Dados'!D69</f>
        <v>Yeti Guardião da Neve</v>
      </c>
      <c r="E404" s="8" t="str">
        <f>'Sistema de Raridade e Evolução'!B2</f>
        <v>Default</v>
      </c>
      <c r="F404" s="9" t="e">
        <f>ROUND(('Criaturas - Base de Dados'!H69*'Sistema de Raridade e Evolução'!E2)*1000,2)</f>
        <v>#VALUE!</v>
      </c>
      <c r="G404" s="8" t="e">
        <f>ROUND('Criaturas - Base de Dados'!I69*'Sistema de Raridade e Evolução'!E2,0)</f>
        <v>#VALUE!</v>
      </c>
      <c r="H404" s="8" t="e">
        <f>ROUND('Criaturas - Base de Dados'!J69*'Sistema de Raridade e Evolução'!E2,0)</f>
        <v>#VALUE!</v>
      </c>
      <c r="I404" s="8" t="e">
        <f>ROUND('Criaturas - Base de Dados'!K69*'Sistema de Raridade e Evolução'!E2,0)</f>
        <v>#VALUE!</v>
      </c>
      <c r="J404" s="8">
        <f>'Sistema de Raridade e Evolução'!D2</f>
        <v>1</v>
      </c>
      <c r="K404" s="8" t="s">
        <v>8</v>
      </c>
      <c r="L404" s="9" t="e">
        <f t="shared" si="6"/>
        <v>#VALUE!</v>
      </c>
    </row>
    <row r="405" spans="1:12" ht="14.25" hidden="1" customHeight="1" x14ac:dyDescent="0.3">
      <c r="A405" s="8">
        <v>404</v>
      </c>
      <c r="B405" s="8" t="str">
        <f>'Criaturas - Base de Dados'!B69</f>
        <v>Abismo Glacial</v>
      </c>
      <c r="C405" s="8" t="str">
        <f>'Criaturas - Base de Dados'!C69</f>
        <v>Gelo</v>
      </c>
      <c r="D405" s="8" t="str">
        <f>'Criaturas - Base de Dados'!D69</f>
        <v>Yeti Guardião da Neve</v>
      </c>
      <c r="E405" s="8" t="str">
        <f>'Sistema de Raridade e Evolução'!B3</f>
        <v>Bronze</v>
      </c>
      <c r="F405" s="9">
        <f>ROUND(('Criaturas - Base de Dados'!H69*'Sistema de Raridade e Evolução'!E3)*1000,2)</f>
        <v>22000</v>
      </c>
      <c r="G405" s="8">
        <f>ROUND('Criaturas - Base de Dados'!I69*'Sistema de Raridade e Evolução'!E3,0)</f>
        <v>13</v>
      </c>
      <c r="H405" s="8">
        <f>ROUND('Criaturas - Base de Dados'!J69*'Sistema de Raridade e Evolução'!E3,0)</f>
        <v>11</v>
      </c>
      <c r="I405" s="8">
        <f>ROUND('Criaturas - Base de Dados'!K69*'Sistema de Raridade e Evolução'!E3,0)</f>
        <v>70</v>
      </c>
      <c r="J405" s="8">
        <f>'Sistema de Raridade e Evolução'!D3</f>
        <v>6</v>
      </c>
      <c r="K405" s="8" t="s">
        <v>9</v>
      </c>
      <c r="L405" s="9">
        <f t="shared" si="6"/>
        <v>52380.95</v>
      </c>
    </row>
    <row r="406" spans="1:12" ht="14.25" hidden="1" customHeight="1" x14ac:dyDescent="0.3">
      <c r="A406" s="8">
        <v>405</v>
      </c>
      <c r="B406" s="8" t="str">
        <f>'Criaturas - Base de Dados'!B69</f>
        <v>Abismo Glacial</v>
      </c>
      <c r="C406" s="8" t="str">
        <f>'Criaturas - Base de Dados'!C69</f>
        <v>Gelo</v>
      </c>
      <c r="D406" s="8" t="str">
        <f>'Criaturas - Base de Dados'!D69</f>
        <v>Yeti Guardião da Neve</v>
      </c>
      <c r="E406" s="8" t="str">
        <f>'Sistema de Raridade e Evolução'!B4</f>
        <v>Prata</v>
      </c>
      <c r="F406" s="9">
        <f>ROUND(('Criaturas - Base de Dados'!H69*'Sistema de Raridade e Evolução'!E4)*1000,2)</f>
        <v>132000</v>
      </c>
      <c r="G406" s="8">
        <f>ROUND('Criaturas - Base de Dados'!I69*'Sistema de Raridade e Evolução'!E4,0)</f>
        <v>78</v>
      </c>
      <c r="H406" s="8">
        <f>ROUND('Criaturas - Base de Dados'!J69*'Sistema de Raridade e Evolução'!E4,0)</f>
        <v>66</v>
      </c>
      <c r="I406" s="8">
        <f>ROUND('Criaturas - Base de Dados'!K69*'Sistema de Raridade e Evolução'!E4,0)</f>
        <v>420</v>
      </c>
      <c r="J406" s="8">
        <f>'Sistema de Raridade e Evolução'!D4</f>
        <v>16</v>
      </c>
      <c r="K406" s="8" t="s">
        <v>10</v>
      </c>
      <c r="L406" s="9">
        <f t="shared" si="6"/>
        <v>314285.71000000002</v>
      </c>
    </row>
    <row r="407" spans="1:12" ht="14.25" hidden="1" customHeight="1" x14ac:dyDescent="0.3">
      <c r="A407" s="8">
        <v>406</v>
      </c>
      <c r="B407" s="8" t="str">
        <f>'Criaturas - Base de Dados'!B69</f>
        <v>Abismo Glacial</v>
      </c>
      <c r="C407" s="8" t="str">
        <f>'Criaturas - Base de Dados'!C69</f>
        <v>Gelo</v>
      </c>
      <c r="D407" s="8" t="str">
        <f>'Criaturas - Base de Dados'!D69</f>
        <v>Yeti Guardião da Neve</v>
      </c>
      <c r="E407" s="8" t="str">
        <f>'Sistema de Raridade e Evolução'!B5</f>
        <v>Ouro</v>
      </c>
      <c r="F407" s="9">
        <f>ROUND(('Criaturas - Base de Dados'!H69*'Sistema de Raridade e Evolução'!E5)*1000,2)</f>
        <v>396000</v>
      </c>
      <c r="G407" s="8">
        <f>ROUND('Criaturas - Base de Dados'!I69*'Sistema de Raridade e Evolução'!E5,0)</f>
        <v>234</v>
      </c>
      <c r="H407" s="8">
        <f>ROUND('Criaturas - Base de Dados'!J69*'Sistema de Raridade e Evolução'!E5,0)</f>
        <v>198</v>
      </c>
      <c r="I407" s="8">
        <f>ROUND('Criaturas - Base de Dados'!K69*'Sistema de Raridade e Evolução'!E5,0)</f>
        <v>1260</v>
      </c>
      <c r="J407" s="8">
        <f>'Sistema de Raridade e Evolução'!D5</f>
        <v>31</v>
      </c>
      <c r="K407" s="8" t="s">
        <v>11</v>
      </c>
      <c r="L407" s="9">
        <f t="shared" si="6"/>
        <v>942857.14</v>
      </c>
    </row>
    <row r="408" spans="1:12" ht="14.25" hidden="1" customHeight="1" x14ac:dyDescent="0.3">
      <c r="A408" s="8">
        <v>407</v>
      </c>
      <c r="B408" s="8" t="str">
        <f>'Criaturas - Base de Dados'!B69</f>
        <v>Abismo Glacial</v>
      </c>
      <c r="C408" s="8" t="str">
        <f>'Criaturas - Base de Dados'!C69</f>
        <v>Gelo</v>
      </c>
      <c r="D408" s="8" t="str">
        <f>'Criaturas - Base de Dados'!D69</f>
        <v>Yeti Guardião da Neve</v>
      </c>
      <c r="E408" s="8" t="str">
        <f>'Sistema de Raridade e Evolução'!B6</f>
        <v>Platina</v>
      </c>
      <c r="F408" s="9">
        <f>ROUND(('Criaturas - Base de Dados'!H69*'Sistema de Raridade e Evolução'!E6)*1000,2)</f>
        <v>1100000</v>
      </c>
      <c r="G408" s="8">
        <f>ROUND('Criaturas - Base de Dados'!I69*'Sistema de Raridade e Evolução'!E6,0)</f>
        <v>650</v>
      </c>
      <c r="H408" s="8">
        <f>ROUND('Criaturas - Base de Dados'!J69*'Sistema de Raridade e Evolução'!E6,0)</f>
        <v>550</v>
      </c>
      <c r="I408" s="8">
        <f>ROUND('Criaturas - Base de Dados'!K69*'Sistema de Raridade e Evolução'!E6,0)</f>
        <v>3500</v>
      </c>
      <c r="J408" s="8">
        <f>'Sistema de Raridade e Evolução'!D6</f>
        <v>56</v>
      </c>
      <c r="K408" s="8" t="s">
        <v>12</v>
      </c>
      <c r="L408" s="9">
        <f t="shared" si="6"/>
        <v>2619047.62</v>
      </c>
    </row>
    <row r="409" spans="1:12" ht="14.25" hidden="1" customHeight="1" x14ac:dyDescent="0.3">
      <c r="A409" s="8">
        <v>408</v>
      </c>
      <c r="B409" s="8" t="str">
        <f>'Criaturas - Base de Dados'!B69</f>
        <v>Abismo Glacial</v>
      </c>
      <c r="C409" s="8" t="str">
        <f>'Criaturas - Base de Dados'!C69</f>
        <v>Gelo</v>
      </c>
      <c r="D409" s="8" t="str">
        <f>'Criaturas - Base de Dados'!D69</f>
        <v>Yeti Guardião da Neve</v>
      </c>
      <c r="E409" s="8" t="str">
        <f>'Sistema de Raridade e Evolução'!B7</f>
        <v>Lendário</v>
      </c>
      <c r="F409" s="9">
        <f>ROUND(('Criaturas - Base de Dados'!H69*'Sistema de Raridade e Evolução'!E7)*1000,2)</f>
        <v>3300000</v>
      </c>
      <c r="G409" s="8">
        <f>ROUND('Criaturas - Base de Dados'!I69*'Sistema de Raridade e Evolução'!E7,0)</f>
        <v>1950</v>
      </c>
      <c r="H409" s="8">
        <f>ROUND('Criaturas - Base de Dados'!J69*'Sistema de Raridade e Evolução'!E7,0)</f>
        <v>1650</v>
      </c>
      <c r="I409" s="8">
        <f>ROUND('Criaturas - Base de Dados'!K69*'Sistema de Raridade e Evolução'!E7,0)</f>
        <v>10500</v>
      </c>
      <c r="J409" s="8">
        <f>'Sistema de Raridade e Evolução'!D7</f>
        <v>91</v>
      </c>
      <c r="K409" s="8" t="s">
        <v>925</v>
      </c>
      <c r="L409" s="9">
        <f t="shared" si="6"/>
        <v>7857142.8600000003</v>
      </c>
    </row>
    <row r="410" spans="1:12" ht="14.25" customHeight="1" x14ac:dyDescent="0.3">
      <c r="A410" s="8">
        <v>409</v>
      </c>
      <c r="B410" s="8" t="str">
        <f>'Criaturas - Base de Dados'!B70</f>
        <v>Abismo Glacial</v>
      </c>
      <c r="C410" s="8" t="str">
        <f>'Criaturas - Base de Dados'!C70</f>
        <v>Gelo</v>
      </c>
      <c r="D410" s="8" t="str">
        <f>'Criaturas - Base de Dados'!D70</f>
        <v>Kraken Congelado</v>
      </c>
      <c r="E410" s="8" t="str">
        <f>'Sistema de Raridade e Evolução'!B2</f>
        <v>Default</v>
      </c>
      <c r="F410" s="9" t="e">
        <f>ROUND(('Criaturas - Base de Dados'!H70*'Sistema de Raridade e Evolução'!E2)*1000,2)</f>
        <v>#VALUE!</v>
      </c>
      <c r="G410" s="8" t="e">
        <f>ROUND('Criaturas - Base de Dados'!I70*'Sistema de Raridade e Evolução'!E2,0)</f>
        <v>#VALUE!</v>
      </c>
      <c r="H410" s="8" t="e">
        <f>ROUND('Criaturas - Base de Dados'!J70*'Sistema de Raridade e Evolução'!E2,0)</f>
        <v>#VALUE!</v>
      </c>
      <c r="I410" s="8" t="e">
        <f>ROUND('Criaturas - Base de Dados'!K70*'Sistema de Raridade e Evolução'!E2,0)</f>
        <v>#VALUE!</v>
      </c>
      <c r="J410" s="8">
        <f>'Sistema de Raridade e Evolução'!D2</f>
        <v>1</v>
      </c>
      <c r="K410" s="8" t="s">
        <v>8</v>
      </c>
      <c r="L410" s="9" t="e">
        <f t="shared" si="6"/>
        <v>#VALUE!</v>
      </c>
    </row>
    <row r="411" spans="1:12" ht="14.25" hidden="1" customHeight="1" x14ac:dyDescent="0.3">
      <c r="A411" s="8">
        <v>410</v>
      </c>
      <c r="B411" s="8" t="str">
        <f>'Criaturas - Base de Dados'!B70</f>
        <v>Abismo Glacial</v>
      </c>
      <c r="C411" s="8" t="str">
        <f>'Criaturas - Base de Dados'!C70</f>
        <v>Gelo</v>
      </c>
      <c r="D411" s="8" t="str">
        <f>'Criaturas - Base de Dados'!D70</f>
        <v>Kraken Congelado</v>
      </c>
      <c r="E411" s="8" t="str">
        <f>'Sistema de Raridade e Evolução'!B3</f>
        <v>Bronze</v>
      </c>
      <c r="F411" s="9">
        <f>ROUND(('Criaturas - Base de Dados'!H70*'Sistema de Raridade e Evolução'!E3)*1000,2)</f>
        <v>24000</v>
      </c>
      <c r="G411" s="8">
        <f>ROUND('Criaturas - Base de Dados'!I70*'Sistema de Raridade e Evolução'!E3,0)</f>
        <v>14</v>
      </c>
      <c r="H411" s="8">
        <f>ROUND('Criaturas - Base de Dados'!J70*'Sistema de Raridade e Evolução'!E3,0)</f>
        <v>12</v>
      </c>
      <c r="I411" s="8">
        <f>ROUND('Criaturas - Base de Dados'!K70*'Sistema de Raridade e Evolução'!E3,0)</f>
        <v>77</v>
      </c>
      <c r="J411" s="8">
        <f>'Sistema de Raridade e Evolução'!D3</f>
        <v>6</v>
      </c>
      <c r="K411" s="8" t="s">
        <v>9</v>
      </c>
      <c r="L411" s="9">
        <f t="shared" si="6"/>
        <v>57142.86</v>
      </c>
    </row>
    <row r="412" spans="1:12" ht="14.25" hidden="1" customHeight="1" x14ac:dyDescent="0.3">
      <c r="A412" s="8">
        <v>411</v>
      </c>
      <c r="B412" s="8" t="str">
        <f>'Criaturas - Base de Dados'!B70</f>
        <v>Abismo Glacial</v>
      </c>
      <c r="C412" s="8" t="str">
        <f>'Criaturas - Base de Dados'!C70</f>
        <v>Gelo</v>
      </c>
      <c r="D412" s="8" t="str">
        <f>'Criaturas - Base de Dados'!D70</f>
        <v>Kraken Congelado</v>
      </c>
      <c r="E412" s="8" t="str">
        <f>'Sistema de Raridade e Evolução'!B4</f>
        <v>Prata</v>
      </c>
      <c r="F412" s="9">
        <f>ROUND(('Criaturas - Base de Dados'!H70*'Sistema de Raridade e Evolução'!E4)*1000,2)</f>
        <v>144000</v>
      </c>
      <c r="G412" s="8">
        <f>ROUND('Criaturas - Base de Dados'!I70*'Sistema de Raridade e Evolução'!E4,0)</f>
        <v>84</v>
      </c>
      <c r="H412" s="8">
        <f>ROUND('Criaturas - Base de Dados'!J70*'Sistema de Raridade e Evolução'!E4,0)</f>
        <v>72</v>
      </c>
      <c r="I412" s="8">
        <f>ROUND('Criaturas - Base de Dados'!K70*'Sistema de Raridade e Evolução'!E4,0)</f>
        <v>462</v>
      </c>
      <c r="J412" s="8">
        <f>'Sistema de Raridade e Evolução'!D4</f>
        <v>16</v>
      </c>
      <c r="K412" s="8" t="s">
        <v>10</v>
      </c>
      <c r="L412" s="9">
        <f t="shared" si="6"/>
        <v>342857.14</v>
      </c>
    </row>
    <row r="413" spans="1:12" ht="14.25" hidden="1" customHeight="1" x14ac:dyDescent="0.3">
      <c r="A413" s="8">
        <v>412</v>
      </c>
      <c r="B413" s="8" t="str">
        <f>'Criaturas - Base de Dados'!B70</f>
        <v>Abismo Glacial</v>
      </c>
      <c r="C413" s="8" t="str">
        <f>'Criaturas - Base de Dados'!C70</f>
        <v>Gelo</v>
      </c>
      <c r="D413" s="8" t="str">
        <f>'Criaturas - Base de Dados'!D70</f>
        <v>Kraken Congelado</v>
      </c>
      <c r="E413" s="8" t="str">
        <f>'Sistema de Raridade e Evolução'!B5</f>
        <v>Ouro</v>
      </c>
      <c r="F413" s="9">
        <f>ROUND(('Criaturas - Base de Dados'!H70*'Sistema de Raridade e Evolução'!E5)*1000,2)</f>
        <v>432000</v>
      </c>
      <c r="G413" s="8">
        <f>ROUND('Criaturas - Base de Dados'!I70*'Sistema de Raridade e Evolução'!E5,0)</f>
        <v>252</v>
      </c>
      <c r="H413" s="8">
        <f>ROUND('Criaturas - Base de Dados'!J70*'Sistema de Raridade e Evolução'!E5,0)</f>
        <v>216</v>
      </c>
      <c r="I413" s="8">
        <f>ROUND('Criaturas - Base de Dados'!K70*'Sistema de Raridade e Evolução'!E5,0)</f>
        <v>1386</v>
      </c>
      <c r="J413" s="8">
        <f>'Sistema de Raridade e Evolução'!D5</f>
        <v>31</v>
      </c>
      <c r="K413" s="8" t="s">
        <v>11</v>
      </c>
      <c r="L413" s="9">
        <f t="shared" si="6"/>
        <v>1028571.43</v>
      </c>
    </row>
    <row r="414" spans="1:12" ht="14.25" hidden="1" customHeight="1" x14ac:dyDescent="0.3">
      <c r="A414" s="8">
        <v>413</v>
      </c>
      <c r="B414" s="8" t="str">
        <f>'Criaturas - Base de Dados'!B70</f>
        <v>Abismo Glacial</v>
      </c>
      <c r="C414" s="8" t="str">
        <f>'Criaturas - Base de Dados'!C70</f>
        <v>Gelo</v>
      </c>
      <c r="D414" s="8" t="str">
        <f>'Criaturas - Base de Dados'!D70</f>
        <v>Kraken Congelado</v>
      </c>
      <c r="E414" s="8" t="str">
        <f>'Sistema de Raridade e Evolução'!B6</f>
        <v>Platina</v>
      </c>
      <c r="F414" s="9">
        <f>ROUND(('Criaturas - Base de Dados'!H70*'Sistema de Raridade e Evolução'!E6)*1000,2)</f>
        <v>1200000</v>
      </c>
      <c r="G414" s="8">
        <f>ROUND('Criaturas - Base de Dados'!I70*'Sistema de Raridade e Evolução'!E6,0)</f>
        <v>700</v>
      </c>
      <c r="H414" s="8">
        <f>ROUND('Criaturas - Base de Dados'!J70*'Sistema de Raridade e Evolução'!E6,0)</f>
        <v>600</v>
      </c>
      <c r="I414" s="8">
        <f>ROUND('Criaturas - Base de Dados'!K70*'Sistema de Raridade e Evolução'!E6,0)</f>
        <v>3850</v>
      </c>
      <c r="J414" s="8">
        <f>'Sistema de Raridade e Evolução'!D6</f>
        <v>56</v>
      </c>
      <c r="K414" s="8" t="s">
        <v>12</v>
      </c>
      <c r="L414" s="9">
        <f t="shared" si="6"/>
        <v>2857142.86</v>
      </c>
    </row>
    <row r="415" spans="1:12" ht="14.25" hidden="1" customHeight="1" x14ac:dyDescent="0.3">
      <c r="A415" s="8">
        <v>414</v>
      </c>
      <c r="B415" s="8" t="str">
        <f>'Criaturas - Base de Dados'!B70</f>
        <v>Abismo Glacial</v>
      </c>
      <c r="C415" s="8" t="str">
        <f>'Criaturas - Base de Dados'!C70</f>
        <v>Gelo</v>
      </c>
      <c r="D415" s="8" t="str">
        <f>'Criaturas - Base de Dados'!D70</f>
        <v>Kraken Congelado</v>
      </c>
      <c r="E415" s="8" t="str">
        <f>'Sistema de Raridade e Evolução'!B7</f>
        <v>Lendário</v>
      </c>
      <c r="F415" s="9">
        <f>ROUND(('Criaturas - Base de Dados'!H70*'Sistema de Raridade e Evolução'!E7)*1000,2)</f>
        <v>3600000</v>
      </c>
      <c r="G415" s="8">
        <f>ROUND('Criaturas - Base de Dados'!I70*'Sistema de Raridade e Evolução'!E7,0)</f>
        <v>2100</v>
      </c>
      <c r="H415" s="8">
        <f>ROUND('Criaturas - Base de Dados'!J70*'Sistema de Raridade e Evolução'!E7,0)</f>
        <v>1800</v>
      </c>
      <c r="I415" s="8">
        <f>ROUND('Criaturas - Base de Dados'!K70*'Sistema de Raridade e Evolução'!E7,0)</f>
        <v>11550</v>
      </c>
      <c r="J415" s="8">
        <f>'Sistema de Raridade e Evolução'!D7</f>
        <v>91</v>
      </c>
      <c r="K415" s="8" t="s">
        <v>925</v>
      </c>
      <c r="L415" s="9">
        <f t="shared" si="6"/>
        <v>8571428.5700000003</v>
      </c>
    </row>
    <row r="416" spans="1:12" ht="14.25" customHeight="1" x14ac:dyDescent="0.3">
      <c r="A416" s="8">
        <v>415</v>
      </c>
      <c r="B416" s="8" t="str">
        <f>'Criaturas - Base de Dados'!B71</f>
        <v>Abismo Glacial</v>
      </c>
      <c r="C416" s="8" t="str">
        <f>'Criaturas - Base de Dados'!C71</f>
        <v>Gelo</v>
      </c>
      <c r="D416" s="8" t="str">
        <f>'Criaturas - Base de Dados'!D71</f>
        <v>Selkie da Maré Fria</v>
      </c>
      <c r="E416" s="8" t="str">
        <f>'Sistema de Raridade e Evolução'!B2</f>
        <v>Default</v>
      </c>
      <c r="F416" s="9" t="e">
        <f>ROUND(('Criaturas - Base de Dados'!H71*'Sistema de Raridade e Evolução'!E2)*1000,2)</f>
        <v>#VALUE!</v>
      </c>
      <c r="G416" s="8" t="e">
        <f>ROUND('Criaturas - Base de Dados'!I71*'Sistema de Raridade e Evolução'!E2,0)</f>
        <v>#VALUE!</v>
      </c>
      <c r="H416" s="8" t="e">
        <f>ROUND('Criaturas - Base de Dados'!J71*'Sistema de Raridade e Evolução'!E2,0)</f>
        <v>#VALUE!</v>
      </c>
      <c r="I416" s="8" t="e">
        <f>ROUND('Criaturas - Base de Dados'!K71*'Sistema de Raridade e Evolução'!E2,0)</f>
        <v>#VALUE!</v>
      </c>
      <c r="J416" s="8">
        <f>'Sistema de Raridade e Evolução'!D2</f>
        <v>1</v>
      </c>
      <c r="K416" s="8" t="s">
        <v>8</v>
      </c>
      <c r="L416" s="9" t="e">
        <f t="shared" si="6"/>
        <v>#VALUE!</v>
      </c>
    </row>
    <row r="417" spans="1:12" ht="14.25" hidden="1" customHeight="1" x14ac:dyDescent="0.3">
      <c r="A417" s="8">
        <v>416</v>
      </c>
      <c r="B417" s="8" t="str">
        <f>'Criaturas - Base de Dados'!B71</f>
        <v>Abismo Glacial</v>
      </c>
      <c r="C417" s="8" t="str">
        <f>'Criaturas - Base de Dados'!C71</f>
        <v>Gelo</v>
      </c>
      <c r="D417" s="8" t="str">
        <f>'Criaturas - Base de Dados'!D71</f>
        <v>Selkie da Maré Fria</v>
      </c>
      <c r="E417" s="8" t="str">
        <f>'Sistema de Raridade e Evolução'!B3</f>
        <v>Bronze</v>
      </c>
      <c r="F417" s="9">
        <f>ROUND(('Criaturas - Base de Dados'!H71*'Sistema de Raridade e Evolução'!E3)*1000,2)</f>
        <v>26000</v>
      </c>
      <c r="G417" s="8">
        <f>ROUND('Criaturas - Base de Dados'!I71*'Sistema de Raridade e Evolução'!E3,0)</f>
        <v>16</v>
      </c>
      <c r="H417" s="8">
        <f>ROUND('Criaturas - Base de Dados'!J71*'Sistema de Raridade e Evolução'!E3,0)</f>
        <v>13</v>
      </c>
      <c r="I417" s="8">
        <f>ROUND('Criaturas - Base de Dados'!K71*'Sistema de Raridade e Evolução'!E3,0)</f>
        <v>83</v>
      </c>
      <c r="J417" s="8">
        <f>'Sistema de Raridade e Evolução'!D3</f>
        <v>6</v>
      </c>
      <c r="K417" s="8" t="s">
        <v>9</v>
      </c>
      <c r="L417" s="9">
        <f t="shared" si="6"/>
        <v>61904.76</v>
      </c>
    </row>
    <row r="418" spans="1:12" ht="14.25" hidden="1" customHeight="1" x14ac:dyDescent="0.3">
      <c r="A418" s="8">
        <v>417</v>
      </c>
      <c r="B418" s="8" t="str">
        <f>'Criaturas - Base de Dados'!B71</f>
        <v>Abismo Glacial</v>
      </c>
      <c r="C418" s="8" t="str">
        <f>'Criaturas - Base de Dados'!C71</f>
        <v>Gelo</v>
      </c>
      <c r="D418" s="8" t="str">
        <f>'Criaturas - Base de Dados'!D71</f>
        <v>Selkie da Maré Fria</v>
      </c>
      <c r="E418" s="8" t="str">
        <f>'Sistema de Raridade e Evolução'!B4</f>
        <v>Prata</v>
      </c>
      <c r="F418" s="9">
        <f>ROUND(('Criaturas - Base de Dados'!H71*'Sistema de Raridade e Evolução'!E4)*1000,2)</f>
        <v>156000</v>
      </c>
      <c r="G418" s="8">
        <f>ROUND('Criaturas - Base de Dados'!I71*'Sistema de Raridade e Evolução'!E4,0)</f>
        <v>96</v>
      </c>
      <c r="H418" s="8">
        <f>ROUND('Criaturas - Base de Dados'!J71*'Sistema de Raridade e Evolução'!E4,0)</f>
        <v>78</v>
      </c>
      <c r="I418" s="8">
        <f>ROUND('Criaturas - Base de Dados'!K71*'Sistema de Raridade e Evolução'!E4,0)</f>
        <v>498</v>
      </c>
      <c r="J418" s="8">
        <f>'Sistema de Raridade e Evolução'!D4</f>
        <v>16</v>
      </c>
      <c r="K418" s="8" t="s">
        <v>10</v>
      </c>
      <c r="L418" s="9">
        <f t="shared" si="6"/>
        <v>371428.57</v>
      </c>
    </row>
    <row r="419" spans="1:12" ht="14.25" hidden="1" customHeight="1" x14ac:dyDescent="0.3">
      <c r="A419" s="8">
        <v>418</v>
      </c>
      <c r="B419" s="8" t="str">
        <f>'Criaturas - Base de Dados'!B71</f>
        <v>Abismo Glacial</v>
      </c>
      <c r="C419" s="8" t="str">
        <f>'Criaturas - Base de Dados'!C71</f>
        <v>Gelo</v>
      </c>
      <c r="D419" s="8" t="str">
        <f>'Criaturas - Base de Dados'!D71</f>
        <v>Selkie da Maré Fria</v>
      </c>
      <c r="E419" s="8" t="str">
        <f>'Sistema de Raridade e Evolução'!B5</f>
        <v>Ouro</v>
      </c>
      <c r="F419" s="9">
        <f>ROUND(('Criaturas - Base de Dados'!H71*'Sistema de Raridade e Evolução'!E5)*1000,2)</f>
        <v>468000</v>
      </c>
      <c r="G419" s="8">
        <f>ROUND('Criaturas - Base de Dados'!I71*'Sistema de Raridade e Evolução'!E5,0)</f>
        <v>288</v>
      </c>
      <c r="H419" s="8">
        <f>ROUND('Criaturas - Base de Dados'!J71*'Sistema de Raridade e Evolução'!E5,0)</f>
        <v>234</v>
      </c>
      <c r="I419" s="8">
        <f>ROUND('Criaturas - Base de Dados'!K71*'Sistema de Raridade e Evolução'!E5,0)</f>
        <v>1494</v>
      </c>
      <c r="J419" s="8">
        <f>'Sistema de Raridade e Evolução'!D5</f>
        <v>31</v>
      </c>
      <c r="K419" s="8" t="s">
        <v>11</v>
      </c>
      <c r="L419" s="9">
        <f t="shared" si="6"/>
        <v>1114285.71</v>
      </c>
    </row>
    <row r="420" spans="1:12" ht="14.25" hidden="1" customHeight="1" x14ac:dyDescent="0.3">
      <c r="A420" s="8">
        <v>419</v>
      </c>
      <c r="B420" s="8" t="str">
        <f>'Criaturas - Base de Dados'!B71</f>
        <v>Abismo Glacial</v>
      </c>
      <c r="C420" s="8" t="str">
        <f>'Criaturas - Base de Dados'!C71</f>
        <v>Gelo</v>
      </c>
      <c r="D420" s="8" t="str">
        <f>'Criaturas - Base de Dados'!D71</f>
        <v>Selkie da Maré Fria</v>
      </c>
      <c r="E420" s="8" t="str">
        <f>'Sistema de Raridade e Evolução'!B6</f>
        <v>Platina</v>
      </c>
      <c r="F420" s="9">
        <f>ROUND(('Criaturas - Base de Dados'!H71*'Sistema de Raridade e Evolução'!E6)*1000,2)</f>
        <v>1300000</v>
      </c>
      <c r="G420" s="8">
        <f>ROUND('Criaturas - Base de Dados'!I71*'Sistema de Raridade e Evolução'!E6,0)</f>
        <v>800</v>
      </c>
      <c r="H420" s="8">
        <f>ROUND('Criaturas - Base de Dados'!J71*'Sistema de Raridade e Evolução'!E6,0)</f>
        <v>650</v>
      </c>
      <c r="I420" s="8">
        <f>ROUND('Criaturas - Base de Dados'!K71*'Sistema de Raridade e Evolução'!E6,0)</f>
        <v>4150</v>
      </c>
      <c r="J420" s="8">
        <f>'Sistema de Raridade e Evolução'!D6</f>
        <v>56</v>
      </c>
      <c r="K420" s="8" t="s">
        <v>12</v>
      </c>
      <c r="L420" s="9">
        <f t="shared" si="6"/>
        <v>3095238.1</v>
      </c>
    </row>
    <row r="421" spans="1:12" ht="14.25" hidden="1" customHeight="1" x14ac:dyDescent="0.3">
      <c r="A421" s="8">
        <v>420</v>
      </c>
      <c r="B421" s="8" t="str">
        <f>'Criaturas - Base de Dados'!B71</f>
        <v>Abismo Glacial</v>
      </c>
      <c r="C421" s="8" t="str">
        <f>'Criaturas - Base de Dados'!C71</f>
        <v>Gelo</v>
      </c>
      <c r="D421" s="8" t="str">
        <f>'Criaturas - Base de Dados'!D71</f>
        <v>Selkie da Maré Fria</v>
      </c>
      <c r="E421" s="8" t="str">
        <f>'Sistema de Raridade e Evolução'!B7</f>
        <v>Lendário</v>
      </c>
      <c r="F421" s="9">
        <f>ROUND(('Criaturas - Base de Dados'!H71*'Sistema de Raridade e Evolução'!E7)*1000,2)</f>
        <v>3900000</v>
      </c>
      <c r="G421" s="8">
        <f>ROUND('Criaturas - Base de Dados'!I71*'Sistema de Raridade e Evolução'!E7,0)</f>
        <v>2400</v>
      </c>
      <c r="H421" s="8">
        <f>ROUND('Criaturas - Base de Dados'!J71*'Sistema de Raridade e Evolução'!E7,0)</f>
        <v>1950</v>
      </c>
      <c r="I421" s="8">
        <f>ROUND('Criaturas - Base de Dados'!K71*'Sistema de Raridade e Evolução'!E7,0)</f>
        <v>12450</v>
      </c>
      <c r="J421" s="8">
        <f>'Sistema de Raridade e Evolução'!D7</f>
        <v>91</v>
      </c>
      <c r="K421" s="8" t="s">
        <v>925</v>
      </c>
      <c r="L421" s="9">
        <f t="shared" si="6"/>
        <v>9285714.2899999991</v>
      </c>
    </row>
    <row r="422" spans="1:12" ht="14.25" customHeight="1" x14ac:dyDescent="0.3">
      <c r="A422" s="8">
        <v>421</v>
      </c>
      <c r="B422" s="8" t="str">
        <f>'Criaturas - Base de Dados'!B72</f>
        <v>Abismo Glacial</v>
      </c>
      <c r="C422" s="8" t="str">
        <f>'Criaturas - Base de Dados'!C72</f>
        <v>Gelo</v>
      </c>
      <c r="D422" s="8" t="str">
        <f>'Criaturas - Base de Dados'!D72</f>
        <v>Draugr Gelado</v>
      </c>
      <c r="E422" s="8" t="str">
        <f>'Sistema de Raridade e Evolução'!B2</f>
        <v>Default</v>
      </c>
      <c r="F422" s="9" t="e">
        <f>ROUND(('Criaturas - Base de Dados'!H72*'Sistema de Raridade e Evolução'!E2)*1000,2)</f>
        <v>#VALUE!</v>
      </c>
      <c r="G422" s="8" t="e">
        <f>ROUND('Criaturas - Base de Dados'!I72*'Sistema de Raridade e Evolução'!E2,0)</f>
        <v>#VALUE!</v>
      </c>
      <c r="H422" s="8" t="e">
        <f>ROUND('Criaturas - Base de Dados'!J72*'Sistema de Raridade e Evolução'!E2,0)</f>
        <v>#VALUE!</v>
      </c>
      <c r="I422" s="8" t="e">
        <f>ROUND('Criaturas - Base de Dados'!K72*'Sistema de Raridade e Evolução'!E2,0)</f>
        <v>#VALUE!</v>
      </c>
      <c r="J422" s="8">
        <f>'Sistema de Raridade e Evolução'!D2</f>
        <v>1</v>
      </c>
      <c r="K422" s="8" t="s">
        <v>8</v>
      </c>
      <c r="L422" s="9" t="e">
        <f t="shared" si="6"/>
        <v>#VALUE!</v>
      </c>
    </row>
    <row r="423" spans="1:12" ht="14.25" hidden="1" customHeight="1" x14ac:dyDescent="0.3">
      <c r="A423" s="8">
        <v>422</v>
      </c>
      <c r="B423" s="8" t="str">
        <f>'Criaturas - Base de Dados'!B72</f>
        <v>Abismo Glacial</v>
      </c>
      <c r="C423" s="8" t="str">
        <f>'Criaturas - Base de Dados'!C72</f>
        <v>Gelo</v>
      </c>
      <c r="D423" s="8" t="str">
        <f>'Criaturas - Base de Dados'!D72</f>
        <v>Draugr Gelado</v>
      </c>
      <c r="E423" s="8" t="str">
        <f>'Sistema de Raridade e Evolução'!B3</f>
        <v>Bronze</v>
      </c>
      <c r="F423" s="9">
        <f>ROUND(('Criaturas - Base de Dados'!H72*'Sistema de Raridade e Evolução'!E3)*1000,2)</f>
        <v>28000</v>
      </c>
      <c r="G423" s="8">
        <f>ROUND('Criaturas - Base de Dados'!I72*'Sistema de Raridade e Evolução'!E3,0)</f>
        <v>17</v>
      </c>
      <c r="H423" s="8">
        <f>ROUND('Criaturas - Base de Dados'!J72*'Sistema de Raridade e Evolução'!E3,0)</f>
        <v>14</v>
      </c>
      <c r="I423" s="8">
        <f>ROUND('Criaturas - Base de Dados'!K72*'Sistema de Raridade e Evolução'!E3,0)</f>
        <v>90</v>
      </c>
      <c r="J423" s="8">
        <f>'Sistema de Raridade e Evolução'!D3</f>
        <v>6</v>
      </c>
      <c r="K423" s="8" t="s">
        <v>9</v>
      </c>
      <c r="L423" s="9">
        <f t="shared" si="6"/>
        <v>66666.67</v>
      </c>
    </row>
    <row r="424" spans="1:12" ht="14.25" hidden="1" customHeight="1" x14ac:dyDescent="0.3">
      <c r="A424" s="8">
        <v>423</v>
      </c>
      <c r="B424" s="8" t="str">
        <f>'Criaturas - Base de Dados'!B72</f>
        <v>Abismo Glacial</v>
      </c>
      <c r="C424" s="8" t="str">
        <f>'Criaturas - Base de Dados'!C72</f>
        <v>Gelo</v>
      </c>
      <c r="D424" s="8" t="str">
        <f>'Criaturas - Base de Dados'!D72</f>
        <v>Draugr Gelado</v>
      </c>
      <c r="E424" s="8" t="str">
        <f>'Sistema de Raridade e Evolução'!B4</f>
        <v>Prata</v>
      </c>
      <c r="F424" s="9">
        <f>ROUND(('Criaturas - Base de Dados'!H72*'Sistema de Raridade e Evolução'!E4)*1000,2)</f>
        <v>168000</v>
      </c>
      <c r="G424" s="8">
        <f>ROUND('Criaturas - Base de Dados'!I72*'Sistema de Raridade e Evolução'!E4,0)</f>
        <v>102</v>
      </c>
      <c r="H424" s="8">
        <f>ROUND('Criaturas - Base de Dados'!J72*'Sistema de Raridade e Evolução'!E4,0)</f>
        <v>84</v>
      </c>
      <c r="I424" s="8">
        <f>ROUND('Criaturas - Base de Dados'!K72*'Sistema de Raridade e Evolução'!E4,0)</f>
        <v>540</v>
      </c>
      <c r="J424" s="8">
        <f>'Sistema de Raridade e Evolução'!D4</f>
        <v>16</v>
      </c>
      <c r="K424" s="8" t="s">
        <v>10</v>
      </c>
      <c r="L424" s="9">
        <f t="shared" si="6"/>
        <v>400000</v>
      </c>
    </row>
    <row r="425" spans="1:12" ht="14.25" hidden="1" customHeight="1" x14ac:dyDescent="0.3">
      <c r="A425" s="8">
        <v>424</v>
      </c>
      <c r="B425" s="8" t="str">
        <f>'Criaturas - Base de Dados'!B72</f>
        <v>Abismo Glacial</v>
      </c>
      <c r="C425" s="8" t="str">
        <f>'Criaturas - Base de Dados'!C72</f>
        <v>Gelo</v>
      </c>
      <c r="D425" s="8" t="str">
        <f>'Criaturas - Base de Dados'!D72</f>
        <v>Draugr Gelado</v>
      </c>
      <c r="E425" s="8" t="str">
        <f>'Sistema de Raridade e Evolução'!B5</f>
        <v>Ouro</v>
      </c>
      <c r="F425" s="9">
        <f>ROUND(('Criaturas - Base de Dados'!H72*'Sistema de Raridade e Evolução'!E5)*1000,2)</f>
        <v>504000</v>
      </c>
      <c r="G425" s="8">
        <f>ROUND('Criaturas - Base de Dados'!I72*'Sistema de Raridade e Evolução'!E5,0)</f>
        <v>306</v>
      </c>
      <c r="H425" s="8">
        <f>ROUND('Criaturas - Base de Dados'!J72*'Sistema de Raridade e Evolução'!E5,0)</f>
        <v>252</v>
      </c>
      <c r="I425" s="8">
        <f>ROUND('Criaturas - Base de Dados'!K72*'Sistema de Raridade e Evolução'!E5,0)</f>
        <v>1620</v>
      </c>
      <c r="J425" s="8">
        <f>'Sistema de Raridade e Evolução'!D5</f>
        <v>31</v>
      </c>
      <c r="K425" s="8" t="s">
        <v>11</v>
      </c>
      <c r="L425" s="9">
        <f t="shared" si="6"/>
        <v>1200000</v>
      </c>
    </row>
    <row r="426" spans="1:12" ht="14.25" hidden="1" customHeight="1" x14ac:dyDescent="0.3">
      <c r="A426" s="8">
        <v>425</v>
      </c>
      <c r="B426" s="8" t="str">
        <f>'Criaturas - Base de Dados'!B72</f>
        <v>Abismo Glacial</v>
      </c>
      <c r="C426" s="8" t="str">
        <f>'Criaturas - Base de Dados'!C72</f>
        <v>Gelo</v>
      </c>
      <c r="D426" s="8" t="str">
        <f>'Criaturas - Base de Dados'!D72</f>
        <v>Draugr Gelado</v>
      </c>
      <c r="E426" s="8" t="str">
        <f>'Sistema de Raridade e Evolução'!B6</f>
        <v>Platina</v>
      </c>
      <c r="F426" s="9">
        <f>ROUND(('Criaturas - Base de Dados'!H72*'Sistema de Raridade e Evolução'!E6)*1000,2)</f>
        <v>1400000</v>
      </c>
      <c r="G426" s="8">
        <f>ROUND('Criaturas - Base de Dados'!I72*'Sistema de Raridade e Evolução'!E6,0)</f>
        <v>850</v>
      </c>
      <c r="H426" s="8">
        <f>ROUND('Criaturas - Base de Dados'!J72*'Sistema de Raridade e Evolução'!E6,0)</f>
        <v>700</v>
      </c>
      <c r="I426" s="8">
        <f>ROUND('Criaturas - Base de Dados'!K72*'Sistema de Raridade e Evolução'!E6,0)</f>
        <v>4500</v>
      </c>
      <c r="J426" s="8">
        <f>'Sistema de Raridade e Evolução'!D6</f>
        <v>56</v>
      </c>
      <c r="K426" s="8" t="s">
        <v>12</v>
      </c>
      <c r="L426" s="9">
        <f t="shared" si="6"/>
        <v>3333333.33</v>
      </c>
    </row>
    <row r="427" spans="1:12" ht="14.25" hidden="1" customHeight="1" x14ac:dyDescent="0.3">
      <c r="A427" s="8">
        <v>426</v>
      </c>
      <c r="B427" s="8" t="str">
        <f>'Criaturas - Base de Dados'!B72</f>
        <v>Abismo Glacial</v>
      </c>
      <c r="C427" s="8" t="str">
        <f>'Criaturas - Base de Dados'!C72</f>
        <v>Gelo</v>
      </c>
      <c r="D427" s="8" t="str">
        <f>'Criaturas - Base de Dados'!D72</f>
        <v>Draugr Gelado</v>
      </c>
      <c r="E427" s="8" t="str">
        <f>'Sistema de Raridade e Evolução'!B7</f>
        <v>Lendário</v>
      </c>
      <c r="F427" s="9">
        <f>ROUND(('Criaturas - Base de Dados'!H72*'Sistema de Raridade e Evolução'!E7)*1000,2)</f>
        <v>4200000</v>
      </c>
      <c r="G427" s="8">
        <f>ROUND('Criaturas - Base de Dados'!I72*'Sistema de Raridade e Evolução'!E7,0)</f>
        <v>2550</v>
      </c>
      <c r="H427" s="8">
        <f>ROUND('Criaturas - Base de Dados'!J72*'Sistema de Raridade e Evolução'!E7,0)</f>
        <v>2100</v>
      </c>
      <c r="I427" s="8">
        <f>ROUND('Criaturas - Base de Dados'!K72*'Sistema de Raridade e Evolução'!E7,0)</f>
        <v>13500</v>
      </c>
      <c r="J427" s="8">
        <f>'Sistema de Raridade e Evolução'!D7</f>
        <v>91</v>
      </c>
      <c r="K427" s="8" t="s">
        <v>925</v>
      </c>
      <c r="L427" s="9">
        <f t="shared" si="6"/>
        <v>10000000</v>
      </c>
    </row>
    <row r="428" spans="1:12" ht="14.25" customHeight="1" x14ac:dyDescent="0.3">
      <c r="A428" s="8">
        <v>427</v>
      </c>
      <c r="B428" s="8" t="str">
        <f>'Criaturas - Base de Dados'!B73</f>
        <v>Abismo Glacial</v>
      </c>
      <c r="C428" s="8" t="str">
        <f>'Criaturas - Base de Dados'!C73</f>
        <v>Gelo</v>
      </c>
      <c r="D428" s="8" t="str">
        <f>'Criaturas - Base de Dados'!D73</f>
        <v>Snegurochka Ancestral</v>
      </c>
      <c r="E428" s="8" t="str">
        <f>'Sistema de Raridade e Evolução'!B2</f>
        <v>Default</v>
      </c>
      <c r="F428" s="9" t="e">
        <f>ROUND(('Criaturas - Base de Dados'!H73*'Sistema de Raridade e Evolução'!E2)*1000,2)</f>
        <v>#VALUE!</v>
      </c>
      <c r="G428" s="8" t="e">
        <f>ROUND('Criaturas - Base de Dados'!I73*'Sistema de Raridade e Evolução'!E2,0)</f>
        <v>#VALUE!</v>
      </c>
      <c r="H428" s="8" t="e">
        <f>ROUND('Criaturas - Base de Dados'!J73*'Sistema de Raridade e Evolução'!E2,0)</f>
        <v>#VALUE!</v>
      </c>
      <c r="I428" s="8" t="e">
        <f>ROUND('Criaturas - Base de Dados'!K73*'Sistema de Raridade e Evolução'!E2,0)</f>
        <v>#VALUE!</v>
      </c>
      <c r="J428" s="8">
        <f>'Sistema de Raridade e Evolução'!D2</f>
        <v>1</v>
      </c>
      <c r="K428" s="8" t="s">
        <v>8</v>
      </c>
      <c r="L428" s="9" t="e">
        <f t="shared" si="6"/>
        <v>#VALUE!</v>
      </c>
    </row>
    <row r="429" spans="1:12" ht="14.25" hidden="1" customHeight="1" x14ac:dyDescent="0.3">
      <c r="A429" s="8">
        <v>428</v>
      </c>
      <c r="B429" s="8" t="str">
        <f>'Criaturas - Base de Dados'!B73</f>
        <v>Abismo Glacial</v>
      </c>
      <c r="C429" s="8" t="str">
        <f>'Criaturas - Base de Dados'!C73</f>
        <v>Gelo</v>
      </c>
      <c r="D429" s="8" t="str">
        <f>'Criaturas - Base de Dados'!D73</f>
        <v>Snegurochka Ancestral</v>
      </c>
      <c r="E429" s="8" t="str">
        <f>'Sistema de Raridade e Evolução'!B3</f>
        <v>Bronze</v>
      </c>
      <c r="F429" s="9">
        <f>ROUND(('Criaturas - Base de Dados'!H73*'Sistema de Raridade e Evolução'!E3)*1000,2)</f>
        <v>30000</v>
      </c>
      <c r="G429" s="8">
        <f>ROUND('Criaturas - Base de Dados'!I73*'Sistema de Raridade e Evolução'!E3,0)</f>
        <v>18</v>
      </c>
      <c r="H429" s="8">
        <f>ROUND('Criaturas - Base de Dados'!J73*'Sistema de Raridade e Evolução'!E3,0)</f>
        <v>15</v>
      </c>
      <c r="I429" s="8">
        <f>ROUND('Criaturas - Base de Dados'!K73*'Sistema de Raridade e Evolução'!E3,0)</f>
        <v>96</v>
      </c>
      <c r="J429" s="8">
        <f>'Sistema de Raridade e Evolução'!D3</f>
        <v>6</v>
      </c>
      <c r="K429" s="8" t="s">
        <v>9</v>
      </c>
      <c r="L429" s="9">
        <f t="shared" si="6"/>
        <v>71428.570000000007</v>
      </c>
    </row>
    <row r="430" spans="1:12" ht="14.25" hidden="1" customHeight="1" x14ac:dyDescent="0.3">
      <c r="A430" s="8">
        <v>429</v>
      </c>
      <c r="B430" s="8" t="str">
        <f>'Criaturas - Base de Dados'!B73</f>
        <v>Abismo Glacial</v>
      </c>
      <c r="C430" s="8" t="str">
        <f>'Criaturas - Base de Dados'!C73</f>
        <v>Gelo</v>
      </c>
      <c r="D430" s="8" t="str">
        <f>'Criaturas - Base de Dados'!D73</f>
        <v>Snegurochka Ancestral</v>
      </c>
      <c r="E430" s="8" t="str">
        <f>'Sistema de Raridade e Evolução'!B4</f>
        <v>Prata</v>
      </c>
      <c r="F430" s="9">
        <f>ROUND(('Criaturas - Base de Dados'!H73*'Sistema de Raridade e Evolução'!E4)*1000,2)</f>
        <v>180000</v>
      </c>
      <c r="G430" s="8">
        <f>ROUND('Criaturas - Base de Dados'!I73*'Sistema de Raridade e Evolução'!E4,0)</f>
        <v>108</v>
      </c>
      <c r="H430" s="8">
        <f>ROUND('Criaturas - Base de Dados'!J73*'Sistema de Raridade e Evolução'!E4,0)</f>
        <v>90</v>
      </c>
      <c r="I430" s="8">
        <f>ROUND('Criaturas - Base de Dados'!K73*'Sistema de Raridade e Evolução'!E4,0)</f>
        <v>576</v>
      </c>
      <c r="J430" s="8">
        <f>'Sistema de Raridade e Evolução'!D4</f>
        <v>16</v>
      </c>
      <c r="K430" s="8" t="s">
        <v>10</v>
      </c>
      <c r="L430" s="9">
        <f t="shared" si="6"/>
        <v>428571.43</v>
      </c>
    </row>
    <row r="431" spans="1:12" ht="14.25" hidden="1" customHeight="1" x14ac:dyDescent="0.3">
      <c r="A431" s="8">
        <v>430</v>
      </c>
      <c r="B431" s="8" t="str">
        <f>'Criaturas - Base de Dados'!B73</f>
        <v>Abismo Glacial</v>
      </c>
      <c r="C431" s="8" t="str">
        <f>'Criaturas - Base de Dados'!C73</f>
        <v>Gelo</v>
      </c>
      <c r="D431" s="8" t="str">
        <f>'Criaturas - Base de Dados'!D73</f>
        <v>Snegurochka Ancestral</v>
      </c>
      <c r="E431" s="8" t="str">
        <f>'Sistema de Raridade e Evolução'!B5</f>
        <v>Ouro</v>
      </c>
      <c r="F431" s="9">
        <f>ROUND(('Criaturas - Base de Dados'!H73*'Sistema de Raridade e Evolução'!E5)*1000,2)</f>
        <v>540000</v>
      </c>
      <c r="G431" s="8">
        <f>ROUND('Criaturas - Base de Dados'!I73*'Sistema de Raridade e Evolução'!E5,0)</f>
        <v>324</v>
      </c>
      <c r="H431" s="8">
        <f>ROUND('Criaturas - Base de Dados'!J73*'Sistema de Raridade e Evolução'!E5,0)</f>
        <v>270</v>
      </c>
      <c r="I431" s="8">
        <f>ROUND('Criaturas - Base de Dados'!K73*'Sistema de Raridade e Evolução'!E5,0)</f>
        <v>1728</v>
      </c>
      <c r="J431" s="8">
        <f>'Sistema de Raridade e Evolução'!D5</f>
        <v>31</v>
      </c>
      <c r="K431" s="8" t="s">
        <v>11</v>
      </c>
      <c r="L431" s="9">
        <f t="shared" si="6"/>
        <v>1285714.29</v>
      </c>
    </row>
    <row r="432" spans="1:12" ht="14.25" hidden="1" customHeight="1" x14ac:dyDescent="0.3">
      <c r="A432" s="8">
        <v>431</v>
      </c>
      <c r="B432" s="8" t="str">
        <f>'Criaturas - Base de Dados'!B73</f>
        <v>Abismo Glacial</v>
      </c>
      <c r="C432" s="8" t="str">
        <f>'Criaturas - Base de Dados'!C73</f>
        <v>Gelo</v>
      </c>
      <c r="D432" s="8" t="str">
        <f>'Criaturas - Base de Dados'!D73</f>
        <v>Snegurochka Ancestral</v>
      </c>
      <c r="E432" s="8" t="str">
        <f>'Sistema de Raridade e Evolução'!B6</f>
        <v>Platina</v>
      </c>
      <c r="F432" s="9">
        <f>ROUND(('Criaturas - Base de Dados'!H73*'Sistema de Raridade e Evolução'!E6)*1000,2)</f>
        <v>1500000</v>
      </c>
      <c r="G432" s="8">
        <f>ROUND('Criaturas - Base de Dados'!I73*'Sistema de Raridade e Evolução'!E6,0)</f>
        <v>900</v>
      </c>
      <c r="H432" s="8">
        <f>ROUND('Criaturas - Base de Dados'!J73*'Sistema de Raridade e Evolução'!E6,0)</f>
        <v>750</v>
      </c>
      <c r="I432" s="8">
        <f>ROUND('Criaturas - Base de Dados'!K73*'Sistema de Raridade e Evolução'!E6,0)</f>
        <v>4800</v>
      </c>
      <c r="J432" s="8">
        <f>'Sistema de Raridade e Evolução'!D6</f>
        <v>56</v>
      </c>
      <c r="K432" s="8" t="s">
        <v>12</v>
      </c>
      <c r="L432" s="9">
        <f t="shared" si="6"/>
        <v>3571428.57</v>
      </c>
    </row>
    <row r="433" spans="1:12" ht="14.25" hidden="1" customHeight="1" x14ac:dyDescent="0.3">
      <c r="A433" s="8">
        <v>432</v>
      </c>
      <c r="B433" s="8" t="str">
        <f>'Criaturas - Base de Dados'!B73</f>
        <v>Abismo Glacial</v>
      </c>
      <c r="C433" s="8" t="str">
        <f>'Criaturas - Base de Dados'!C73</f>
        <v>Gelo</v>
      </c>
      <c r="D433" s="8" t="str">
        <f>'Criaturas - Base de Dados'!D73</f>
        <v>Snegurochka Ancestral</v>
      </c>
      <c r="E433" s="8" t="str">
        <f>'Sistema de Raridade e Evolução'!B7</f>
        <v>Lendário</v>
      </c>
      <c r="F433" s="9">
        <f>ROUND(('Criaturas - Base de Dados'!H73*'Sistema de Raridade e Evolução'!E7)*1000,2)</f>
        <v>4500000</v>
      </c>
      <c r="G433" s="8">
        <f>ROUND('Criaturas - Base de Dados'!I73*'Sistema de Raridade e Evolução'!E7,0)</f>
        <v>2700</v>
      </c>
      <c r="H433" s="8">
        <f>ROUND('Criaturas - Base de Dados'!J73*'Sistema de Raridade e Evolução'!E7,0)</f>
        <v>2250</v>
      </c>
      <c r="I433" s="8">
        <f>ROUND('Criaturas - Base de Dados'!K73*'Sistema de Raridade e Evolução'!E7,0)</f>
        <v>14400</v>
      </c>
      <c r="J433" s="8">
        <f>'Sistema de Raridade e Evolução'!D7</f>
        <v>91</v>
      </c>
      <c r="K433" s="8" t="s">
        <v>925</v>
      </c>
      <c r="L433" s="9">
        <f t="shared" si="6"/>
        <v>10714285.710000001</v>
      </c>
    </row>
    <row r="434" spans="1:12" ht="14.25" customHeight="1" x14ac:dyDescent="0.3">
      <c r="A434" s="8">
        <v>433</v>
      </c>
      <c r="B434" s="8" t="str">
        <f>'Criaturas - Base de Dados'!B74</f>
        <v>Abismo Glacial</v>
      </c>
      <c r="C434" s="8" t="str">
        <f>'Criaturas - Base de Dados'!C74</f>
        <v>Gelo</v>
      </c>
      <c r="D434" s="8" t="str">
        <f>'Criaturas - Base de Dados'!D74</f>
        <v>Amarok, o Lobo Gigante</v>
      </c>
      <c r="E434" s="8" t="str">
        <f>'Sistema de Raridade e Evolução'!B2</f>
        <v>Default</v>
      </c>
      <c r="F434" s="9" t="e">
        <f>ROUND(('Criaturas - Base de Dados'!H74*'Sistema de Raridade e Evolução'!E2)*1000,2)</f>
        <v>#VALUE!</v>
      </c>
      <c r="G434" s="8" t="e">
        <f>ROUND('Criaturas - Base de Dados'!I74*'Sistema de Raridade e Evolução'!E2,0)</f>
        <v>#VALUE!</v>
      </c>
      <c r="H434" s="8" t="e">
        <f>ROUND('Criaturas - Base de Dados'!J74*'Sistema de Raridade e Evolução'!E2,0)</f>
        <v>#VALUE!</v>
      </c>
      <c r="I434" s="8" t="e">
        <f>ROUND('Criaturas - Base de Dados'!K74*'Sistema de Raridade e Evolução'!E2,0)</f>
        <v>#VALUE!</v>
      </c>
      <c r="J434" s="8">
        <f>'Sistema de Raridade e Evolução'!D2</f>
        <v>1</v>
      </c>
      <c r="K434" s="8" t="s">
        <v>8</v>
      </c>
      <c r="L434" s="9" t="e">
        <f t="shared" si="6"/>
        <v>#VALUE!</v>
      </c>
    </row>
    <row r="435" spans="1:12" ht="14.25" hidden="1" customHeight="1" x14ac:dyDescent="0.3">
      <c r="A435" s="8">
        <v>434</v>
      </c>
      <c r="B435" s="8" t="str">
        <f>'Criaturas - Base de Dados'!B74</f>
        <v>Abismo Glacial</v>
      </c>
      <c r="C435" s="8" t="str">
        <f>'Criaturas - Base de Dados'!C74</f>
        <v>Gelo</v>
      </c>
      <c r="D435" s="8" t="str">
        <f>'Criaturas - Base de Dados'!D74</f>
        <v>Amarok, o Lobo Gigante</v>
      </c>
      <c r="E435" s="8" t="str">
        <f>'Sistema de Raridade e Evolução'!B3</f>
        <v>Bronze</v>
      </c>
      <c r="F435" s="9">
        <f>ROUND(('Criaturas - Base de Dados'!H74*'Sistema de Raridade e Evolução'!E3)*1000,2)</f>
        <v>34000</v>
      </c>
      <c r="G435" s="8">
        <f>ROUND('Criaturas - Base de Dados'!I74*'Sistema de Raridade e Evolução'!E3,0)</f>
        <v>20</v>
      </c>
      <c r="H435" s="8">
        <f>ROUND('Criaturas - Base de Dados'!J74*'Sistema de Raridade e Evolução'!E3,0)</f>
        <v>17</v>
      </c>
      <c r="I435" s="8">
        <f>ROUND('Criaturas - Base de Dados'!K74*'Sistema de Raridade e Evolução'!E3,0)</f>
        <v>109</v>
      </c>
      <c r="J435" s="8">
        <f>'Sistema de Raridade e Evolução'!D3</f>
        <v>6</v>
      </c>
      <c r="K435" s="8" t="s">
        <v>9</v>
      </c>
      <c r="L435" s="9">
        <f t="shared" si="6"/>
        <v>80952.38</v>
      </c>
    </row>
    <row r="436" spans="1:12" ht="14.25" hidden="1" customHeight="1" x14ac:dyDescent="0.3">
      <c r="A436" s="8">
        <v>435</v>
      </c>
      <c r="B436" s="8" t="str">
        <f>'Criaturas - Base de Dados'!B74</f>
        <v>Abismo Glacial</v>
      </c>
      <c r="C436" s="8" t="str">
        <f>'Criaturas - Base de Dados'!C74</f>
        <v>Gelo</v>
      </c>
      <c r="D436" s="8" t="str">
        <f>'Criaturas - Base de Dados'!D74</f>
        <v>Amarok, o Lobo Gigante</v>
      </c>
      <c r="E436" s="8" t="str">
        <f>'Sistema de Raridade e Evolução'!B4</f>
        <v>Prata</v>
      </c>
      <c r="F436" s="9">
        <f>ROUND(('Criaturas - Base de Dados'!H74*'Sistema de Raridade e Evolução'!E4)*1000,2)</f>
        <v>204000</v>
      </c>
      <c r="G436" s="8">
        <f>ROUND('Criaturas - Base de Dados'!I74*'Sistema de Raridade e Evolução'!E4,0)</f>
        <v>120</v>
      </c>
      <c r="H436" s="8">
        <f>ROUND('Criaturas - Base de Dados'!J74*'Sistema de Raridade e Evolução'!E4,0)</f>
        <v>102</v>
      </c>
      <c r="I436" s="8">
        <f>ROUND('Criaturas - Base de Dados'!K74*'Sistema de Raridade e Evolução'!E4,0)</f>
        <v>654</v>
      </c>
      <c r="J436" s="8">
        <f>'Sistema de Raridade e Evolução'!D4</f>
        <v>16</v>
      </c>
      <c r="K436" s="8" t="s">
        <v>10</v>
      </c>
      <c r="L436" s="9">
        <f t="shared" si="6"/>
        <v>485714.29</v>
      </c>
    </row>
    <row r="437" spans="1:12" ht="14.25" hidden="1" customHeight="1" x14ac:dyDescent="0.3">
      <c r="A437" s="8">
        <v>436</v>
      </c>
      <c r="B437" s="8" t="str">
        <f>'Criaturas - Base de Dados'!B74</f>
        <v>Abismo Glacial</v>
      </c>
      <c r="C437" s="8" t="str">
        <f>'Criaturas - Base de Dados'!C74</f>
        <v>Gelo</v>
      </c>
      <c r="D437" s="8" t="str">
        <f>'Criaturas - Base de Dados'!D74</f>
        <v>Amarok, o Lobo Gigante</v>
      </c>
      <c r="E437" s="8" t="str">
        <f>'Sistema de Raridade e Evolução'!B5</f>
        <v>Ouro</v>
      </c>
      <c r="F437" s="9">
        <f>ROUND(('Criaturas - Base de Dados'!H74*'Sistema de Raridade e Evolução'!E5)*1000,2)</f>
        <v>612000</v>
      </c>
      <c r="G437" s="8">
        <f>ROUND('Criaturas - Base de Dados'!I74*'Sistema de Raridade e Evolução'!E5,0)</f>
        <v>360</v>
      </c>
      <c r="H437" s="8">
        <f>ROUND('Criaturas - Base de Dados'!J74*'Sistema de Raridade e Evolução'!E5,0)</f>
        <v>306</v>
      </c>
      <c r="I437" s="8">
        <f>ROUND('Criaturas - Base de Dados'!K74*'Sistema de Raridade e Evolução'!E5,0)</f>
        <v>1962</v>
      </c>
      <c r="J437" s="8">
        <f>'Sistema de Raridade e Evolução'!D5</f>
        <v>31</v>
      </c>
      <c r="K437" s="8" t="s">
        <v>11</v>
      </c>
      <c r="L437" s="9">
        <f t="shared" si="6"/>
        <v>1457142.86</v>
      </c>
    </row>
    <row r="438" spans="1:12" ht="14.25" hidden="1" customHeight="1" x14ac:dyDescent="0.3">
      <c r="A438" s="8">
        <v>437</v>
      </c>
      <c r="B438" s="8" t="str">
        <f>'Criaturas - Base de Dados'!B74</f>
        <v>Abismo Glacial</v>
      </c>
      <c r="C438" s="8" t="str">
        <f>'Criaturas - Base de Dados'!C74</f>
        <v>Gelo</v>
      </c>
      <c r="D438" s="8" t="str">
        <f>'Criaturas - Base de Dados'!D74</f>
        <v>Amarok, o Lobo Gigante</v>
      </c>
      <c r="E438" s="8" t="str">
        <f>'Sistema de Raridade e Evolução'!B6</f>
        <v>Platina</v>
      </c>
      <c r="F438" s="9">
        <f>ROUND(('Criaturas - Base de Dados'!H74*'Sistema de Raridade e Evolução'!E6)*1000,2)</f>
        <v>1700000</v>
      </c>
      <c r="G438" s="8">
        <f>ROUND('Criaturas - Base de Dados'!I74*'Sistema de Raridade e Evolução'!E6,0)</f>
        <v>1000</v>
      </c>
      <c r="H438" s="8">
        <f>ROUND('Criaturas - Base de Dados'!J74*'Sistema de Raridade e Evolução'!E6,0)</f>
        <v>850</v>
      </c>
      <c r="I438" s="8">
        <f>ROUND('Criaturas - Base de Dados'!K74*'Sistema de Raridade e Evolução'!E6,0)</f>
        <v>5450</v>
      </c>
      <c r="J438" s="8">
        <f>'Sistema de Raridade e Evolução'!D6</f>
        <v>56</v>
      </c>
      <c r="K438" s="8" t="s">
        <v>12</v>
      </c>
      <c r="L438" s="9">
        <f t="shared" si="6"/>
        <v>4047619.05</v>
      </c>
    </row>
    <row r="439" spans="1:12" ht="14.25" hidden="1" customHeight="1" x14ac:dyDescent="0.3">
      <c r="A439" s="8">
        <v>438</v>
      </c>
      <c r="B439" s="8" t="str">
        <f>'Criaturas - Base de Dados'!B74</f>
        <v>Abismo Glacial</v>
      </c>
      <c r="C439" s="8" t="str">
        <f>'Criaturas - Base de Dados'!C74</f>
        <v>Gelo</v>
      </c>
      <c r="D439" s="8" t="str">
        <f>'Criaturas - Base de Dados'!D74</f>
        <v>Amarok, o Lobo Gigante</v>
      </c>
      <c r="E439" s="8" t="str">
        <f>'Sistema de Raridade e Evolução'!B7</f>
        <v>Lendário</v>
      </c>
      <c r="F439" s="9">
        <f>ROUND(('Criaturas - Base de Dados'!H74*'Sistema de Raridade e Evolução'!E7)*1000,2)</f>
        <v>5100000</v>
      </c>
      <c r="G439" s="8">
        <f>ROUND('Criaturas - Base de Dados'!I74*'Sistema de Raridade e Evolução'!E7,0)</f>
        <v>3000</v>
      </c>
      <c r="H439" s="8">
        <f>ROUND('Criaturas - Base de Dados'!J74*'Sistema de Raridade e Evolução'!E7,0)</f>
        <v>2550</v>
      </c>
      <c r="I439" s="8">
        <f>ROUND('Criaturas - Base de Dados'!K74*'Sistema de Raridade e Evolução'!E7,0)</f>
        <v>16350</v>
      </c>
      <c r="J439" s="8">
        <f>'Sistema de Raridade e Evolução'!D7</f>
        <v>91</v>
      </c>
      <c r="K439" s="8" t="s">
        <v>925</v>
      </c>
      <c r="L439" s="9">
        <f t="shared" si="6"/>
        <v>12142857.140000001</v>
      </c>
    </row>
    <row r="440" spans="1:12" ht="14.25" customHeight="1" x14ac:dyDescent="0.3">
      <c r="A440" s="8">
        <v>439</v>
      </c>
      <c r="B440" s="8" t="str">
        <f>'Criaturas - Base de Dados'!B75</f>
        <v>Abismo Glacial</v>
      </c>
      <c r="C440" s="8" t="str">
        <f>'Criaturas - Base de Dados'!C75</f>
        <v>Gelo</v>
      </c>
      <c r="D440" s="8" t="str">
        <f>'Criaturas - Base de Dados'!D75</f>
        <v>Qalupalik das Águas Frias</v>
      </c>
      <c r="E440" s="8" t="str">
        <f>'Sistema de Raridade e Evolução'!B2</f>
        <v>Default</v>
      </c>
      <c r="F440" s="9" t="e">
        <f>ROUND(('Criaturas - Base de Dados'!H75*'Sistema de Raridade e Evolução'!E2)*1000,2)</f>
        <v>#VALUE!</v>
      </c>
      <c r="G440" s="8" t="e">
        <f>ROUND('Criaturas - Base de Dados'!I75*'Sistema de Raridade e Evolução'!E2,0)</f>
        <v>#VALUE!</v>
      </c>
      <c r="H440" s="8" t="e">
        <f>ROUND('Criaturas - Base de Dados'!J75*'Sistema de Raridade e Evolução'!E2,0)</f>
        <v>#VALUE!</v>
      </c>
      <c r="I440" s="8" t="e">
        <f>ROUND('Criaturas - Base de Dados'!K75*'Sistema de Raridade e Evolução'!E2,0)</f>
        <v>#VALUE!</v>
      </c>
      <c r="J440" s="8">
        <f>'Sistema de Raridade e Evolução'!D2</f>
        <v>1</v>
      </c>
      <c r="K440" s="8" t="s">
        <v>8</v>
      </c>
      <c r="L440" s="9" t="e">
        <f t="shared" si="6"/>
        <v>#VALUE!</v>
      </c>
    </row>
    <row r="441" spans="1:12" ht="14.25" hidden="1" customHeight="1" x14ac:dyDescent="0.3">
      <c r="A441" s="8">
        <v>440</v>
      </c>
      <c r="B441" s="8" t="str">
        <f>'Criaturas - Base de Dados'!B75</f>
        <v>Abismo Glacial</v>
      </c>
      <c r="C441" s="8" t="str">
        <f>'Criaturas - Base de Dados'!C75</f>
        <v>Gelo</v>
      </c>
      <c r="D441" s="8" t="str">
        <f>'Criaturas - Base de Dados'!D75</f>
        <v>Qalupalik das Águas Frias</v>
      </c>
      <c r="E441" s="8" t="str">
        <f>'Sistema de Raridade e Evolução'!B3</f>
        <v>Bronze</v>
      </c>
      <c r="F441" s="9">
        <f>ROUND(('Criaturas - Base de Dados'!H75*'Sistema de Raridade e Evolução'!E3)*1000,2)</f>
        <v>36000</v>
      </c>
      <c r="G441" s="8">
        <f>ROUND('Criaturas - Base de Dados'!I75*'Sistema de Raridade e Evolução'!E3,0)</f>
        <v>22</v>
      </c>
      <c r="H441" s="8">
        <f>ROUND('Criaturas - Base de Dados'!J75*'Sistema de Raridade e Evolução'!E3,0)</f>
        <v>18</v>
      </c>
      <c r="I441" s="8">
        <f>ROUND('Criaturas - Base de Dados'!K75*'Sistema de Raridade e Evolução'!E3,0)</f>
        <v>115</v>
      </c>
      <c r="J441" s="8">
        <f>'Sistema de Raridade e Evolução'!D3</f>
        <v>6</v>
      </c>
      <c r="K441" s="8" t="s">
        <v>9</v>
      </c>
      <c r="L441" s="9">
        <f t="shared" si="6"/>
        <v>85714.29</v>
      </c>
    </row>
    <row r="442" spans="1:12" ht="14.25" hidden="1" customHeight="1" x14ac:dyDescent="0.3">
      <c r="A442" s="8">
        <v>441</v>
      </c>
      <c r="B442" s="8" t="str">
        <f>'Criaturas - Base de Dados'!B75</f>
        <v>Abismo Glacial</v>
      </c>
      <c r="C442" s="8" t="str">
        <f>'Criaturas - Base de Dados'!C75</f>
        <v>Gelo</v>
      </c>
      <c r="D442" s="8" t="str">
        <f>'Criaturas - Base de Dados'!D75</f>
        <v>Qalupalik das Águas Frias</v>
      </c>
      <c r="E442" s="8" t="str">
        <f>'Sistema de Raridade e Evolução'!B4</f>
        <v>Prata</v>
      </c>
      <c r="F442" s="9">
        <f>ROUND(('Criaturas - Base de Dados'!H75*'Sistema de Raridade e Evolução'!E4)*1000,2)</f>
        <v>216000</v>
      </c>
      <c r="G442" s="8">
        <f>ROUND('Criaturas - Base de Dados'!I75*'Sistema de Raridade e Evolução'!E4,0)</f>
        <v>132</v>
      </c>
      <c r="H442" s="8">
        <f>ROUND('Criaturas - Base de Dados'!J75*'Sistema de Raridade e Evolução'!E4,0)</f>
        <v>108</v>
      </c>
      <c r="I442" s="8">
        <f>ROUND('Criaturas - Base de Dados'!K75*'Sistema de Raridade e Evolução'!E4,0)</f>
        <v>690</v>
      </c>
      <c r="J442" s="8">
        <f>'Sistema de Raridade e Evolução'!D4</f>
        <v>16</v>
      </c>
      <c r="K442" s="8" t="s">
        <v>10</v>
      </c>
      <c r="L442" s="9">
        <f t="shared" si="6"/>
        <v>514285.71</v>
      </c>
    </row>
    <row r="443" spans="1:12" ht="14.25" hidden="1" customHeight="1" x14ac:dyDescent="0.3">
      <c r="A443" s="8">
        <v>442</v>
      </c>
      <c r="B443" s="8" t="str">
        <f>'Criaturas - Base de Dados'!B75</f>
        <v>Abismo Glacial</v>
      </c>
      <c r="C443" s="8" t="str">
        <f>'Criaturas - Base de Dados'!C75</f>
        <v>Gelo</v>
      </c>
      <c r="D443" s="8" t="str">
        <f>'Criaturas - Base de Dados'!D75</f>
        <v>Qalupalik das Águas Frias</v>
      </c>
      <c r="E443" s="8" t="str">
        <f>'Sistema de Raridade e Evolução'!B5</f>
        <v>Ouro</v>
      </c>
      <c r="F443" s="9">
        <f>ROUND(('Criaturas - Base de Dados'!H75*'Sistema de Raridade e Evolução'!E5)*1000,2)</f>
        <v>648000</v>
      </c>
      <c r="G443" s="8">
        <f>ROUND('Criaturas - Base de Dados'!I75*'Sistema de Raridade e Evolução'!E5,0)</f>
        <v>396</v>
      </c>
      <c r="H443" s="8">
        <f>ROUND('Criaturas - Base de Dados'!J75*'Sistema de Raridade e Evolução'!E5,0)</f>
        <v>324</v>
      </c>
      <c r="I443" s="8">
        <f>ROUND('Criaturas - Base de Dados'!K75*'Sistema de Raridade e Evolução'!E5,0)</f>
        <v>2070</v>
      </c>
      <c r="J443" s="8">
        <f>'Sistema de Raridade e Evolução'!D5</f>
        <v>31</v>
      </c>
      <c r="K443" s="8" t="s">
        <v>11</v>
      </c>
      <c r="L443" s="9">
        <f t="shared" si="6"/>
        <v>1542857.14</v>
      </c>
    </row>
    <row r="444" spans="1:12" ht="14.25" hidden="1" customHeight="1" x14ac:dyDescent="0.3">
      <c r="A444" s="8">
        <v>443</v>
      </c>
      <c r="B444" s="8" t="str">
        <f>'Criaturas - Base de Dados'!B75</f>
        <v>Abismo Glacial</v>
      </c>
      <c r="C444" s="8" t="str">
        <f>'Criaturas - Base de Dados'!C75</f>
        <v>Gelo</v>
      </c>
      <c r="D444" s="8" t="str">
        <f>'Criaturas - Base de Dados'!D75</f>
        <v>Qalupalik das Águas Frias</v>
      </c>
      <c r="E444" s="8" t="str">
        <f>'Sistema de Raridade e Evolução'!B6</f>
        <v>Platina</v>
      </c>
      <c r="F444" s="9">
        <f>ROUND(('Criaturas - Base de Dados'!H75*'Sistema de Raridade e Evolução'!E6)*1000,2)</f>
        <v>1800000</v>
      </c>
      <c r="G444" s="8">
        <f>ROUND('Criaturas - Base de Dados'!I75*'Sistema de Raridade e Evolução'!E6,0)</f>
        <v>1100</v>
      </c>
      <c r="H444" s="8">
        <f>ROUND('Criaturas - Base de Dados'!J75*'Sistema de Raridade e Evolução'!E6,0)</f>
        <v>900</v>
      </c>
      <c r="I444" s="8">
        <f>ROUND('Criaturas - Base de Dados'!K75*'Sistema de Raridade e Evolução'!E6,0)</f>
        <v>5750</v>
      </c>
      <c r="J444" s="8">
        <f>'Sistema de Raridade e Evolução'!D6</f>
        <v>56</v>
      </c>
      <c r="K444" s="8" t="s">
        <v>12</v>
      </c>
      <c r="L444" s="9">
        <f t="shared" si="6"/>
        <v>4285714.29</v>
      </c>
    </row>
    <row r="445" spans="1:12" ht="14.25" hidden="1" customHeight="1" x14ac:dyDescent="0.3">
      <c r="A445" s="8">
        <v>444</v>
      </c>
      <c r="B445" s="8" t="str">
        <f>'Criaturas - Base de Dados'!B75</f>
        <v>Abismo Glacial</v>
      </c>
      <c r="C445" s="8" t="str">
        <f>'Criaturas - Base de Dados'!C75</f>
        <v>Gelo</v>
      </c>
      <c r="D445" s="8" t="str">
        <f>'Criaturas - Base de Dados'!D75</f>
        <v>Qalupalik das Águas Frias</v>
      </c>
      <c r="E445" s="8" t="str">
        <f>'Sistema de Raridade e Evolução'!B7</f>
        <v>Lendário</v>
      </c>
      <c r="F445" s="9">
        <f>ROUND(('Criaturas - Base de Dados'!H75*'Sistema de Raridade e Evolução'!E7)*1000,2)</f>
        <v>5400000</v>
      </c>
      <c r="G445" s="8">
        <f>ROUND('Criaturas - Base de Dados'!I75*'Sistema de Raridade e Evolução'!E7,0)</f>
        <v>3300</v>
      </c>
      <c r="H445" s="8">
        <f>ROUND('Criaturas - Base de Dados'!J75*'Sistema de Raridade e Evolução'!E7,0)</f>
        <v>2700</v>
      </c>
      <c r="I445" s="8">
        <f>ROUND('Criaturas - Base de Dados'!K75*'Sistema de Raridade e Evolução'!E7,0)</f>
        <v>17250</v>
      </c>
      <c r="J445" s="8">
        <f>'Sistema de Raridade e Evolução'!D7</f>
        <v>91</v>
      </c>
      <c r="K445" s="8" t="s">
        <v>925</v>
      </c>
      <c r="L445" s="9">
        <f t="shared" si="6"/>
        <v>12857142.859999999</v>
      </c>
    </row>
    <row r="446" spans="1:12" ht="14.25" customHeight="1" x14ac:dyDescent="0.3">
      <c r="A446" s="8">
        <v>445</v>
      </c>
      <c r="B446" s="8" t="str">
        <f>'Criaturas - Base de Dados'!B76</f>
        <v>Abismo Glacial</v>
      </c>
      <c r="C446" s="8" t="str">
        <f>'Criaturas - Base de Dados'!C76</f>
        <v>Gelo</v>
      </c>
      <c r="D446" s="8" t="str">
        <f>'Criaturas - Base de Dados'!D76</f>
        <v>Tupilaq Vingativo</v>
      </c>
      <c r="E446" s="8" t="str">
        <f>'Sistema de Raridade e Evolução'!B2</f>
        <v>Default</v>
      </c>
      <c r="F446" s="9" t="e">
        <f>ROUND(('Criaturas - Base de Dados'!H76*'Sistema de Raridade e Evolução'!E2)*1000,2)</f>
        <v>#VALUE!</v>
      </c>
      <c r="G446" s="8" t="e">
        <f>ROUND('Criaturas - Base de Dados'!I76*'Sistema de Raridade e Evolução'!E2,0)</f>
        <v>#VALUE!</v>
      </c>
      <c r="H446" s="8" t="e">
        <f>ROUND('Criaturas - Base de Dados'!J76*'Sistema de Raridade e Evolução'!E2,0)</f>
        <v>#VALUE!</v>
      </c>
      <c r="I446" s="8" t="e">
        <f>ROUND('Criaturas - Base de Dados'!K76*'Sistema de Raridade e Evolução'!E2,0)</f>
        <v>#VALUE!</v>
      </c>
      <c r="J446" s="8">
        <f>'Sistema de Raridade e Evolução'!D2</f>
        <v>1</v>
      </c>
      <c r="K446" s="8" t="s">
        <v>8</v>
      </c>
      <c r="L446" s="9" t="e">
        <f t="shared" si="6"/>
        <v>#VALUE!</v>
      </c>
    </row>
    <row r="447" spans="1:12" ht="14.25" hidden="1" customHeight="1" x14ac:dyDescent="0.3">
      <c r="A447" s="8">
        <v>446</v>
      </c>
      <c r="B447" s="8" t="str">
        <f>'Criaturas - Base de Dados'!B76</f>
        <v>Abismo Glacial</v>
      </c>
      <c r="C447" s="8" t="str">
        <f>'Criaturas - Base de Dados'!C76</f>
        <v>Gelo</v>
      </c>
      <c r="D447" s="8" t="str">
        <f>'Criaturas - Base de Dados'!D76</f>
        <v>Tupilaq Vingativo</v>
      </c>
      <c r="E447" s="8" t="str">
        <f>'Sistema de Raridade e Evolução'!B3</f>
        <v>Bronze</v>
      </c>
      <c r="F447" s="9">
        <f>ROUND(('Criaturas - Base de Dados'!H76*'Sistema de Raridade e Evolução'!E3)*1000,2)</f>
        <v>38000</v>
      </c>
      <c r="G447" s="8">
        <f>ROUND('Criaturas - Base de Dados'!I76*'Sistema de Raridade e Evolução'!E3,0)</f>
        <v>23</v>
      </c>
      <c r="H447" s="8">
        <f>ROUND('Criaturas - Base de Dados'!J76*'Sistema de Raridade e Evolução'!E3,0)</f>
        <v>19</v>
      </c>
      <c r="I447" s="8">
        <f>ROUND('Criaturas - Base de Dados'!K76*'Sistema de Raridade e Evolução'!E3,0)</f>
        <v>122</v>
      </c>
      <c r="J447" s="8">
        <f>'Sistema de Raridade e Evolução'!D3</f>
        <v>6</v>
      </c>
      <c r="K447" s="8" t="s">
        <v>9</v>
      </c>
      <c r="L447" s="9">
        <f t="shared" si="6"/>
        <v>90476.19</v>
      </c>
    </row>
    <row r="448" spans="1:12" ht="14.25" hidden="1" customHeight="1" x14ac:dyDescent="0.3">
      <c r="A448" s="8">
        <v>447</v>
      </c>
      <c r="B448" s="8" t="str">
        <f>'Criaturas - Base de Dados'!B76</f>
        <v>Abismo Glacial</v>
      </c>
      <c r="C448" s="8" t="str">
        <f>'Criaturas - Base de Dados'!C76</f>
        <v>Gelo</v>
      </c>
      <c r="D448" s="8" t="str">
        <f>'Criaturas - Base de Dados'!D76</f>
        <v>Tupilaq Vingativo</v>
      </c>
      <c r="E448" s="8" t="str">
        <f>'Sistema de Raridade e Evolução'!B4</f>
        <v>Prata</v>
      </c>
      <c r="F448" s="9">
        <f>ROUND(('Criaturas - Base de Dados'!H76*'Sistema de Raridade e Evolução'!E4)*1000,2)</f>
        <v>228000</v>
      </c>
      <c r="G448" s="8">
        <f>ROUND('Criaturas - Base de Dados'!I76*'Sistema de Raridade e Evolução'!E4,0)</f>
        <v>138</v>
      </c>
      <c r="H448" s="8">
        <f>ROUND('Criaturas - Base de Dados'!J76*'Sistema de Raridade e Evolução'!E4,0)</f>
        <v>114</v>
      </c>
      <c r="I448" s="8">
        <f>ROUND('Criaturas - Base de Dados'!K76*'Sistema de Raridade e Evolução'!E4,0)</f>
        <v>732</v>
      </c>
      <c r="J448" s="8">
        <f>'Sistema de Raridade e Evolução'!D4</f>
        <v>16</v>
      </c>
      <c r="K448" s="8" t="s">
        <v>10</v>
      </c>
      <c r="L448" s="9">
        <f t="shared" si="6"/>
        <v>542857.14</v>
      </c>
    </row>
    <row r="449" spans="1:12" ht="14.25" hidden="1" customHeight="1" x14ac:dyDescent="0.3">
      <c r="A449" s="8">
        <v>448</v>
      </c>
      <c r="B449" s="8" t="str">
        <f>'Criaturas - Base de Dados'!B76</f>
        <v>Abismo Glacial</v>
      </c>
      <c r="C449" s="8" t="str">
        <f>'Criaturas - Base de Dados'!C76</f>
        <v>Gelo</v>
      </c>
      <c r="D449" s="8" t="str">
        <f>'Criaturas - Base de Dados'!D76</f>
        <v>Tupilaq Vingativo</v>
      </c>
      <c r="E449" s="8" t="str">
        <f>'Sistema de Raridade e Evolução'!B5</f>
        <v>Ouro</v>
      </c>
      <c r="F449" s="9">
        <f>ROUND(('Criaturas - Base de Dados'!H76*'Sistema de Raridade e Evolução'!E5)*1000,2)</f>
        <v>684000</v>
      </c>
      <c r="G449" s="8">
        <f>ROUND('Criaturas - Base de Dados'!I76*'Sistema de Raridade e Evolução'!E5,0)</f>
        <v>414</v>
      </c>
      <c r="H449" s="8">
        <f>ROUND('Criaturas - Base de Dados'!J76*'Sistema de Raridade e Evolução'!E5,0)</f>
        <v>342</v>
      </c>
      <c r="I449" s="8">
        <f>ROUND('Criaturas - Base de Dados'!K76*'Sistema de Raridade e Evolução'!E5,0)</f>
        <v>2196</v>
      </c>
      <c r="J449" s="8">
        <f>'Sistema de Raridade e Evolução'!D5</f>
        <v>31</v>
      </c>
      <c r="K449" s="8" t="s">
        <v>11</v>
      </c>
      <c r="L449" s="9">
        <f t="shared" si="6"/>
        <v>1628571.43</v>
      </c>
    </row>
    <row r="450" spans="1:12" ht="14.25" hidden="1" customHeight="1" x14ac:dyDescent="0.3">
      <c r="A450" s="8">
        <v>449</v>
      </c>
      <c r="B450" s="8" t="str">
        <f>'Criaturas - Base de Dados'!B76</f>
        <v>Abismo Glacial</v>
      </c>
      <c r="C450" s="8" t="str">
        <f>'Criaturas - Base de Dados'!C76</f>
        <v>Gelo</v>
      </c>
      <c r="D450" s="8" t="str">
        <f>'Criaturas - Base de Dados'!D76</f>
        <v>Tupilaq Vingativo</v>
      </c>
      <c r="E450" s="8" t="str">
        <f>'Sistema de Raridade e Evolução'!B6</f>
        <v>Platina</v>
      </c>
      <c r="F450" s="9">
        <f>ROUND(('Criaturas - Base de Dados'!H76*'Sistema de Raridade e Evolução'!E6)*1000,2)</f>
        <v>1900000</v>
      </c>
      <c r="G450" s="8">
        <f>ROUND('Criaturas - Base de Dados'!I76*'Sistema de Raridade e Evolução'!E6,0)</f>
        <v>1150</v>
      </c>
      <c r="H450" s="8">
        <f>ROUND('Criaturas - Base de Dados'!J76*'Sistema de Raridade e Evolução'!E6,0)</f>
        <v>950</v>
      </c>
      <c r="I450" s="8">
        <f>ROUND('Criaturas - Base de Dados'!K76*'Sistema de Raridade e Evolução'!E6,0)</f>
        <v>6100</v>
      </c>
      <c r="J450" s="8">
        <f>'Sistema de Raridade e Evolução'!D6</f>
        <v>56</v>
      </c>
      <c r="K450" s="8" t="s">
        <v>12</v>
      </c>
      <c r="L450" s="9">
        <f t="shared" ref="L450:L513" si="7">ROUND(F450*(2.5/1.05),2)</f>
        <v>4523809.5199999996</v>
      </c>
    </row>
    <row r="451" spans="1:12" ht="14.25" hidden="1" customHeight="1" x14ac:dyDescent="0.3">
      <c r="A451" s="8">
        <v>450</v>
      </c>
      <c r="B451" s="8" t="str">
        <f>'Criaturas - Base de Dados'!B76</f>
        <v>Abismo Glacial</v>
      </c>
      <c r="C451" s="8" t="str">
        <f>'Criaturas - Base de Dados'!C76</f>
        <v>Gelo</v>
      </c>
      <c r="D451" s="8" t="str">
        <f>'Criaturas - Base de Dados'!D76</f>
        <v>Tupilaq Vingativo</v>
      </c>
      <c r="E451" s="8" t="str">
        <f>'Sistema de Raridade e Evolução'!B7</f>
        <v>Lendário</v>
      </c>
      <c r="F451" s="9">
        <f>ROUND(('Criaturas - Base de Dados'!H76*'Sistema de Raridade e Evolução'!E7)*1000,2)</f>
        <v>5700000</v>
      </c>
      <c r="G451" s="8">
        <f>ROUND('Criaturas - Base de Dados'!I76*'Sistema de Raridade e Evolução'!E7,0)</f>
        <v>3450</v>
      </c>
      <c r="H451" s="8">
        <f>ROUND('Criaturas - Base de Dados'!J76*'Sistema de Raridade e Evolução'!E7,0)</f>
        <v>2850</v>
      </c>
      <c r="I451" s="8">
        <f>ROUND('Criaturas - Base de Dados'!K76*'Sistema de Raridade e Evolução'!E7,0)</f>
        <v>18300</v>
      </c>
      <c r="J451" s="8">
        <f>'Sistema de Raridade e Evolução'!D7</f>
        <v>91</v>
      </c>
      <c r="K451" s="8" t="s">
        <v>925</v>
      </c>
      <c r="L451" s="9">
        <f t="shared" si="7"/>
        <v>13571428.57</v>
      </c>
    </row>
    <row r="452" spans="1:12" ht="14.25" customHeight="1" x14ac:dyDescent="0.3">
      <c r="A452" s="8">
        <v>451</v>
      </c>
      <c r="B452" s="8" t="str">
        <f>'Criaturas - Base de Dados'!B77</f>
        <v>Abismo Glacial</v>
      </c>
      <c r="C452" s="8" t="str">
        <f>'Criaturas - Base de Dados'!C77</f>
        <v>Gelo</v>
      </c>
      <c r="D452" s="8" t="str">
        <f>'Criaturas - Base de Dados'!D77</f>
        <v>Fênix Glacial</v>
      </c>
      <c r="E452" s="8" t="str">
        <f>'Sistema de Raridade e Evolução'!B2</f>
        <v>Default</v>
      </c>
      <c r="F452" s="9" t="e">
        <f>ROUND(('Criaturas - Base de Dados'!H77*'Sistema de Raridade e Evolução'!E2)*1000,2)</f>
        <v>#VALUE!</v>
      </c>
      <c r="G452" s="8" t="e">
        <f>ROUND('Criaturas - Base de Dados'!I77*'Sistema de Raridade e Evolução'!E2,0)</f>
        <v>#VALUE!</v>
      </c>
      <c r="H452" s="8" t="e">
        <f>ROUND('Criaturas - Base de Dados'!J77*'Sistema de Raridade e Evolução'!E2,0)</f>
        <v>#VALUE!</v>
      </c>
      <c r="I452" s="8" t="e">
        <f>ROUND('Criaturas - Base de Dados'!K77*'Sistema de Raridade e Evolução'!E2,0)</f>
        <v>#VALUE!</v>
      </c>
      <c r="J452" s="8">
        <f>'Sistema de Raridade e Evolução'!D2</f>
        <v>1</v>
      </c>
      <c r="K452" s="8" t="s">
        <v>8</v>
      </c>
      <c r="L452" s="9" t="e">
        <f t="shared" si="7"/>
        <v>#VALUE!</v>
      </c>
    </row>
    <row r="453" spans="1:12" ht="14.25" hidden="1" customHeight="1" x14ac:dyDescent="0.3">
      <c r="A453" s="8">
        <v>452</v>
      </c>
      <c r="B453" s="8" t="str">
        <f>'Criaturas - Base de Dados'!B77</f>
        <v>Abismo Glacial</v>
      </c>
      <c r="C453" s="8" t="str">
        <f>'Criaturas - Base de Dados'!C77</f>
        <v>Gelo</v>
      </c>
      <c r="D453" s="8" t="str">
        <f>'Criaturas - Base de Dados'!D77</f>
        <v>Fênix Glacial</v>
      </c>
      <c r="E453" s="8" t="str">
        <f>'Sistema de Raridade e Evolução'!B3</f>
        <v>Bronze</v>
      </c>
      <c r="F453" s="9">
        <f>ROUND(('Criaturas - Base de Dados'!H77*'Sistema de Raridade e Evolução'!E3)*1000,2)</f>
        <v>54000</v>
      </c>
      <c r="G453" s="8">
        <f>ROUND('Criaturas - Base de Dados'!I77*'Sistema de Raridade e Evolução'!E3,0)</f>
        <v>32</v>
      </c>
      <c r="H453" s="8">
        <f>ROUND('Criaturas - Base de Dados'!J77*'Sistema de Raridade e Evolução'!E3,0)</f>
        <v>27</v>
      </c>
      <c r="I453" s="8">
        <f>ROUND('Criaturas - Base de Dados'!K77*'Sistema de Raridade e Evolução'!E3,0)</f>
        <v>173</v>
      </c>
      <c r="J453" s="8">
        <f>'Sistema de Raridade e Evolução'!D3</f>
        <v>6</v>
      </c>
      <c r="K453" s="8" t="s">
        <v>9</v>
      </c>
      <c r="L453" s="9">
        <f t="shared" si="7"/>
        <v>128571.43</v>
      </c>
    </row>
    <row r="454" spans="1:12" ht="14.25" hidden="1" customHeight="1" x14ac:dyDescent="0.3">
      <c r="A454" s="8">
        <v>453</v>
      </c>
      <c r="B454" s="8" t="str">
        <f>'Criaturas - Base de Dados'!B77</f>
        <v>Abismo Glacial</v>
      </c>
      <c r="C454" s="8" t="str">
        <f>'Criaturas - Base de Dados'!C77</f>
        <v>Gelo</v>
      </c>
      <c r="D454" s="8" t="str">
        <f>'Criaturas - Base de Dados'!D77</f>
        <v>Fênix Glacial</v>
      </c>
      <c r="E454" s="8" t="str">
        <f>'Sistema de Raridade e Evolução'!B4</f>
        <v>Prata</v>
      </c>
      <c r="F454" s="9">
        <f>ROUND(('Criaturas - Base de Dados'!H77*'Sistema de Raridade e Evolução'!E4)*1000,2)</f>
        <v>324000</v>
      </c>
      <c r="G454" s="8">
        <f>ROUND('Criaturas - Base de Dados'!I77*'Sistema de Raridade e Evolução'!E4,0)</f>
        <v>192</v>
      </c>
      <c r="H454" s="8">
        <f>ROUND('Criaturas - Base de Dados'!J77*'Sistema de Raridade e Evolução'!E4,0)</f>
        <v>162</v>
      </c>
      <c r="I454" s="8">
        <f>ROUND('Criaturas - Base de Dados'!K77*'Sistema de Raridade e Evolução'!E4,0)</f>
        <v>1038</v>
      </c>
      <c r="J454" s="8">
        <f>'Sistema de Raridade e Evolução'!D4</f>
        <v>16</v>
      </c>
      <c r="K454" s="8" t="s">
        <v>10</v>
      </c>
      <c r="L454" s="9">
        <f t="shared" si="7"/>
        <v>771428.57</v>
      </c>
    </row>
    <row r="455" spans="1:12" ht="14.25" hidden="1" customHeight="1" x14ac:dyDescent="0.3">
      <c r="A455" s="8">
        <v>454</v>
      </c>
      <c r="B455" s="8" t="str">
        <f>'Criaturas - Base de Dados'!B77</f>
        <v>Abismo Glacial</v>
      </c>
      <c r="C455" s="8" t="str">
        <f>'Criaturas - Base de Dados'!C77</f>
        <v>Gelo</v>
      </c>
      <c r="D455" s="8" t="str">
        <f>'Criaturas - Base de Dados'!D77</f>
        <v>Fênix Glacial</v>
      </c>
      <c r="E455" s="8" t="str">
        <f>'Sistema de Raridade e Evolução'!B5</f>
        <v>Ouro</v>
      </c>
      <c r="F455" s="9">
        <f>ROUND(('Criaturas - Base de Dados'!H77*'Sistema de Raridade e Evolução'!E5)*1000,2)</f>
        <v>972000</v>
      </c>
      <c r="G455" s="8">
        <f>ROUND('Criaturas - Base de Dados'!I77*'Sistema de Raridade e Evolução'!E5,0)</f>
        <v>576</v>
      </c>
      <c r="H455" s="8">
        <f>ROUND('Criaturas - Base de Dados'!J77*'Sistema de Raridade e Evolução'!E5,0)</f>
        <v>486</v>
      </c>
      <c r="I455" s="8">
        <f>ROUND('Criaturas - Base de Dados'!K77*'Sistema de Raridade e Evolução'!E5,0)</f>
        <v>3114</v>
      </c>
      <c r="J455" s="8">
        <f>'Sistema de Raridade e Evolução'!D5</f>
        <v>31</v>
      </c>
      <c r="K455" s="8" t="s">
        <v>11</v>
      </c>
      <c r="L455" s="9">
        <f t="shared" si="7"/>
        <v>2314285.71</v>
      </c>
    </row>
    <row r="456" spans="1:12" ht="14.25" hidden="1" customHeight="1" x14ac:dyDescent="0.3">
      <c r="A456" s="8">
        <v>455</v>
      </c>
      <c r="B456" s="8" t="str">
        <f>'Criaturas - Base de Dados'!B77</f>
        <v>Abismo Glacial</v>
      </c>
      <c r="C456" s="8" t="str">
        <f>'Criaturas - Base de Dados'!C77</f>
        <v>Gelo</v>
      </c>
      <c r="D456" s="8" t="str">
        <f>'Criaturas - Base de Dados'!D77</f>
        <v>Fênix Glacial</v>
      </c>
      <c r="E456" s="8" t="str">
        <f>'Sistema de Raridade e Evolução'!B6</f>
        <v>Platina</v>
      </c>
      <c r="F456" s="9">
        <f>ROUND(('Criaturas - Base de Dados'!H77*'Sistema de Raridade e Evolução'!E6)*1000,2)</f>
        <v>2700000</v>
      </c>
      <c r="G456" s="8">
        <f>ROUND('Criaturas - Base de Dados'!I77*'Sistema de Raridade e Evolução'!E6,0)</f>
        <v>1600</v>
      </c>
      <c r="H456" s="8">
        <f>ROUND('Criaturas - Base de Dados'!J77*'Sistema de Raridade e Evolução'!E6,0)</f>
        <v>1350</v>
      </c>
      <c r="I456" s="8">
        <f>ROUND('Criaturas - Base de Dados'!K77*'Sistema de Raridade e Evolução'!E6,0)</f>
        <v>8650</v>
      </c>
      <c r="J456" s="8">
        <f>'Sistema de Raridade e Evolução'!D6</f>
        <v>56</v>
      </c>
      <c r="K456" s="8" t="s">
        <v>12</v>
      </c>
      <c r="L456" s="9">
        <f t="shared" si="7"/>
        <v>6428571.4299999997</v>
      </c>
    </row>
    <row r="457" spans="1:12" ht="14.25" hidden="1" customHeight="1" x14ac:dyDescent="0.3">
      <c r="A457" s="8">
        <v>456</v>
      </c>
      <c r="B457" s="8" t="str">
        <f>'Criaturas - Base de Dados'!B77</f>
        <v>Abismo Glacial</v>
      </c>
      <c r="C457" s="8" t="str">
        <f>'Criaturas - Base de Dados'!C77</f>
        <v>Gelo</v>
      </c>
      <c r="D457" s="8" t="str">
        <f>'Criaturas - Base de Dados'!D77</f>
        <v>Fênix Glacial</v>
      </c>
      <c r="E457" s="8" t="str">
        <f>'Sistema de Raridade e Evolução'!B7</f>
        <v>Lendário</v>
      </c>
      <c r="F457" s="9">
        <f>ROUND(('Criaturas - Base de Dados'!H77*'Sistema de Raridade e Evolução'!E7)*1000,2)</f>
        <v>8100000</v>
      </c>
      <c r="G457" s="8">
        <f>ROUND('Criaturas - Base de Dados'!I77*'Sistema de Raridade e Evolução'!E7,0)</f>
        <v>4800</v>
      </c>
      <c r="H457" s="8">
        <f>ROUND('Criaturas - Base de Dados'!J77*'Sistema de Raridade e Evolução'!E7,0)</f>
        <v>4050</v>
      </c>
      <c r="I457" s="8">
        <f>ROUND('Criaturas - Base de Dados'!K77*'Sistema de Raridade e Evolução'!E7,0)</f>
        <v>25950</v>
      </c>
      <c r="J457" s="8">
        <f>'Sistema de Raridade e Evolução'!D7</f>
        <v>91</v>
      </c>
      <c r="K457" s="8" t="s">
        <v>925</v>
      </c>
      <c r="L457" s="9">
        <f t="shared" si="7"/>
        <v>19285714.289999999</v>
      </c>
    </row>
    <row r="458" spans="1:12" ht="14.25" customHeight="1" x14ac:dyDescent="0.3">
      <c r="A458" s="8">
        <v>457</v>
      </c>
      <c r="B458" s="8" t="str">
        <f>'Criaturas - Base de Dados'!B78</f>
        <v>Abismo Glacial</v>
      </c>
      <c r="C458" s="8" t="str">
        <f>'Criaturas - Base de Dados'!C78</f>
        <v>Gelo</v>
      </c>
      <c r="D458" s="8" t="str">
        <f>'Criaturas - Base de Dados'!D78</f>
        <v>Wyrm Glacial</v>
      </c>
      <c r="E458" s="8" t="str">
        <f>'Sistema de Raridade e Evolução'!B2</f>
        <v>Default</v>
      </c>
      <c r="F458" s="9" t="e">
        <f>ROUND(('Criaturas - Base de Dados'!H78*'Sistema de Raridade e Evolução'!E2)*1000,2)</f>
        <v>#VALUE!</v>
      </c>
      <c r="G458" s="8" t="e">
        <f>ROUND('Criaturas - Base de Dados'!I78*'Sistema de Raridade e Evolução'!E2,0)</f>
        <v>#VALUE!</v>
      </c>
      <c r="H458" s="8" t="e">
        <f>ROUND('Criaturas - Base de Dados'!J78*'Sistema de Raridade e Evolução'!E2,0)</f>
        <v>#VALUE!</v>
      </c>
      <c r="I458" s="8" t="e">
        <f>ROUND('Criaturas - Base de Dados'!K78*'Sistema de Raridade e Evolução'!E2,0)</f>
        <v>#VALUE!</v>
      </c>
      <c r="J458" s="8">
        <f>'Sistema de Raridade e Evolução'!D2</f>
        <v>1</v>
      </c>
      <c r="K458" s="8" t="s">
        <v>8</v>
      </c>
      <c r="L458" s="9" t="e">
        <f t="shared" si="7"/>
        <v>#VALUE!</v>
      </c>
    </row>
    <row r="459" spans="1:12" ht="14.25" hidden="1" customHeight="1" x14ac:dyDescent="0.3">
      <c r="A459" s="8">
        <v>458</v>
      </c>
      <c r="B459" s="8" t="str">
        <f>'Criaturas - Base de Dados'!B78</f>
        <v>Abismo Glacial</v>
      </c>
      <c r="C459" s="8" t="str">
        <f>'Criaturas - Base de Dados'!C78</f>
        <v>Gelo</v>
      </c>
      <c r="D459" s="8" t="str">
        <f>'Criaturas - Base de Dados'!D78</f>
        <v>Wyrm Glacial</v>
      </c>
      <c r="E459" s="8" t="str">
        <f>'Sistema de Raridade e Evolução'!B3</f>
        <v>Bronze</v>
      </c>
      <c r="F459" s="9">
        <f>ROUND(('Criaturas - Base de Dados'!H78*'Sistema de Raridade e Evolução'!E3)*1000,2)</f>
        <v>48000</v>
      </c>
      <c r="G459" s="8">
        <f>ROUND('Criaturas - Base de Dados'!I78*'Sistema de Raridade e Evolução'!E3,0)</f>
        <v>29</v>
      </c>
      <c r="H459" s="8">
        <f>ROUND('Criaturas - Base de Dados'!J78*'Sistema de Raridade e Evolução'!E3,0)</f>
        <v>24</v>
      </c>
      <c r="I459" s="8">
        <f>ROUND('Criaturas - Base de Dados'!K78*'Sistema de Raridade e Evolução'!E3,0)</f>
        <v>154</v>
      </c>
      <c r="J459" s="8">
        <f>'Sistema de Raridade e Evolução'!D3</f>
        <v>6</v>
      </c>
      <c r="K459" s="8" t="s">
        <v>9</v>
      </c>
      <c r="L459" s="9">
        <f t="shared" si="7"/>
        <v>114285.71</v>
      </c>
    </row>
    <row r="460" spans="1:12" ht="14.25" hidden="1" customHeight="1" x14ac:dyDescent="0.3">
      <c r="A460" s="8">
        <v>459</v>
      </c>
      <c r="B460" s="8" t="str">
        <f>'Criaturas - Base de Dados'!B78</f>
        <v>Abismo Glacial</v>
      </c>
      <c r="C460" s="8" t="str">
        <f>'Criaturas - Base de Dados'!C78</f>
        <v>Gelo</v>
      </c>
      <c r="D460" s="8" t="str">
        <f>'Criaturas - Base de Dados'!D78</f>
        <v>Wyrm Glacial</v>
      </c>
      <c r="E460" s="8" t="str">
        <f>'Sistema de Raridade e Evolução'!B4</f>
        <v>Prata</v>
      </c>
      <c r="F460" s="9">
        <f>ROUND(('Criaturas - Base de Dados'!H78*'Sistema de Raridade e Evolução'!E4)*1000,2)</f>
        <v>288000</v>
      </c>
      <c r="G460" s="8">
        <f>ROUND('Criaturas - Base de Dados'!I78*'Sistema de Raridade e Evolução'!E4,0)</f>
        <v>174</v>
      </c>
      <c r="H460" s="8">
        <f>ROUND('Criaturas - Base de Dados'!J78*'Sistema de Raridade e Evolução'!E4,0)</f>
        <v>144</v>
      </c>
      <c r="I460" s="8">
        <f>ROUND('Criaturas - Base de Dados'!K78*'Sistema de Raridade e Evolução'!E4,0)</f>
        <v>924</v>
      </c>
      <c r="J460" s="8">
        <f>'Sistema de Raridade e Evolução'!D4</f>
        <v>16</v>
      </c>
      <c r="K460" s="8" t="s">
        <v>10</v>
      </c>
      <c r="L460" s="9">
        <f t="shared" si="7"/>
        <v>685714.29</v>
      </c>
    </row>
    <row r="461" spans="1:12" ht="14.25" hidden="1" customHeight="1" x14ac:dyDescent="0.3">
      <c r="A461" s="8">
        <v>460</v>
      </c>
      <c r="B461" s="8" t="str">
        <f>'Criaturas - Base de Dados'!B78</f>
        <v>Abismo Glacial</v>
      </c>
      <c r="C461" s="8" t="str">
        <f>'Criaturas - Base de Dados'!C78</f>
        <v>Gelo</v>
      </c>
      <c r="D461" s="8" t="str">
        <f>'Criaturas - Base de Dados'!D78</f>
        <v>Wyrm Glacial</v>
      </c>
      <c r="E461" s="8" t="str">
        <f>'Sistema de Raridade e Evolução'!B5</f>
        <v>Ouro</v>
      </c>
      <c r="F461" s="9">
        <f>ROUND(('Criaturas - Base de Dados'!H78*'Sistema de Raridade e Evolução'!E5)*1000,2)</f>
        <v>864000</v>
      </c>
      <c r="G461" s="8">
        <f>ROUND('Criaturas - Base de Dados'!I78*'Sistema de Raridade e Evolução'!E5,0)</f>
        <v>522</v>
      </c>
      <c r="H461" s="8">
        <f>ROUND('Criaturas - Base de Dados'!J78*'Sistema de Raridade e Evolução'!E5,0)</f>
        <v>432</v>
      </c>
      <c r="I461" s="8">
        <f>ROUND('Criaturas - Base de Dados'!K78*'Sistema de Raridade e Evolução'!E5,0)</f>
        <v>2772</v>
      </c>
      <c r="J461" s="8">
        <f>'Sistema de Raridade e Evolução'!D5</f>
        <v>31</v>
      </c>
      <c r="K461" s="8" t="s">
        <v>11</v>
      </c>
      <c r="L461" s="9">
        <f t="shared" si="7"/>
        <v>2057142.86</v>
      </c>
    </row>
    <row r="462" spans="1:12" ht="14.25" hidden="1" customHeight="1" x14ac:dyDescent="0.3">
      <c r="A462" s="8">
        <v>461</v>
      </c>
      <c r="B462" s="8" t="str">
        <f>'Criaturas - Base de Dados'!B78</f>
        <v>Abismo Glacial</v>
      </c>
      <c r="C462" s="8" t="str">
        <f>'Criaturas - Base de Dados'!C78</f>
        <v>Gelo</v>
      </c>
      <c r="D462" s="8" t="str">
        <f>'Criaturas - Base de Dados'!D78</f>
        <v>Wyrm Glacial</v>
      </c>
      <c r="E462" s="8" t="str">
        <f>'Sistema de Raridade e Evolução'!B6</f>
        <v>Platina</v>
      </c>
      <c r="F462" s="9">
        <f>ROUND(('Criaturas - Base de Dados'!H78*'Sistema de Raridade e Evolução'!E6)*1000,2)</f>
        <v>2400000</v>
      </c>
      <c r="G462" s="8">
        <f>ROUND('Criaturas - Base de Dados'!I78*'Sistema de Raridade e Evolução'!E6,0)</f>
        <v>1450</v>
      </c>
      <c r="H462" s="8">
        <f>ROUND('Criaturas - Base de Dados'!J78*'Sistema de Raridade e Evolução'!E6,0)</f>
        <v>1200</v>
      </c>
      <c r="I462" s="8">
        <f>ROUND('Criaturas - Base de Dados'!K78*'Sistema de Raridade e Evolução'!E6,0)</f>
        <v>7700</v>
      </c>
      <c r="J462" s="8">
        <f>'Sistema de Raridade e Evolução'!D6</f>
        <v>56</v>
      </c>
      <c r="K462" s="8" t="s">
        <v>12</v>
      </c>
      <c r="L462" s="9">
        <f t="shared" si="7"/>
        <v>5714285.71</v>
      </c>
    </row>
    <row r="463" spans="1:12" ht="14.25" hidden="1" customHeight="1" x14ac:dyDescent="0.3">
      <c r="A463" s="8">
        <v>462</v>
      </c>
      <c r="B463" s="8" t="str">
        <f>'Criaturas - Base de Dados'!B78</f>
        <v>Abismo Glacial</v>
      </c>
      <c r="C463" s="8" t="str">
        <f>'Criaturas - Base de Dados'!C78</f>
        <v>Gelo</v>
      </c>
      <c r="D463" s="8" t="str">
        <f>'Criaturas - Base de Dados'!D78</f>
        <v>Wyrm Glacial</v>
      </c>
      <c r="E463" s="8" t="str">
        <f>'Sistema de Raridade e Evolução'!B7</f>
        <v>Lendário</v>
      </c>
      <c r="F463" s="9">
        <f>ROUND(('Criaturas - Base de Dados'!H78*'Sistema de Raridade e Evolução'!E7)*1000,2)</f>
        <v>7200000</v>
      </c>
      <c r="G463" s="8">
        <f>ROUND('Criaturas - Base de Dados'!I78*'Sistema de Raridade e Evolução'!E7,0)</f>
        <v>4350</v>
      </c>
      <c r="H463" s="8">
        <f>ROUND('Criaturas - Base de Dados'!J78*'Sistema de Raridade e Evolução'!E7,0)</f>
        <v>3600</v>
      </c>
      <c r="I463" s="8">
        <f>ROUND('Criaturas - Base de Dados'!K78*'Sistema de Raridade e Evolução'!E7,0)</f>
        <v>23100</v>
      </c>
      <c r="J463" s="8">
        <f>'Sistema de Raridade e Evolução'!D7</f>
        <v>91</v>
      </c>
      <c r="K463" s="8" t="s">
        <v>925</v>
      </c>
      <c r="L463" s="9">
        <f t="shared" si="7"/>
        <v>17142857.140000001</v>
      </c>
    </row>
    <row r="464" spans="1:12" ht="14.25" customHeight="1" x14ac:dyDescent="0.3">
      <c r="A464" s="8">
        <v>463</v>
      </c>
      <c r="B464" s="8" t="str">
        <f>'Criaturas - Base de Dados'!B79</f>
        <v>Abismo Glacial</v>
      </c>
      <c r="C464" s="8" t="str">
        <f>'Criaturas - Base de Dados'!C79</f>
        <v>Gelo</v>
      </c>
      <c r="D464" s="8" t="str">
        <f>'Criaturas - Base de Dados'!D79</f>
        <v>Nix das Águas Geladas</v>
      </c>
      <c r="E464" s="8" t="str">
        <f>'Sistema de Raridade e Evolução'!B2</f>
        <v>Default</v>
      </c>
      <c r="F464" s="9" t="e">
        <f>ROUND(('Criaturas - Base de Dados'!H79*'Sistema de Raridade e Evolução'!E2)*1000,2)</f>
        <v>#VALUE!</v>
      </c>
      <c r="G464" s="8" t="e">
        <f>ROUND('Criaturas - Base de Dados'!I79*'Sistema de Raridade e Evolução'!E2,0)</f>
        <v>#VALUE!</v>
      </c>
      <c r="H464" s="8" t="e">
        <f>ROUND('Criaturas - Base de Dados'!J79*'Sistema de Raridade e Evolução'!E2,0)</f>
        <v>#VALUE!</v>
      </c>
      <c r="I464" s="8" t="e">
        <f>ROUND('Criaturas - Base de Dados'!K79*'Sistema de Raridade e Evolução'!E2,0)</f>
        <v>#VALUE!</v>
      </c>
      <c r="J464" s="8">
        <f>'Sistema de Raridade e Evolução'!D2</f>
        <v>1</v>
      </c>
      <c r="K464" s="8" t="s">
        <v>8</v>
      </c>
      <c r="L464" s="9" t="e">
        <f t="shared" si="7"/>
        <v>#VALUE!</v>
      </c>
    </row>
    <row r="465" spans="1:12" ht="14.25" hidden="1" customHeight="1" x14ac:dyDescent="0.3">
      <c r="A465" s="8">
        <v>464</v>
      </c>
      <c r="B465" s="8" t="str">
        <f>'Criaturas - Base de Dados'!B79</f>
        <v>Abismo Glacial</v>
      </c>
      <c r="C465" s="8" t="str">
        <f>'Criaturas - Base de Dados'!C79</f>
        <v>Gelo</v>
      </c>
      <c r="D465" s="8" t="str">
        <f>'Criaturas - Base de Dados'!D79</f>
        <v>Nix das Águas Geladas</v>
      </c>
      <c r="E465" s="8" t="str">
        <f>'Sistema de Raridade e Evolução'!B3</f>
        <v>Bronze</v>
      </c>
      <c r="F465" s="9">
        <f>ROUND(('Criaturas - Base de Dados'!H79*'Sistema de Raridade e Evolução'!E3)*1000,2)</f>
        <v>50000</v>
      </c>
      <c r="G465" s="8">
        <f>ROUND('Criaturas - Base de Dados'!I79*'Sistema de Raridade e Evolução'!E3,0)</f>
        <v>30</v>
      </c>
      <c r="H465" s="8">
        <f>ROUND('Criaturas - Base de Dados'!J79*'Sistema de Raridade e Evolução'!E3,0)</f>
        <v>25</v>
      </c>
      <c r="I465" s="8">
        <f>ROUND('Criaturas - Base de Dados'!K79*'Sistema de Raridade e Evolução'!E3,0)</f>
        <v>160</v>
      </c>
      <c r="J465" s="8">
        <f>'Sistema de Raridade e Evolução'!D3</f>
        <v>6</v>
      </c>
      <c r="K465" s="8" t="s">
        <v>9</v>
      </c>
      <c r="L465" s="9">
        <f t="shared" si="7"/>
        <v>119047.62</v>
      </c>
    </row>
    <row r="466" spans="1:12" ht="14.25" hidden="1" customHeight="1" x14ac:dyDescent="0.3">
      <c r="A466" s="8">
        <v>465</v>
      </c>
      <c r="B466" s="8" t="str">
        <f>'Criaturas - Base de Dados'!B79</f>
        <v>Abismo Glacial</v>
      </c>
      <c r="C466" s="8" t="str">
        <f>'Criaturas - Base de Dados'!C79</f>
        <v>Gelo</v>
      </c>
      <c r="D466" s="8" t="str">
        <f>'Criaturas - Base de Dados'!D79</f>
        <v>Nix das Águas Geladas</v>
      </c>
      <c r="E466" s="8" t="str">
        <f>'Sistema de Raridade e Evolução'!B4</f>
        <v>Prata</v>
      </c>
      <c r="F466" s="9">
        <f>ROUND(('Criaturas - Base de Dados'!H79*'Sistema de Raridade e Evolução'!E4)*1000,2)</f>
        <v>300000</v>
      </c>
      <c r="G466" s="8">
        <f>ROUND('Criaturas - Base de Dados'!I79*'Sistema de Raridade e Evolução'!E4,0)</f>
        <v>180</v>
      </c>
      <c r="H466" s="8">
        <f>ROUND('Criaturas - Base de Dados'!J79*'Sistema de Raridade e Evolução'!E4,0)</f>
        <v>150</v>
      </c>
      <c r="I466" s="8">
        <f>ROUND('Criaturas - Base de Dados'!K79*'Sistema de Raridade e Evolução'!E4,0)</f>
        <v>960</v>
      </c>
      <c r="J466" s="8">
        <f>'Sistema de Raridade e Evolução'!D4</f>
        <v>16</v>
      </c>
      <c r="K466" s="8" t="s">
        <v>10</v>
      </c>
      <c r="L466" s="9">
        <f t="shared" si="7"/>
        <v>714285.71</v>
      </c>
    </row>
    <row r="467" spans="1:12" ht="14.25" hidden="1" customHeight="1" x14ac:dyDescent="0.3">
      <c r="A467" s="8">
        <v>466</v>
      </c>
      <c r="B467" s="8" t="str">
        <f>'Criaturas - Base de Dados'!B79</f>
        <v>Abismo Glacial</v>
      </c>
      <c r="C467" s="8" t="str">
        <f>'Criaturas - Base de Dados'!C79</f>
        <v>Gelo</v>
      </c>
      <c r="D467" s="8" t="str">
        <f>'Criaturas - Base de Dados'!D79</f>
        <v>Nix das Águas Geladas</v>
      </c>
      <c r="E467" s="8" t="str">
        <f>'Sistema de Raridade e Evolução'!B5</f>
        <v>Ouro</v>
      </c>
      <c r="F467" s="9">
        <f>ROUND(('Criaturas - Base de Dados'!H79*'Sistema de Raridade e Evolução'!E5)*1000,2)</f>
        <v>900000</v>
      </c>
      <c r="G467" s="8">
        <f>ROUND('Criaturas - Base de Dados'!I79*'Sistema de Raridade e Evolução'!E5,0)</f>
        <v>540</v>
      </c>
      <c r="H467" s="8">
        <f>ROUND('Criaturas - Base de Dados'!J79*'Sistema de Raridade e Evolução'!E5,0)</f>
        <v>450</v>
      </c>
      <c r="I467" s="8">
        <f>ROUND('Criaturas - Base de Dados'!K79*'Sistema de Raridade e Evolução'!E5,0)</f>
        <v>2880</v>
      </c>
      <c r="J467" s="8">
        <f>'Sistema de Raridade e Evolução'!D5</f>
        <v>31</v>
      </c>
      <c r="K467" s="8" t="s">
        <v>11</v>
      </c>
      <c r="L467" s="9">
        <f t="shared" si="7"/>
        <v>2142857.14</v>
      </c>
    </row>
    <row r="468" spans="1:12" ht="14.25" hidden="1" customHeight="1" x14ac:dyDescent="0.3">
      <c r="A468" s="8">
        <v>467</v>
      </c>
      <c r="B468" s="8" t="str">
        <f>'Criaturas - Base de Dados'!B79</f>
        <v>Abismo Glacial</v>
      </c>
      <c r="C468" s="8" t="str">
        <f>'Criaturas - Base de Dados'!C79</f>
        <v>Gelo</v>
      </c>
      <c r="D468" s="8" t="str">
        <f>'Criaturas - Base de Dados'!D79</f>
        <v>Nix das Águas Geladas</v>
      </c>
      <c r="E468" s="8" t="str">
        <f>'Sistema de Raridade e Evolução'!B6</f>
        <v>Platina</v>
      </c>
      <c r="F468" s="9">
        <f>ROUND(('Criaturas - Base de Dados'!H79*'Sistema de Raridade e Evolução'!E6)*1000,2)</f>
        <v>2500000</v>
      </c>
      <c r="G468" s="8">
        <f>ROUND('Criaturas - Base de Dados'!I79*'Sistema de Raridade e Evolução'!E6,0)</f>
        <v>1500</v>
      </c>
      <c r="H468" s="8">
        <f>ROUND('Criaturas - Base de Dados'!J79*'Sistema de Raridade e Evolução'!E6,0)</f>
        <v>1250</v>
      </c>
      <c r="I468" s="8">
        <f>ROUND('Criaturas - Base de Dados'!K79*'Sistema de Raridade e Evolução'!E6,0)</f>
        <v>8000</v>
      </c>
      <c r="J468" s="8">
        <f>'Sistema de Raridade e Evolução'!D6</f>
        <v>56</v>
      </c>
      <c r="K468" s="8" t="s">
        <v>12</v>
      </c>
      <c r="L468" s="9">
        <f t="shared" si="7"/>
        <v>5952380.9500000002</v>
      </c>
    </row>
    <row r="469" spans="1:12" ht="14.25" hidden="1" customHeight="1" x14ac:dyDescent="0.3">
      <c r="A469" s="8">
        <v>468</v>
      </c>
      <c r="B469" s="8" t="str">
        <f>'Criaturas - Base de Dados'!B79</f>
        <v>Abismo Glacial</v>
      </c>
      <c r="C469" s="8" t="str">
        <f>'Criaturas - Base de Dados'!C79</f>
        <v>Gelo</v>
      </c>
      <c r="D469" s="8" t="str">
        <f>'Criaturas - Base de Dados'!D79</f>
        <v>Nix das Águas Geladas</v>
      </c>
      <c r="E469" s="8" t="str">
        <f>'Sistema de Raridade e Evolução'!B7</f>
        <v>Lendário</v>
      </c>
      <c r="F469" s="9">
        <f>ROUND(('Criaturas - Base de Dados'!H79*'Sistema de Raridade e Evolução'!E7)*1000,2)</f>
        <v>7500000</v>
      </c>
      <c r="G469" s="8">
        <f>ROUND('Criaturas - Base de Dados'!I79*'Sistema de Raridade e Evolução'!E7,0)</f>
        <v>4500</v>
      </c>
      <c r="H469" s="8">
        <f>ROUND('Criaturas - Base de Dados'!J79*'Sistema de Raridade e Evolução'!E7,0)</f>
        <v>3750</v>
      </c>
      <c r="I469" s="8">
        <f>ROUND('Criaturas - Base de Dados'!K79*'Sistema de Raridade e Evolução'!E7,0)</f>
        <v>24000</v>
      </c>
      <c r="J469" s="8">
        <f>'Sistema de Raridade e Evolução'!D7</f>
        <v>91</v>
      </c>
      <c r="K469" s="8" t="s">
        <v>925</v>
      </c>
      <c r="L469" s="9">
        <f t="shared" si="7"/>
        <v>17857142.859999999</v>
      </c>
    </row>
    <row r="470" spans="1:12" ht="14.25" customHeight="1" x14ac:dyDescent="0.3">
      <c r="A470" s="8">
        <v>469</v>
      </c>
      <c r="B470" s="8" t="str">
        <f>'Criaturas - Base de Dados'!B80</f>
        <v>Abismo Glacial</v>
      </c>
      <c r="C470" s="8" t="str">
        <f>'Criaturas - Base de Dados'!C80</f>
        <v>Gelo</v>
      </c>
      <c r="D470" s="8" t="str">
        <f>'Criaturas - Base de Dados'!D80</f>
        <v>Wisp do Inverno</v>
      </c>
      <c r="E470" s="8" t="str">
        <f>'Sistema de Raridade e Evolução'!B2</f>
        <v>Default</v>
      </c>
      <c r="F470" s="9" t="e">
        <f>ROUND(('Criaturas - Base de Dados'!H80*'Sistema de Raridade e Evolução'!E2)*1000,2)</f>
        <v>#VALUE!</v>
      </c>
      <c r="G470" s="8" t="e">
        <f>ROUND('Criaturas - Base de Dados'!I80*'Sistema de Raridade e Evolução'!E2,0)</f>
        <v>#VALUE!</v>
      </c>
      <c r="H470" s="8" t="e">
        <f>ROUND('Criaturas - Base de Dados'!J80*'Sistema de Raridade e Evolução'!E2,0)</f>
        <v>#VALUE!</v>
      </c>
      <c r="I470" s="8" t="e">
        <f>ROUND('Criaturas - Base de Dados'!K80*'Sistema de Raridade e Evolução'!E2,0)</f>
        <v>#VALUE!</v>
      </c>
      <c r="J470" s="8">
        <f>'Sistema de Raridade e Evolução'!D2</f>
        <v>1</v>
      </c>
      <c r="K470" s="8" t="s">
        <v>8</v>
      </c>
      <c r="L470" s="9" t="e">
        <f t="shared" si="7"/>
        <v>#VALUE!</v>
      </c>
    </row>
    <row r="471" spans="1:12" ht="14.25" hidden="1" customHeight="1" x14ac:dyDescent="0.3">
      <c r="A471" s="8">
        <v>470</v>
      </c>
      <c r="B471" s="8" t="str">
        <f>'Criaturas - Base de Dados'!B80</f>
        <v>Abismo Glacial</v>
      </c>
      <c r="C471" s="8" t="str">
        <f>'Criaturas - Base de Dados'!C80</f>
        <v>Gelo</v>
      </c>
      <c r="D471" s="8" t="str">
        <f>'Criaturas - Base de Dados'!D80</f>
        <v>Wisp do Inverno</v>
      </c>
      <c r="E471" s="8" t="str">
        <f>'Sistema de Raridade e Evolução'!B3</f>
        <v>Bronze</v>
      </c>
      <c r="F471" s="9">
        <f>ROUND(('Criaturas - Base de Dados'!H80*'Sistema de Raridade e Evolução'!E3)*1000,2)</f>
        <v>69000</v>
      </c>
      <c r="G471" s="8">
        <f>ROUND('Criaturas - Base de Dados'!I80*'Sistema de Raridade e Evolução'!E3,0)</f>
        <v>41</v>
      </c>
      <c r="H471" s="8">
        <f>ROUND('Criaturas - Base de Dados'!J80*'Sistema de Raridade e Evolução'!E3,0)</f>
        <v>34</v>
      </c>
      <c r="I471" s="8">
        <f>ROUND('Criaturas - Base de Dados'!K80*'Sistema de Raridade e Evolução'!E3,0)</f>
        <v>221</v>
      </c>
      <c r="J471" s="8">
        <f>'Sistema de Raridade e Evolução'!D3</f>
        <v>6</v>
      </c>
      <c r="K471" s="8" t="s">
        <v>9</v>
      </c>
      <c r="L471" s="9">
        <f t="shared" si="7"/>
        <v>164285.71</v>
      </c>
    </row>
    <row r="472" spans="1:12" ht="14.25" hidden="1" customHeight="1" x14ac:dyDescent="0.3">
      <c r="A472" s="8">
        <v>471</v>
      </c>
      <c r="B472" s="8" t="str">
        <f>'Criaturas - Base de Dados'!B80</f>
        <v>Abismo Glacial</v>
      </c>
      <c r="C472" s="8" t="str">
        <f>'Criaturas - Base de Dados'!C80</f>
        <v>Gelo</v>
      </c>
      <c r="D472" s="8" t="str">
        <f>'Criaturas - Base de Dados'!D80</f>
        <v>Wisp do Inverno</v>
      </c>
      <c r="E472" s="8" t="str">
        <f>'Sistema de Raridade e Evolução'!B4</f>
        <v>Prata</v>
      </c>
      <c r="F472" s="9">
        <f>ROUND(('Criaturas - Base de Dados'!H80*'Sistema de Raridade e Evolução'!E4)*1000,2)</f>
        <v>414000</v>
      </c>
      <c r="G472" s="8">
        <f>ROUND('Criaturas - Base de Dados'!I80*'Sistema de Raridade e Evolução'!E4,0)</f>
        <v>246</v>
      </c>
      <c r="H472" s="8">
        <f>ROUND('Criaturas - Base de Dados'!J80*'Sistema de Raridade e Evolução'!E4,0)</f>
        <v>204</v>
      </c>
      <c r="I472" s="8">
        <f>ROUND('Criaturas - Base de Dados'!K80*'Sistema de Raridade e Evolução'!E4,0)</f>
        <v>1326</v>
      </c>
      <c r="J472" s="8">
        <f>'Sistema de Raridade e Evolução'!D4</f>
        <v>16</v>
      </c>
      <c r="K472" s="8" t="s">
        <v>10</v>
      </c>
      <c r="L472" s="9">
        <f t="shared" si="7"/>
        <v>985714.29</v>
      </c>
    </row>
    <row r="473" spans="1:12" ht="14.25" hidden="1" customHeight="1" x14ac:dyDescent="0.3">
      <c r="A473" s="8">
        <v>472</v>
      </c>
      <c r="B473" s="8" t="str">
        <f>'Criaturas - Base de Dados'!B80</f>
        <v>Abismo Glacial</v>
      </c>
      <c r="C473" s="8" t="str">
        <f>'Criaturas - Base de Dados'!C80</f>
        <v>Gelo</v>
      </c>
      <c r="D473" s="8" t="str">
        <f>'Criaturas - Base de Dados'!D80</f>
        <v>Wisp do Inverno</v>
      </c>
      <c r="E473" s="8" t="str">
        <f>'Sistema de Raridade e Evolução'!B5</f>
        <v>Ouro</v>
      </c>
      <c r="F473" s="9">
        <f>ROUND(('Criaturas - Base de Dados'!H80*'Sistema de Raridade e Evolução'!E5)*1000,2)</f>
        <v>1242000</v>
      </c>
      <c r="G473" s="8">
        <f>ROUND('Criaturas - Base de Dados'!I80*'Sistema de Raridade e Evolução'!E5,0)</f>
        <v>738</v>
      </c>
      <c r="H473" s="8">
        <f>ROUND('Criaturas - Base de Dados'!J80*'Sistema de Raridade e Evolução'!E5,0)</f>
        <v>612</v>
      </c>
      <c r="I473" s="8">
        <f>ROUND('Criaturas - Base de Dados'!K80*'Sistema de Raridade e Evolução'!E5,0)</f>
        <v>3978</v>
      </c>
      <c r="J473" s="8">
        <f>'Sistema de Raridade e Evolução'!D5</f>
        <v>31</v>
      </c>
      <c r="K473" s="8" t="s">
        <v>11</v>
      </c>
      <c r="L473" s="9">
        <f t="shared" si="7"/>
        <v>2957142.86</v>
      </c>
    </row>
    <row r="474" spans="1:12" ht="14.25" hidden="1" customHeight="1" x14ac:dyDescent="0.3">
      <c r="A474" s="8">
        <v>473</v>
      </c>
      <c r="B474" s="8" t="str">
        <f>'Criaturas - Base de Dados'!B80</f>
        <v>Abismo Glacial</v>
      </c>
      <c r="C474" s="8" t="str">
        <f>'Criaturas - Base de Dados'!C80</f>
        <v>Gelo</v>
      </c>
      <c r="D474" s="8" t="str">
        <f>'Criaturas - Base de Dados'!D80</f>
        <v>Wisp do Inverno</v>
      </c>
      <c r="E474" s="8" t="str">
        <f>'Sistema de Raridade e Evolução'!B6</f>
        <v>Platina</v>
      </c>
      <c r="F474" s="9">
        <f>ROUND(('Criaturas - Base de Dados'!H80*'Sistema de Raridade e Evolução'!E6)*1000,2)</f>
        <v>3450000</v>
      </c>
      <c r="G474" s="8">
        <f>ROUND('Criaturas - Base de Dados'!I80*'Sistema de Raridade e Evolução'!E6,0)</f>
        <v>2050</v>
      </c>
      <c r="H474" s="8">
        <f>ROUND('Criaturas - Base de Dados'!J80*'Sistema de Raridade e Evolução'!E6,0)</f>
        <v>1700</v>
      </c>
      <c r="I474" s="8">
        <f>ROUND('Criaturas - Base de Dados'!K80*'Sistema de Raridade e Evolução'!E6,0)</f>
        <v>11050</v>
      </c>
      <c r="J474" s="8">
        <f>'Sistema de Raridade e Evolução'!D6</f>
        <v>56</v>
      </c>
      <c r="K474" s="8" t="s">
        <v>12</v>
      </c>
      <c r="L474" s="9">
        <f t="shared" si="7"/>
        <v>8214285.71</v>
      </c>
    </row>
    <row r="475" spans="1:12" ht="14.25" hidden="1" customHeight="1" x14ac:dyDescent="0.3">
      <c r="A475" s="8">
        <v>474</v>
      </c>
      <c r="B475" s="8" t="str">
        <f>'Criaturas - Base de Dados'!B80</f>
        <v>Abismo Glacial</v>
      </c>
      <c r="C475" s="8" t="str">
        <f>'Criaturas - Base de Dados'!C80</f>
        <v>Gelo</v>
      </c>
      <c r="D475" s="8" t="str">
        <f>'Criaturas - Base de Dados'!D80</f>
        <v>Wisp do Inverno</v>
      </c>
      <c r="E475" s="8" t="str">
        <f>'Sistema de Raridade e Evolução'!B7</f>
        <v>Lendário</v>
      </c>
      <c r="F475" s="9">
        <f>ROUND(('Criaturas - Base de Dados'!H80*'Sistema de Raridade e Evolução'!E7)*1000,2)</f>
        <v>10350000</v>
      </c>
      <c r="G475" s="8">
        <f>ROUND('Criaturas - Base de Dados'!I80*'Sistema de Raridade e Evolução'!E7,0)</f>
        <v>6150</v>
      </c>
      <c r="H475" s="8">
        <f>ROUND('Criaturas - Base de Dados'!J80*'Sistema de Raridade e Evolução'!E7,0)</f>
        <v>5100</v>
      </c>
      <c r="I475" s="8">
        <f>ROUND('Criaturas - Base de Dados'!K80*'Sistema de Raridade e Evolução'!E7,0)</f>
        <v>33150</v>
      </c>
      <c r="J475" s="8">
        <f>'Sistema de Raridade e Evolução'!D7</f>
        <v>91</v>
      </c>
      <c r="K475" s="8" t="s">
        <v>925</v>
      </c>
      <c r="L475" s="9">
        <f t="shared" si="7"/>
        <v>24642857.140000001</v>
      </c>
    </row>
    <row r="476" spans="1:12" ht="14.25" customHeight="1" x14ac:dyDescent="0.3">
      <c r="A476" s="8">
        <v>475</v>
      </c>
      <c r="B476" s="8" t="str">
        <f>'Criaturas - Base de Dados'!B81</f>
        <v>Abismo Glacial</v>
      </c>
      <c r="C476" s="8" t="str">
        <f>'Criaturas - Base de Dados'!C81</f>
        <v>Gelo</v>
      </c>
      <c r="D476" s="8" t="str">
        <f>'Criaturas - Base de Dados'!D81</f>
        <v>Fúria da Nevasca</v>
      </c>
      <c r="E476" s="8" t="str">
        <f>'Sistema de Raridade e Evolução'!B2</f>
        <v>Default</v>
      </c>
      <c r="F476" s="9" t="e">
        <f>ROUND(('Criaturas - Base de Dados'!H81*'Sistema de Raridade e Evolução'!E2)*1000,2)</f>
        <v>#VALUE!</v>
      </c>
      <c r="G476" s="8" t="e">
        <f>ROUND('Criaturas - Base de Dados'!I81*'Sistema de Raridade e Evolução'!E2,0)</f>
        <v>#VALUE!</v>
      </c>
      <c r="H476" s="8" t="e">
        <f>ROUND('Criaturas - Base de Dados'!J81*'Sistema de Raridade e Evolução'!E2,0)</f>
        <v>#VALUE!</v>
      </c>
      <c r="I476" s="8" t="e">
        <f>ROUND('Criaturas - Base de Dados'!K81*'Sistema de Raridade e Evolução'!E2,0)</f>
        <v>#VALUE!</v>
      </c>
      <c r="J476" s="8">
        <f>'Sistema de Raridade e Evolução'!D2</f>
        <v>1</v>
      </c>
      <c r="K476" s="8" t="s">
        <v>8</v>
      </c>
      <c r="L476" s="9" t="e">
        <f t="shared" si="7"/>
        <v>#VALUE!</v>
      </c>
    </row>
    <row r="477" spans="1:12" ht="14.25" hidden="1" customHeight="1" x14ac:dyDescent="0.3">
      <c r="A477" s="8">
        <v>476</v>
      </c>
      <c r="B477" s="8" t="str">
        <f>'Criaturas - Base de Dados'!B81</f>
        <v>Abismo Glacial</v>
      </c>
      <c r="C477" s="8" t="str">
        <f>'Criaturas - Base de Dados'!C81</f>
        <v>Gelo</v>
      </c>
      <c r="D477" s="8" t="str">
        <f>'Criaturas - Base de Dados'!D81</f>
        <v>Fúria da Nevasca</v>
      </c>
      <c r="E477" s="8" t="str">
        <f>'Sistema de Raridade e Evolução'!B3</f>
        <v>Bronze</v>
      </c>
      <c r="F477" s="9">
        <f>ROUND(('Criaturas - Base de Dados'!H81*'Sistema de Raridade e Evolução'!E3)*1000,2)</f>
        <v>71000</v>
      </c>
      <c r="G477" s="8">
        <f>ROUND('Criaturas - Base de Dados'!I81*'Sistema de Raridade e Evolução'!E3,0)</f>
        <v>43</v>
      </c>
      <c r="H477" s="8">
        <f>ROUND('Criaturas - Base de Dados'!J81*'Sistema de Raridade e Evolução'!E3,0)</f>
        <v>36</v>
      </c>
      <c r="I477" s="8">
        <f>ROUND('Criaturas - Base de Dados'!K81*'Sistema de Raridade e Evolução'!E3,0)</f>
        <v>227</v>
      </c>
      <c r="J477" s="8">
        <f>'Sistema de Raridade e Evolução'!D3</f>
        <v>6</v>
      </c>
      <c r="K477" s="8" t="s">
        <v>9</v>
      </c>
      <c r="L477" s="9">
        <f t="shared" si="7"/>
        <v>169047.62</v>
      </c>
    </row>
    <row r="478" spans="1:12" ht="14.25" hidden="1" customHeight="1" x14ac:dyDescent="0.3">
      <c r="A478" s="8">
        <v>477</v>
      </c>
      <c r="B478" s="8" t="str">
        <f>'Criaturas - Base de Dados'!B81</f>
        <v>Abismo Glacial</v>
      </c>
      <c r="C478" s="8" t="str">
        <f>'Criaturas - Base de Dados'!C81</f>
        <v>Gelo</v>
      </c>
      <c r="D478" s="8" t="str">
        <f>'Criaturas - Base de Dados'!D81</f>
        <v>Fúria da Nevasca</v>
      </c>
      <c r="E478" s="8" t="str">
        <f>'Sistema de Raridade e Evolução'!B4</f>
        <v>Prata</v>
      </c>
      <c r="F478" s="9">
        <f>ROUND(('Criaturas - Base de Dados'!H81*'Sistema de Raridade e Evolução'!E4)*1000,2)</f>
        <v>426000</v>
      </c>
      <c r="G478" s="8">
        <f>ROUND('Criaturas - Base de Dados'!I81*'Sistema de Raridade e Evolução'!E4,0)</f>
        <v>258</v>
      </c>
      <c r="H478" s="8">
        <f>ROUND('Criaturas - Base de Dados'!J81*'Sistema de Raridade e Evolução'!E4,0)</f>
        <v>216</v>
      </c>
      <c r="I478" s="8">
        <f>ROUND('Criaturas - Base de Dados'!K81*'Sistema de Raridade e Evolução'!E4,0)</f>
        <v>1362</v>
      </c>
      <c r="J478" s="8">
        <f>'Sistema de Raridade e Evolução'!D4</f>
        <v>16</v>
      </c>
      <c r="K478" s="8" t="s">
        <v>10</v>
      </c>
      <c r="L478" s="9">
        <f t="shared" si="7"/>
        <v>1014285.71</v>
      </c>
    </row>
    <row r="479" spans="1:12" ht="14.25" hidden="1" customHeight="1" x14ac:dyDescent="0.3">
      <c r="A479" s="8">
        <v>478</v>
      </c>
      <c r="B479" s="8" t="str">
        <f>'Criaturas - Base de Dados'!B81</f>
        <v>Abismo Glacial</v>
      </c>
      <c r="C479" s="8" t="str">
        <f>'Criaturas - Base de Dados'!C81</f>
        <v>Gelo</v>
      </c>
      <c r="D479" s="8" t="str">
        <f>'Criaturas - Base de Dados'!D81</f>
        <v>Fúria da Nevasca</v>
      </c>
      <c r="E479" s="8" t="str">
        <f>'Sistema de Raridade e Evolução'!B5</f>
        <v>Ouro</v>
      </c>
      <c r="F479" s="9">
        <f>ROUND(('Criaturas - Base de Dados'!H81*'Sistema de Raridade e Evolução'!E5)*1000,2)</f>
        <v>1278000</v>
      </c>
      <c r="G479" s="8">
        <f>ROUND('Criaturas - Base de Dados'!I81*'Sistema de Raridade e Evolução'!E5,0)</f>
        <v>774</v>
      </c>
      <c r="H479" s="8">
        <f>ROUND('Criaturas - Base de Dados'!J81*'Sistema de Raridade e Evolução'!E5,0)</f>
        <v>648</v>
      </c>
      <c r="I479" s="8">
        <f>ROUND('Criaturas - Base de Dados'!K81*'Sistema de Raridade e Evolução'!E5,0)</f>
        <v>4086</v>
      </c>
      <c r="J479" s="8">
        <f>'Sistema de Raridade e Evolução'!D5</f>
        <v>31</v>
      </c>
      <c r="K479" s="8" t="s">
        <v>11</v>
      </c>
      <c r="L479" s="9">
        <f t="shared" si="7"/>
        <v>3042857.14</v>
      </c>
    </row>
    <row r="480" spans="1:12" ht="14.25" hidden="1" customHeight="1" x14ac:dyDescent="0.3">
      <c r="A480" s="8">
        <v>479</v>
      </c>
      <c r="B480" s="8" t="str">
        <f>'Criaturas - Base de Dados'!B81</f>
        <v>Abismo Glacial</v>
      </c>
      <c r="C480" s="8" t="str">
        <f>'Criaturas - Base de Dados'!C81</f>
        <v>Gelo</v>
      </c>
      <c r="D480" s="8" t="str">
        <f>'Criaturas - Base de Dados'!D81</f>
        <v>Fúria da Nevasca</v>
      </c>
      <c r="E480" s="8" t="str">
        <f>'Sistema de Raridade e Evolução'!B6</f>
        <v>Platina</v>
      </c>
      <c r="F480" s="9">
        <f>ROUND(('Criaturas - Base de Dados'!H81*'Sistema de Raridade e Evolução'!E6)*1000,2)</f>
        <v>3550000</v>
      </c>
      <c r="G480" s="8">
        <f>ROUND('Criaturas - Base de Dados'!I81*'Sistema de Raridade e Evolução'!E6,0)</f>
        <v>2150</v>
      </c>
      <c r="H480" s="8">
        <f>ROUND('Criaturas - Base de Dados'!J81*'Sistema de Raridade e Evolução'!E6,0)</f>
        <v>1800</v>
      </c>
      <c r="I480" s="8">
        <f>ROUND('Criaturas - Base de Dados'!K81*'Sistema de Raridade e Evolução'!E6,0)</f>
        <v>11350</v>
      </c>
      <c r="J480" s="8">
        <f>'Sistema de Raridade e Evolução'!D6</f>
        <v>56</v>
      </c>
      <c r="K480" s="8" t="s">
        <v>12</v>
      </c>
      <c r="L480" s="9">
        <f t="shared" si="7"/>
        <v>8452380.9499999993</v>
      </c>
    </row>
    <row r="481" spans="1:12" ht="14.25" hidden="1" customHeight="1" x14ac:dyDescent="0.3">
      <c r="A481" s="8">
        <v>480</v>
      </c>
      <c r="B481" s="8" t="str">
        <f>'Criaturas - Base de Dados'!B81</f>
        <v>Abismo Glacial</v>
      </c>
      <c r="C481" s="8" t="str">
        <f>'Criaturas - Base de Dados'!C81</f>
        <v>Gelo</v>
      </c>
      <c r="D481" s="8" t="str">
        <f>'Criaturas - Base de Dados'!D81</f>
        <v>Fúria da Nevasca</v>
      </c>
      <c r="E481" s="8" t="str">
        <f>'Sistema de Raridade e Evolução'!B7</f>
        <v>Lendário</v>
      </c>
      <c r="F481" s="9">
        <f>ROUND(('Criaturas - Base de Dados'!H81*'Sistema de Raridade e Evolução'!E7)*1000,2)</f>
        <v>10650000</v>
      </c>
      <c r="G481" s="8">
        <f>ROUND('Criaturas - Base de Dados'!I81*'Sistema de Raridade e Evolução'!E7,0)</f>
        <v>6450</v>
      </c>
      <c r="H481" s="8">
        <f>ROUND('Criaturas - Base de Dados'!J81*'Sistema de Raridade e Evolução'!E7,0)</f>
        <v>5400</v>
      </c>
      <c r="I481" s="8">
        <f>ROUND('Criaturas - Base de Dados'!K81*'Sistema de Raridade e Evolução'!E7,0)</f>
        <v>34050</v>
      </c>
      <c r="J481" s="8">
        <f>'Sistema de Raridade e Evolução'!D7</f>
        <v>91</v>
      </c>
      <c r="K481" s="8" t="s">
        <v>925</v>
      </c>
      <c r="L481" s="9">
        <f t="shared" si="7"/>
        <v>25357142.859999999</v>
      </c>
    </row>
    <row r="482" spans="1:12" ht="14.25" customHeight="1" x14ac:dyDescent="0.3">
      <c r="A482" s="8">
        <v>481</v>
      </c>
      <c r="B482" s="8" t="str">
        <f>'Criaturas - Base de Dados'!B82</f>
        <v>Maré Eterna</v>
      </c>
      <c r="C482" s="8" t="str">
        <f>'Criaturas - Base de Dados'!C82</f>
        <v>Água</v>
      </c>
      <c r="D482" s="8" t="str">
        <f>'Criaturas - Base de Dados'!D82</f>
        <v>Leviatã das Profundezas</v>
      </c>
      <c r="E482" s="8" t="str">
        <f>'Sistema de Raridade e Evolução'!B2</f>
        <v>Default</v>
      </c>
      <c r="F482" s="9" t="e">
        <f>ROUND(('Criaturas - Base de Dados'!H82*'Sistema de Raridade e Evolução'!E2)*1000,2)</f>
        <v>#VALUE!</v>
      </c>
      <c r="G482" s="8" t="e">
        <f>ROUND('Criaturas - Base de Dados'!I82*'Sistema de Raridade e Evolução'!E2,0)</f>
        <v>#VALUE!</v>
      </c>
      <c r="H482" s="8" t="e">
        <f>ROUND('Criaturas - Base de Dados'!J82*'Sistema de Raridade e Evolução'!E2,0)</f>
        <v>#VALUE!</v>
      </c>
      <c r="I482" s="8" t="e">
        <f>ROUND('Criaturas - Base de Dados'!K82*'Sistema de Raridade e Evolução'!E2,0)</f>
        <v>#VALUE!</v>
      </c>
      <c r="J482" s="8">
        <f>'Sistema de Raridade e Evolução'!D2</f>
        <v>1</v>
      </c>
      <c r="K482" s="8" t="s">
        <v>8</v>
      </c>
      <c r="L482" s="9" t="e">
        <f t="shared" si="7"/>
        <v>#VALUE!</v>
      </c>
    </row>
    <row r="483" spans="1:12" ht="14.25" hidden="1" customHeight="1" x14ac:dyDescent="0.3">
      <c r="A483" s="8">
        <v>482</v>
      </c>
      <c r="B483" s="8" t="str">
        <f>'Criaturas - Base de Dados'!B82</f>
        <v>Maré Eterna</v>
      </c>
      <c r="C483" s="8" t="str">
        <f>'Criaturas - Base de Dados'!C82</f>
        <v>Água</v>
      </c>
      <c r="D483" s="8" t="str">
        <f>'Criaturas - Base de Dados'!D82</f>
        <v>Leviatã das Profundezas</v>
      </c>
      <c r="E483" s="8" t="str">
        <f>'Sistema de Raridade e Evolução'!B3</f>
        <v>Bronze</v>
      </c>
      <c r="F483" s="9">
        <f>ROUND(('Criaturas - Base de Dados'!H82*'Sistema de Raridade e Evolução'!E3)*1000,2)</f>
        <v>10000</v>
      </c>
      <c r="G483" s="8">
        <f>ROUND('Criaturas - Base de Dados'!I82*'Sistema de Raridade e Evolução'!E3,0)</f>
        <v>6</v>
      </c>
      <c r="H483" s="8">
        <f>ROUND('Criaturas - Base de Dados'!J82*'Sistema de Raridade e Evolução'!E3,0)</f>
        <v>5</v>
      </c>
      <c r="I483" s="8">
        <f>ROUND('Criaturas - Base de Dados'!K82*'Sistema de Raridade e Evolução'!E3,0)</f>
        <v>32</v>
      </c>
      <c r="J483" s="8">
        <f>'Sistema de Raridade e Evolução'!D3</f>
        <v>6</v>
      </c>
      <c r="K483" s="8" t="s">
        <v>9</v>
      </c>
      <c r="L483" s="9">
        <f t="shared" si="7"/>
        <v>23809.52</v>
      </c>
    </row>
    <row r="484" spans="1:12" ht="14.25" hidden="1" customHeight="1" x14ac:dyDescent="0.3">
      <c r="A484" s="8">
        <v>483</v>
      </c>
      <c r="B484" s="8" t="str">
        <f>'Criaturas - Base de Dados'!B82</f>
        <v>Maré Eterna</v>
      </c>
      <c r="C484" s="8" t="str">
        <f>'Criaturas - Base de Dados'!C82</f>
        <v>Água</v>
      </c>
      <c r="D484" s="8" t="str">
        <f>'Criaturas - Base de Dados'!D82</f>
        <v>Leviatã das Profundezas</v>
      </c>
      <c r="E484" s="8" t="str">
        <f>'Sistema de Raridade e Evolução'!B4</f>
        <v>Prata</v>
      </c>
      <c r="F484" s="9">
        <f>ROUND(('Criaturas - Base de Dados'!H82*'Sistema de Raridade e Evolução'!E4)*1000,2)</f>
        <v>60000</v>
      </c>
      <c r="G484" s="8">
        <f>ROUND('Criaturas - Base de Dados'!I82*'Sistema de Raridade e Evolução'!E4,0)</f>
        <v>36</v>
      </c>
      <c r="H484" s="8">
        <f>ROUND('Criaturas - Base de Dados'!J82*'Sistema de Raridade e Evolução'!E4,0)</f>
        <v>30</v>
      </c>
      <c r="I484" s="8">
        <f>ROUND('Criaturas - Base de Dados'!K82*'Sistema de Raridade e Evolução'!E4,0)</f>
        <v>192</v>
      </c>
      <c r="J484" s="8">
        <f>'Sistema de Raridade e Evolução'!D4</f>
        <v>16</v>
      </c>
      <c r="K484" s="8" t="s">
        <v>10</v>
      </c>
      <c r="L484" s="9">
        <f t="shared" si="7"/>
        <v>142857.14000000001</v>
      </c>
    </row>
    <row r="485" spans="1:12" ht="14.25" hidden="1" customHeight="1" x14ac:dyDescent="0.3">
      <c r="A485" s="8">
        <v>484</v>
      </c>
      <c r="B485" s="8" t="str">
        <f>'Criaturas - Base de Dados'!B82</f>
        <v>Maré Eterna</v>
      </c>
      <c r="C485" s="8" t="str">
        <f>'Criaturas - Base de Dados'!C82</f>
        <v>Água</v>
      </c>
      <c r="D485" s="8" t="str">
        <f>'Criaturas - Base de Dados'!D82</f>
        <v>Leviatã das Profundezas</v>
      </c>
      <c r="E485" s="8" t="str">
        <f>'Sistema de Raridade e Evolução'!B5</f>
        <v>Ouro</v>
      </c>
      <c r="F485" s="9">
        <f>ROUND(('Criaturas - Base de Dados'!H82*'Sistema de Raridade e Evolução'!E5)*1000,2)</f>
        <v>180000</v>
      </c>
      <c r="G485" s="8">
        <f>ROUND('Criaturas - Base de Dados'!I82*'Sistema de Raridade e Evolução'!E5,0)</f>
        <v>108</v>
      </c>
      <c r="H485" s="8">
        <f>ROUND('Criaturas - Base de Dados'!J82*'Sistema de Raridade e Evolução'!E5,0)</f>
        <v>90</v>
      </c>
      <c r="I485" s="8">
        <f>ROUND('Criaturas - Base de Dados'!K82*'Sistema de Raridade e Evolução'!E5,0)</f>
        <v>576</v>
      </c>
      <c r="J485" s="8">
        <f>'Sistema de Raridade e Evolução'!D5</f>
        <v>31</v>
      </c>
      <c r="K485" s="8" t="s">
        <v>11</v>
      </c>
      <c r="L485" s="9">
        <f t="shared" si="7"/>
        <v>428571.43</v>
      </c>
    </row>
    <row r="486" spans="1:12" ht="14.25" hidden="1" customHeight="1" x14ac:dyDescent="0.3">
      <c r="A486" s="8">
        <v>485</v>
      </c>
      <c r="B486" s="8" t="str">
        <f>'Criaturas - Base de Dados'!B82</f>
        <v>Maré Eterna</v>
      </c>
      <c r="C486" s="8" t="str">
        <f>'Criaturas - Base de Dados'!C82</f>
        <v>Água</v>
      </c>
      <c r="D486" s="8" t="str">
        <f>'Criaturas - Base de Dados'!D82</f>
        <v>Leviatã das Profundezas</v>
      </c>
      <c r="E486" s="8" t="str">
        <f>'Sistema de Raridade e Evolução'!B6</f>
        <v>Platina</v>
      </c>
      <c r="F486" s="9">
        <f>ROUND(('Criaturas - Base de Dados'!H82*'Sistema de Raridade e Evolução'!E6)*1000,2)</f>
        <v>500000</v>
      </c>
      <c r="G486" s="8">
        <f>ROUND('Criaturas - Base de Dados'!I82*'Sistema de Raridade e Evolução'!E6,0)</f>
        <v>300</v>
      </c>
      <c r="H486" s="8">
        <f>ROUND('Criaturas - Base de Dados'!J82*'Sistema de Raridade e Evolução'!E6,0)</f>
        <v>250</v>
      </c>
      <c r="I486" s="8">
        <f>ROUND('Criaturas - Base de Dados'!K82*'Sistema de Raridade e Evolução'!E6,0)</f>
        <v>1600</v>
      </c>
      <c r="J486" s="8">
        <f>'Sistema de Raridade e Evolução'!D6</f>
        <v>56</v>
      </c>
      <c r="K486" s="8" t="s">
        <v>12</v>
      </c>
      <c r="L486" s="9">
        <f t="shared" si="7"/>
        <v>1190476.19</v>
      </c>
    </row>
    <row r="487" spans="1:12" ht="14.25" hidden="1" customHeight="1" x14ac:dyDescent="0.3">
      <c r="A487" s="8">
        <v>486</v>
      </c>
      <c r="B487" s="8" t="str">
        <f>'Criaturas - Base de Dados'!B82</f>
        <v>Maré Eterna</v>
      </c>
      <c r="C487" s="8" t="str">
        <f>'Criaturas - Base de Dados'!C82</f>
        <v>Água</v>
      </c>
      <c r="D487" s="8" t="str">
        <f>'Criaturas - Base de Dados'!D82</f>
        <v>Leviatã das Profundezas</v>
      </c>
      <c r="E487" s="8" t="str">
        <f>'Sistema de Raridade e Evolução'!B7</f>
        <v>Lendário</v>
      </c>
      <c r="F487" s="9">
        <f>ROUND(('Criaturas - Base de Dados'!H82*'Sistema de Raridade e Evolução'!E7)*1000,2)</f>
        <v>1500000</v>
      </c>
      <c r="G487" s="8">
        <f>ROUND('Criaturas - Base de Dados'!I82*'Sistema de Raridade e Evolução'!E7,0)</f>
        <v>900</v>
      </c>
      <c r="H487" s="8">
        <f>ROUND('Criaturas - Base de Dados'!J82*'Sistema de Raridade e Evolução'!E7,0)</f>
        <v>750</v>
      </c>
      <c r="I487" s="8">
        <f>ROUND('Criaturas - Base de Dados'!K82*'Sistema de Raridade e Evolução'!E7,0)</f>
        <v>4800</v>
      </c>
      <c r="J487" s="8">
        <f>'Sistema de Raridade e Evolução'!D7</f>
        <v>91</v>
      </c>
      <c r="K487" s="8" t="s">
        <v>925</v>
      </c>
      <c r="L487" s="9">
        <f t="shared" si="7"/>
        <v>3571428.57</v>
      </c>
    </row>
    <row r="488" spans="1:12" ht="14.25" customHeight="1" x14ac:dyDescent="0.3">
      <c r="A488" s="8">
        <v>487</v>
      </c>
      <c r="B488" s="8" t="str">
        <f>'Criaturas - Base de Dados'!B83</f>
        <v>Maré Eterna</v>
      </c>
      <c r="C488" s="8" t="str">
        <f>'Criaturas - Base de Dados'!C83</f>
        <v>Água</v>
      </c>
      <c r="D488" s="8" t="str">
        <f>'Criaturas - Base de Dados'!D83</f>
        <v>Kappa do Rio</v>
      </c>
      <c r="E488" s="8" t="str">
        <f>'Sistema de Raridade e Evolução'!B2</f>
        <v>Default</v>
      </c>
      <c r="F488" s="9" t="e">
        <f>ROUND(('Criaturas - Base de Dados'!H83*'Sistema de Raridade e Evolução'!E2)*1000,2)</f>
        <v>#VALUE!</v>
      </c>
      <c r="G488" s="8" t="e">
        <f>ROUND('Criaturas - Base de Dados'!I83*'Sistema de Raridade e Evolução'!E2,0)</f>
        <v>#VALUE!</v>
      </c>
      <c r="H488" s="8" t="e">
        <f>ROUND('Criaturas - Base de Dados'!J83*'Sistema de Raridade e Evolução'!E2,0)</f>
        <v>#VALUE!</v>
      </c>
      <c r="I488" s="8" t="e">
        <f>ROUND('Criaturas - Base de Dados'!K83*'Sistema de Raridade e Evolução'!E2,0)</f>
        <v>#VALUE!</v>
      </c>
      <c r="J488" s="8">
        <f>'Sistema de Raridade e Evolução'!D2</f>
        <v>1</v>
      </c>
      <c r="K488" s="8" t="s">
        <v>8</v>
      </c>
      <c r="L488" s="9" t="e">
        <f t="shared" si="7"/>
        <v>#VALUE!</v>
      </c>
    </row>
    <row r="489" spans="1:12" ht="14.25" hidden="1" customHeight="1" x14ac:dyDescent="0.3">
      <c r="A489" s="8">
        <v>488</v>
      </c>
      <c r="B489" s="8" t="str">
        <f>'Criaturas - Base de Dados'!B83</f>
        <v>Maré Eterna</v>
      </c>
      <c r="C489" s="8" t="str">
        <f>'Criaturas - Base de Dados'!C83</f>
        <v>Água</v>
      </c>
      <c r="D489" s="8" t="str">
        <f>'Criaturas - Base de Dados'!D83</f>
        <v>Kappa do Rio</v>
      </c>
      <c r="E489" s="8" t="str">
        <f>'Sistema de Raridade e Evolução'!B3</f>
        <v>Bronze</v>
      </c>
      <c r="F489" s="9">
        <f>ROUND(('Criaturas - Base de Dados'!H83*'Sistema de Raridade e Evolução'!E3)*1000,2)</f>
        <v>12000</v>
      </c>
      <c r="G489" s="8">
        <f>ROUND('Criaturas - Base de Dados'!I83*'Sistema de Raridade e Evolução'!E3,0)</f>
        <v>7</v>
      </c>
      <c r="H489" s="8">
        <f>ROUND('Criaturas - Base de Dados'!J83*'Sistema de Raridade e Evolução'!E3,0)</f>
        <v>6</v>
      </c>
      <c r="I489" s="8">
        <f>ROUND('Criaturas - Base de Dados'!K83*'Sistema de Raridade e Evolução'!E3,0)</f>
        <v>38</v>
      </c>
      <c r="J489" s="8">
        <f>'Sistema de Raridade e Evolução'!D3</f>
        <v>6</v>
      </c>
      <c r="K489" s="8" t="s">
        <v>9</v>
      </c>
      <c r="L489" s="9">
        <f t="shared" si="7"/>
        <v>28571.43</v>
      </c>
    </row>
    <row r="490" spans="1:12" ht="14.25" hidden="1" customHeight="1" x14ac:dyDescent="0.3">
      <c r="A490" s="8">
        <v>489</v>
      </c>
      <c r="B490" s="8" t="str">
        <f>'Criaturas - Base de Dados'!B83</f>
        <v>Maré Eterna</v>
      </c>
      <c r="C490" s="8" t="str">
        <f>'Criaturas - Base de Dados'!C83</f>
        <v>Água</v>
      </c>
      <c r="D490" s="8" t="str">
        <f>'Criaturas - Base de Dados'!D83</f>
        <v>Kappa do Rio</v>
      </c>
      <c r="E490" s="8" t="str">
        <f>'Sistema de Raridade e Evolução'!B4</f>
        <v>Prata</v>
      </c>
      <c r="F490" s="9">
        <f>ROUND(('Criaturas - Base de Dados'!H83*'Sistema de Raridade e Evolução'!E4)*1000,2)</f>
        <v>72000</v>
      </c>
      <c r="G490" s="8">
        <f>ROUND('Criaturas - Base de Dados'!I83*'Sistema de Raridade e Evolução'!E4,0)</f>
        <v>42</v>
      </c>
      <c r="H490" s="8">
        <f>ROUND('Criaturas - Base de Dados'!J83*'Sistema de Raridade e Evolução'!E4,0)</f>
        <v>36</v>
      </c>
      <c r="I490" s="8">
        <f>ROUND('Criaturas - Base de Dados'!K83*'Sistema de Raridade e Evolução'!E4,0)</f>
        <v>228</v>
      </c>
      <c r="J490" s="8">
        <f>'Sistema de Raridade e Evolução'!D4</f>
        <v>16</v>
      </c>
      <c r="K490" s="8" t="s">
        <v>10</v>
      </c>
      <c r="L490" s="9">
        <f t="shared" si="7"/>
        <v>171428.57</v>
      </c>
    </row>
    <row r="491" spans="1:12" ht="14.25" hidden="1" customHeight="1" x14ac:dyDescent="0.3">
      <c r="A491" s="8">
        <v>490</v>
      </c>
      <c r="B491" s="8" t="str">
        <f>'Criaturas - Base de Dados'!B83</f>
        <v>Maré Eterna</v>
      </c>
      <c r="C491" s="8" t="str">
        <f>'Criaturas - Base de Dados'!C83</f>
        <v>Água</v>
      </c>
      <c r="D491" s="8" t="str">
        <f>'Criaturas - Base de Dados'!D83</f>
        <v>Kappa do Rio</v>
      </c>
      <c r="E491" s="8" t="str">
        <f>'Sistema de Raridade e Evolução'!B5</f>
        <v>Ouro</v>
      </c>
      <c r="F491" s="9">
        <f>ROUND(('Criaturas - Base de Dados'!H83*'Sistema de Raridade e Evolução'!E5)*1000,2)</f>
        <v>216000</v>
      </c>
      <c r="G491" s="8">
        <f>ROUND('Criaturas - Base de Dados'!I83*'Sistema de Raridade e Evolução'!E5,0)</f>
        <v>126</v>
      </c>
      <c r="H491" s="8">
        <f>ROUND('Criaturas - Base de Dados'!J83*'Sistema de Raridade e Evolução'!E5,0)</f>
        <v>108</v>
      </c>
      <c r="I491" s="8">
        <f>ROUND('Criaturas - Base de Dados'!K83*'Sistema de Raridade e Evolução'!E5,0)</f>
        <v>684</v>
      </c>
      <c r="J491" s="8">
        <f>'Sistema de Raridade e Evolução'!D5</f>
        <v>31</v>
      </c>
      <c r="K491" s="8" t="s">
        <v>11</v>
      </c>
      <c r="L491" s="9">
        <f t="shared" si="7"/>
        <v>514285.71</v>
      </c>
    </row>
    <row r="492" spans="1:12" ht="14.25" hidden="1" customHeight="1" x14ac:dyDescent="0.3">
      <c r="A492" s="8">
        <v>491</v>
      </c>
      <c r="B492" s="8" t="str">
        <f>'Criaturas - Base de Dados'!B83</f>
        <v>Maré Eterna</v>
      </c>
      <c r="C492" s="8" t="str">
        <f>'Criaturas - Base de Dados'!C83</f>
        <v>Água</v>
      </c>
      <c r="D492" s="8" t="str">
        <f>'Criaturas - Base de Dados'!D83</f>
        <v>Kappa do Rio</v>
      </c>
      <c r="E492" s="8" t="str">
        <f>'Sistema de Raridade e Evolução'!B6</f>
        <v>Platina</v>
      </c>
      <c r="F492" s="9">
        <f>ROUND(('Criaturas - Base de Dados'!H83*'Sistema de Raridade e Evolução'!E6)*1000,2)</f>
        <v>600000</v>
      </c>
      <c r="G492" s="8">
        <f>ROUND('Criaturas - Base de Dados'!I83*'Sistema de Raridade e Evolução'!E6,0)</f>
        <v>350</v>
      </c>
      <c r="H492" s="8">
        <f>ROUND('Criaturas - Base de Dados'!J83*'Sistema de Raridade e Evolução'!E6,0)</f>
        <v>300</v>
      </c>
      <c r="I492" s="8">
        <f>ROUND('Criaturas - Base de Dados'!K83*'Sistema de Raridade e Evolução'!E6,0)</f>
        <v>1900</v>
      </c>
      <c r="J492" s="8">
        <f>'Sistema de Raridade e Evolução'!D6</f>
        <v>56</v>
      </c>
      <c r="K492" s="8" t="s">
        <v>12</v>
      </c>
      <c r="L492" s="9">
        <f t="shared" si="7"/>
        <v>1428571.43</v>
      </c>
    </row>
    <row r="493" spans="1:12" ht="14.25" hidden="1" customHeight="1" x14ac:dyDescent="0.3">
      <c r="A493" s="8">
        <v>492</v>
      </c>
      <c r="B493" s="8" t="str">
        <f>'Criaturas - Base de Dados'!B83</f>
        <v>Maré Eterna</v>
      </c>
      <c r="C493" s="8" t="str">
        <f>'Criaturas - Base de Dados'!C83</f>
        <v>Água</v>
      </c>
      <c r="D493" s="8" t="str">
        <f>'Criaturas - Base de Dados'!D83</f>
        <v>Kappa do Rio</v>
      </c>
      <c r="E493" s="8" t="str">
        <f>'Sistema de Raridade e Evolução'!B7</f>
        <v>Lendário</v>
      </c>
      <c r="F493" s="9">
        <f>ROUND(('Criaturas - Base de Dados'!H83*'Sistema de Raridade e Evolução'!E7)*1000,2)</f>
        <v>1800000</v>
      </c>
      <c r="G493" s="8">
        <f>ROUND('Criaturas - Base de Dados'!I83*'Sistema de Raridade e Evolução'!E7,0)</f>
        <v>1050</v>
      </c>
      <c r="H493" s="8">
        <f>ROUND('Criaturas - Base de Dados'!J83*'Sistema de Raridade e Evolução'!E7,0)</f>
        <v>900</v>
      </c>
      <c r="I493" s="8">
        <f>ROUND('Criaturas - Base de Dados'!K83*'Sistema de Raridade e Evolução'!E7,0)</f>
        <v>5700</v>
      </c>
      <c r="J493" s="8">
        <f>'Sistema de Raridade e Evolução'!D7</f>
        <v>91</v>
      </c>
      <c r="K493" s="8" t="s">
        <v>925</v>
      </c>
      <c r="L493" s="9">
        <f t="shared" si="7"/>
        <v>4285714.29</v>
      </c>
    </row>
    <row r="494" spans="1:12" ht="14.25" customHeight="1" x14ac:dyDescent="0.3">
      <c r="A494" s="8">
        <v>493</v>
      </c>
      <c r="B494" s="8" t="str">
        <f>'Criaturas - Base de Dados'!B84</f>
        <v>Maré Eterna</v>
      </c>
      <c r="C494" s="8" t="str">
        <f>'Criaturas - Base de Dados'!C84</f>
        <v>Água</v>
      </c>
      <c r="D494" s="8" t="str">
        <f>'Criaturas - Base de Dados'!D84</f>
        <v>Ningyo Ancestral</v>
      </c>
      <c r="E494" s="8" t="str">
        <f>'Sistema de Raridade e Evolução'!B2</f>
        <v>Default</v>
      </c>
      <c r="F494" s="9" t="e">
        <f>ROUND(('Criaturas - Base de Dados'!H84*'Sistema de Raridade e Evolução'!E2)*1000,2)</f>
        <v>#VALUE!</v>
      </c>
      <c r="G494" s="8" t="e">
        <f>ROUND('Criaturas - Base de Dados'!I84*'Sistema de Raridade e Evolução'!E2,0)</f>
        <v>#VALUE!</v>
      </c>
      <c r="H494" s="8" t="e">
        <f>ROUND('Criaturas - Base de Dados'!J84*'Sistema de Raridade e Evolução'!E2,0)</f>
        <v>#VALUE!</v>
      </c>
      <c r="I494" s="8" t="e">
        <f>ROUND('Criaturas - Base de Dados'!K84*'Sistema de Raridade e Evolução'!E2,0)</f>
        <v>#VALUE!</v>
      </c>
      <c r="J494" s="8">
        <f>'Sistema de Raridade e Evolução'!D2</f>
        <v>1</v>
      </c>
      <c r="K494" s="8" t="s">
        <v>8</v>
      </c>
      <c r="L494" s="9" t="e">
        <f t="shared" si="7"/>
        <v>#VALUE!</v>
      </c>
    </row>
    <row r="495" spans="1:12" ht="14.25" hidden="1" customHeight="1" x14ac:dyDescent="0.3">
      <c r="A495" s="8">
        <v>494</v>
      </c>
      <c r="B495" s="8" t="str">
        <f>'Criaturas - Base de Dados'!B84</f>
        <v>Maré Eterna</v>
      </c>
      <c r="C495" s="8" t="str">
        <f>'Criaturas - Base de Dados'!C84</f>
        <v>Água</v>
      </c>
      <c r="D495" s="8" t="str">
        <f>'Criaturas - Base de Dados'!D84</f>
        <v>Ningyo Ancestral</v>
      </c>
      <c r="E495" s="8" t="str">
        <f>'Sistema de Raridade e Evolução'!B3</f>
        <v>Bronze</v>
      </c>
      <c r="F495" s="9">
        <f>ROUND(('Criaturas - Base de Dados'!H84*'Sistema de Raridade e Evolução'!E3)*1000,2)</f>
        <v>14000</v>
      </c>
      <c r="G495" s="8">
        <f>ROUND('Criaturas - Base de Dados'!I84*'Sistema de Raridade e Evolução'!E3,0)</f>
        <v>8</v>
      </c>
      <c r="H495" s="8">
        <f>ROUND('Criaturas - Base de Dados'!J84*'Sistema de Raridade e Evolução'!E3,0)</f>
        <v>7</v>
      </c>
      <c r="I495" s="8">
        <f>ROUND('Criaturas - Base de Dados'!K84*'Sistema de Raridade e Evolução'!E3,0)</f>
        <v>45</v>
      </c>
      <c r="J495" s="8">
        <f>'Sistema de Raridade e Evolução'!D3</f>
        <v>6</v>
      </c>
      <c r="K495" s="8" t="s">
        <v>9</v>
      </c>
      <c r="L495" s="9">
        <f t="shared" si="7"/>
        <v>33333.33</v>
      </c>
    </row>
    <row r="496" spans="1:12" ht="14.25" hidden="1" customHeight="1" x14ac:dyDescent="0.3">
      <c r="A496" s="8">
        <v>495</v>
      </c>
      <c r="B496" s="8" t="str">
        <f>'Criaturas - Base de Dados'!B84</f>
        <v>Maré Eterna</v>
      </c>
      <c r="C496" s="8" t="str">
        <f>'Criaturas - Base de Dados'!C84</f>
        <v>Água</v>
      </c>
      <c r="D496" s="8" t="str">
        <f>'Criaturas - Base de Dados'!D84</f>
        <v>Ningyo Ancestral</v>
      </c>
      <c r="E496" s="8" t="str">
        <f>'Sistema de Raridade e Evolução'!B4</f>
        <v>Prata</v>
      </c>
      <c r="F496" s="9">
        <f>ROUND(('Criaturas - Base de Dados'!H84*'Sistema de Raridade e Evolução'!E4)*1000,2)</f>
        <v>84000</v>
      </c>
      <c r="G496" s="8">
        <f>ROUND('Criaturas - Base de Dados'!I84*'Sistema de Raridade e Evolução'!E4,0)</f>
        <v>48</v>
      </c>
      <c r="H496" s="8">
        <f>ROUND('Criaturas - Base de Dados'!J84*'Sistema de Raridade e Evolução'!E4,0)</f>
        <v>42</v>
      </c>
      <c r="I496" s="8">
        <f>ROUND('Criaturas - Base de Dados'!K84*'Sistema de Raridade e Evolução'!E4,0)</f>
        <v>270</v>
      </c>
      <c r="J496" s="8">
        <f>'Sistema de Raridade e Evolução'!D4</f>
        <v>16</v>
      </c>
      <c r="K496" s="8" t="s">
        <v>10</v>
      </c>
      <c r="L496" s="9">
        <f t="shared" si="7"/>
        <v>200000</v>
      </c>
    </row>
    <row r="497" spans="1:12" ht="14.25" hidden="1" customHeight="1" x14ac:dyDescent="0.3">
      <c r="A497" s="8">
        <v>496</v>
      </c>
      <c r="B497" s="8" t="str">
        <f>'Criaturas - Base de Dados'!B84</f>
        <v>Maré Eterna</v>
      </c>
      <c r="C497" s="8" t="str">
        <f>'Criaturas - Base de Dados'!C84</f>
        <v>Água</v>
      </c>
      <c r="D497" s="8" t="str">
        <f>'Criaturas - Base de Dados'!D84</f>
        <v>Ningyo Ancestral</v>
      </c>
      <c r="E497" s="8" t="str">
        <f>'Sistema de Raridade e Evolução'!B5</f>
        <v>Ouro</v>
      </c>
      <c r="F497" s="9">
        <f>ROUND(('Criaturas - Base de Dados'!H84*'Sistema de Raridade e Evolução'!E5)*1000,2)</f>
        <v>252000</v>
      </c>
      <c r="G497" s="8">
        <f>ROUND('Criaturas - Base de Dados'!I84*'Sistema de Raridade e Evolução'!E5,0)</f>
        <v>144</v>
      </c>
      <c r="H497" s="8">
        <f>ROUND('Criaturas - Base de Dados'!J84*'Sistema de Raridade e Evolução'!E5,0)</f>
        <v>126</v>
      </c>
      <c r="I497" s="8">
        <f>ROUND('Criaturas - Base de Dados'!K84*'Sistema de Raridade e Evolução'!E5,0)</f>
        <v>810</v>
      </c>
      <c r="J497" s="8">
        <f>'Sistema de Raridade e Evolução'!D5</f>
        <v>31</v>
      </c>
      <c r="K497" s="8" t="s">
        <v>11</v>
      </c>
      <c r="L497" s="9">
        <f t="shared" si="7"/>
        <v>600000</v>
      </c>
    </row>
    <row r="498" spans="1:12" ht="14.25" hidden="1" customHeight="1" x14ac:dyDescent="0.3">
      <c r="A498" s="8">
        <v>497</v>
      </c>
      <c r="B498" s="8" t="str">
        <f>'Criaturas - Base de Dados'!B84</f>
        <v>Maré Eterna</v>
      </c>
      <c r="C498" s="8" t="str">
        <f>'Criaturas - Base de Dados'!C84</f>
        <v>Água</v>
      </c>
      <c r="D498" s="8" t="str">
        <f>'Criaturas - Base de Dados'!D84</f>
        <v>Ningyo Ancestral</v>
      </c>
      <c r="E498" s="8" t="str">
        <f>'Sistema de Raridade e Evolução'!B6</f>
        <v>Platina</v>
      </c>
      <c r="F498" s="9">
        <f>ROUND(('Criaturas - Base de Dados'!H84*'Sistema de Raridade e Evolução'!E6)*1000,2)</f>
        <v>700000</v>
      </c>
      <c r="G498" s="8">
        <f>ROUND('Criaturas - Base de Dados'!I84*'Sistema de Raridade e Evolução'!E6,0)</f>
        <v>400</v>
      </c>
      <c r="H498" s="8">
        <f>ROUND('Criaturas - Base de Dados'!J84*'Sistema de Raridade e Evolução'!E6,0)</f>
        <v>350</v>
      </c>
      <c r="I498" s="8">
        <f>ROUND('Criaturas - Base de Dados'!K84*'Sistema de Raridade e Evolução'!E6,0)</f>
        <v>2250</v>
      </c>
      <c r="J498" s="8">
        <f>'Sistema de Raridade e Evolução'!D6</f>
        <v>56</v>
      </c>
      <c r="K498" s="8" t="s">
        <v>12</v>
      </c>
      <c r="L498" s="9">
        <f t="shared" si="7"/>
        <v>1666666.67</v>
      </c>
    </row>
    <row r="499" spans="1:12" ht="14.25" hidden="1" customHeight="1" x14ac:dyDescent="0.3">
      <c r="A499" s="8">
        <v>498</v>
      </c>
      <c r="B499" s="8" t="str">
        <f>'Criaturas - Base de Dados'!B84</f>
        <v>Maré Eterna</v>
      </c>
      <c r="C499" s="8" t="str">
        <f>'Criaturas - Base de Dados'!C84</f>
        <v>Água</v>
      </c>
      <c r="D499" s="8" t="str">
        <f>'Criaturas - Base de Dados'!D84</f>
        <v>Ningyo Ancestral</v>
      </c>
      <c r="E499" s="8" t="str">
        <f>'Sistema de Raridade e Evolução'!B7</f>
        <v>Lendário</v>
      </c>
      <c r="F499" s="9">
        <f>ROUND(('Criaturas - Base de Dados'!H84*'Sistema de Raridade e Evolução'!E7)*1000,2)</f>
        <v>2100000</v>
      </c>
      <c r="G499" s="8">
        <f>ROUND('Criaturas - Base de Dados'!I84*'Sistema de Raridade e Evolução'!E7,0)</f>
        <v>1200</v>
      </c>
      <c r="H499" s="8">
        <f>ROUND('Criaturas - Base de Dados'!J84*'Sistema de Raridade e Evolução'!E7,0)</f>
        <v>1050</v>
      </c>
      <c r="I499" s="8">
        <f>ROUND('Criaturas - Base de Dados'!K84*'Sistema de Raridade e Evolução'!E7,0)</f>
        <v>6750</v>
      </c>
      <c r="J499" s="8">
        <f>'Sistema de Raridade e Evolução'!D7</f>
        <v>91</v>
      </c>
      <c r="K499" s="8" t="s">
        <v>925</v>
      </c>
      <c r="L499" s="9">
        <f t="shared" si="7"/>
        <v>5000000</v>
      </c>
    </row>
    <row r="500" spans="1:12" ht="14.25" customHeight="1" x14ac:dyDescent="0.3">
      <c r="A500" s="8">
        <v>499</v>
      </c>
      <c r="B500" s="8" t="str">
        <f>'Criaturas - Base de Dados'!B85</f>
        <v>Maré Eterna</v>
      </c>
      <c r="C500" s="8" t="str">
        <f>'Criaturas - Base de Dados'!C85</f>
        <v>Água</v>
      </c>
      <c r="D500" s="8" t="str">
        <f>'Criaturas - Base de Dados'!D85</f>
        <v>Selkie das Marés</v>
      </c>
      <c r="E500" s="8" t="str">
        <f>'Sistema de Raridade e Evolução'!B2</f>
        <v>Default</v>
      </c>
      <c r="F500" s="9" t="e">
        <f>ROUND(('Criaturas - Base de Dados'!H85*'Sistema de Raridade e Evolução'!E2)*1000,2)</f>
        <v>#VALUE!</v>
      </c>
      <c r="G500" s="8" t="e">
        <f>ROUND('Criaturas - Base de Dados'!I85*'Sistema de Raridade e Evolução'!E2,0)</f>
        <v>#VALUE!</v>
      </c>
      <c r="H500" s="8" t="e">
        <f>ROUND('Criaturas - Base de Dados'!J85*'Sistema de Raridade e Evolução'!E2,0)</f>
        <v>#VALUE!</v>
      </c>
      <c r="I500" s="8" t="e">
        <f>ROUND('Criaturas - Base de Dados'!K85*'Sistema de Raridade e Evolução'!E2,0)</f>
        <v>#VALUE!</v>
      </c>
      <c r="J500" s="8">
        <f>'Sistema de Raridade e Evolução'!D2</f>
        <v>1</v>
      </c>
      <c r="K500" s="8" t="s">
        <v>8</v>
      </c>
      <c r="L500" s="9" t="e">
        <f t="shared" si="7"/>
        <v>#VALUE!</v>
      </c>
    </row>
    <row r="501" spans="1:12" ht="14.25" hidden="1" customHeight="1" x14ac:dyDescent="0.3">
      <c r="A501" s="8">
        <v>500</v>
      </c>
      <c r="B501" s="8" t="str">
        <f>'Criaturas - Base de Dados'!B85</f>
        <v>Maré Eterna</v>
      </c>
      <c r="C501" s="8" t="str">
        <f>'Criaturas - Base de Dados'!C85</f>
        <v>Água</v>
      </c>
      <c r="D501" s="8" t="str">
        <f>'Criaturas - Base de Dados'!D85</f>
        <v>Selkie das Marés</v>
      </c>
      <c r="E501" s="8" t="str">
        <f>'Sistema de Raridade e Evolução'!B3</f>
        <v>Bronze</v>
      </c>
      <c r="F501" s="9">
        <f>ROUND(('Criaturas - Base de Dados'!H85*'Sistema de Raridade e Evolução'!E3)*1000,2)</f>
        <v>16000</v>
      </c>
      <c r="G501" s="8">
        <f>ROUND('Criaturas - Base de Dados'!I85*'Sistema de Raridade e Evolução'!E3,0)</f>
        <v>10</v>
      </c>
      <c r="H501" s="8">
        <f>ROUND('Criaturas - Base de Dados'!J85*'Sistema de Raridade e Evolução'!E3,0)</f>
        <v>8</v>
      </c>
      <c r="I501" s="8">
        <f>ROUND('Criaturas - Base de Dados'!K85*'Sistema de Raridade e Evolução'!E3,0)</f>
        <v>51</v>
      </c>
      <c r="J501" s="8">
        <f>'Sistema de Raridade e Evolução'!D3</f>
        <v>6</v>
      </c>
      <c r="K501" s="8" t="s">
        <v>9</v>
      </c>
      <c r="L501" s="9">
        <f t="shared" si="7"/>
        <v>38095.24</v>
      </c>
    </row>
    <row r="502" spans="1:12" ht="14.25" hidden="1" customHeight="1" x14ac:dyDescent="0.3">
      <c r="A502" s="8">
        <v>501</v>
      </c>
      <c r="B502" s="8" t="str">
        <f>'Criaturas - Base de Dados'!B85</f>
        <v>Maré Eterna</v>
      </c>
      <c r="C502" s="8" t="str">
        <f>'Criaturas - Base de Dados'!C85</f>
        <v>Água</v>
      </c>
      <c r="D502" s="8" t="str">
        <f>'Criaturas - Base de Dados'!D85</f>
        <v>Selkie das Marés</v>
      </c>
      <c r="E502" s="8" t="str">
        <f>'Sistema de Raridade e Evolução'!B4</f>
        <v>Prata</v>
      </c>
      <c r="F502" s="9">
        <f>ROUND(('Criaturas - Base de Dados'!H85*'Sistema de Raridade e Evolução'!E4)*1000,2)</f>
        <v>96000</v>
      </c>
      <c r="G502" s="8">
        <f>ROUND('Criaturas - Base de Dados'!I85*'Sistema de Raridade e Evolução'!E4,0)</f>
        <v>60</v>
      </c>
      <c r="H502" s="8">
        <f>ROUND('Criaturas - Base de Dados'!J85*'Sistema de Raridade e Evolução'!E4,0)</f>
        <v>48</v>
      </c>
      <c r="I502" s="8">
        <f>ROUND('Criaturas - Base de Dados'!K85*'Sistema de Raridade e Evolução'!E4,0)</f>
        <v>306</v>
      </c>
      <c r="J502" s="8">
        <f>'Sistema de Raridade e Evolução'!D4</f>
        <v>16</v>
      </c>
      <c r="K502" s="8" t="s">
        <v>10</v>
      </c>
      <c r="L502" s="9">
        <f t="shared" si="7"/>
        <v>228571.43</v>
      </c>
    </row>
    <row r="503" spans="1:12" ht="14.25" hidden="1" customHeight="1" x14ac:dyDescent="0.3">
      <c r="A503" s="8">
        <v>502</v>
      </c>
      <c r="B503" s="8" t="str">
        <f>'Criaturas - Base de Dados'!B85</f>
        <v>Maré Eterna</v>
      </c>
      <c r="C503" s="8" t="str">
        <f>'Criaturas - Base de Dados'!C85</f>
        <v>Água</v>
      </c>
      <c r="D503" s="8" t="str">
        <f>'Criaturas - Base de Dados'!D85</f>
        <v>Selkie das Marés</v>
      </c>
      <c r="E503" s="8" t="str">
        <f>'Sistema de Raridade e Evolução'!B5</f>
        <v>Ouro</v>
      </c>
      <c r="F503" s="9">
        <f>ROUND(('Criaturas - Base de Dados'!H85*'Sistema de Raridade e Evolução'!E5)*1000,2)</f>
        <v>288000</v>
      </c>
      <c r="G503" s="8">
        <f>ROUND('Criaturas - Base de Dados'!I85*'Sistema de Raridade e Evolução'!E5,0)</f>
        <v>180</v>
      </c>
      <c r="H503" s="8">
        <f>ROUND('Criaturas - Base de Dados'!J85*'Sistema de Raridade e Evolução'!E5,0)</f>
        <v>144</v>
      </c>
      <c r="I503" s="8">
        <f>ROUND('Criaturas - Base de Dados'!K85*'Sistema de Raridade e Evolução'!E5,0)</f>
        <v>918</v>
      </c>
      <c r="J503" s="8">
        <f>'Sistema de Raridade e Evolução'!D5</f>
        <v>31</v>
      </c>
      <c r="K503" s="8" t="s">
        <v>11</v>
      </c>
      <c r="L503" s="9">
        <f t="shared" si="7"/>
        <v>685714.29</v>
      </c>
    </row>
    <row r="504" spans="1:12" ht="14.25" hidden="1" customHeight="1" x14ac:dyDescent="0.3">
      <c r="A504" s="8">
        <v>503</v>
      </c>
      <c r="B504" s="8" t="str">
        <f>'Criaturas - Base de Dados'!B85</f>
        <v>Maré Eterna</v>
      </c>
      <c r="C504" s="8" t="str">
        <f>'Criaturas - Base de Dados'!C85</f>
        <v>Água</v>
      </c>
      <c r="D504" s="8" t="str">
        <f>'Criaturas - Base de Dados'!D85</f>
        <v>Selkie das Marés</v>
      </c>
      <c r="E504" s="8" t="str">
        <f>'Sistema de Raridade e Evolução'!B6</f>
        <v>Platina</v>
      </c>
      <c r="F504" s="9">
        <f>ROUND(('Criaturas - Base de Dados'!H85*'Sistema de Raridade e Evolução'!E6)*1000,2)</f>
        <v>800000</v>
      </c>
      <c r="G504" s="8">
        <f>ROUND('Criaturas - Base de Dados'!I85*'Sistema de Raridade e Evolução'!E6,0)</f>
        <v>500</v>
      </c>
      <c r="H504" s="8">
        <f>ROUND('Criaturas - Base de Dados'!J85*'Sistema de Raridade e Evolução'!E6,0)</f>
        <v>400</v>
      </c>
      <c r="I504" s="8">
        <f>ROUND('Criaturas - Base de Dados'!K85*'Sistema de Raridade e Evolução'!E6,0)</f>
        <v>2550</v>
      </c>
      <c r="J504" s="8">
        <f>'Sistema de Raridade e Evolução'!D6</f>
        <v>56</v>
      </c>
      <c r="K504" s="8" t="s">
        <v>12</v>
      </c>
      <c r="L504" s="9">
        <f t="shared" si="7"/>
        <v>1904761.9</v>
      </c>
    </row>
    <row r="505" spans="1:12" ht="14.25" hidden="1" customHeight="1" x14ac:dyDescent="0.3">
      <c r="A505" s="8">
        <v>504</v>
      </c>
      <c r="B505" s="8" t="str">
        <f>'Criaturas - Base de Dados'!B85</f>
        <v>Maré Eterna</v>
      </c>
      <c r="C505" s="8" t="str">
        <f>'Criaturas - Base de Dados'!C85</f>
        <v>Água</v>
      </c>
      <c r="D505" s="8" t="str">
        <f>'Criaturas - Base de Dados'!D85</f>
        <v>Selkie das Marés</v>
      </c>
      <c r="E505" s="8" t="str">
        <f>'Sistema de Raridade e Evolução'!B7</f>
        <v>Lendário</v>
      </c>
      <c r="F505" s="9">
        <f>ROUND(('Criaturas - Base de Dados'!H85*'Sistema de Raridade e Evolução'!E7)*1000,2)</f>
        <v>2400000</v>
      </c>
      <c r="G505" s="8">
        <f>ROUND('Criaturas - Base de Dados'!I85*'Sistema de Raridade e Evolução'!E7,0)</f>
        <v>1500</v>
      </c>
      <c r="H505" s="8">
        <f>ROUND('Criaturas - Base de Dados'!J85*'Sistema de Raridade e Evolução'!E7,0)</f>
        <v>1200</v>
      </c>
      <c r="I505" s="8">
        <f>ROUND('Criaturas - Base de Dados'!K85*'Sistema de Raridade e Evolução'!E7,0)</f>
        <v>7650</v>
      </c>
      <c r="J505" s="8">
        <f>'Sistema de Raridade e Evolução'!D7</f>
        <v>91</v>
      </c>
      <c r="K505" s="8" t="s">
        <v>925</v>
      </c>
      <c r="L505" s="9">
        <f t="shared" si="7"/>
        <v>5714285.71</v>
      </c>
    </row>
    <row r="506" spans="1:12" ht="14.25" customHeight="1" x14ac:dyDescent="0.3">
      <c r="A506" s="8">
        <v>505</v>
      </c>
      <c r="B506" s="8" t="str">
        <f>'Criaturas - Base de Dados'!B86</f>
        <v>Maré Eterna</v>
      </c>
      <c r="C506" s="8" t="str">
        <f>'Criaturas - Base de Dados'!C86</f>
        <v>Água</v>
      </c>
      <c r="D506" s="8" t="str">
        <f>'Criaturas - Base de Dados'!D86</f>
        <v>Nereida Radiante</v>
      </c>
      <c r="E506" s="8" t="str">
        <f>'Sistema de Raridade e Evolução'!B2</f>
        <v>Default</v>
      </c>
      <c r="F506" s="9" t="e">
        <f>ROUND(('Criaturas - Base de Dados'!H86*'Sistema de Raridade e Evolução'!E2)*1000,2)</f>
        <v>#VALUE!</v>
      </c>
      <c r="G506" s="8" t="e">
        <f>ROUND('Criaturas - Base de Dados'!I86*'Sistema de Raridade e Evolução'!E2,0)</f>
        <v>#VALUE!</v>
      </c>
      <c r="H506" s="8" t="e">
        <f>ROUND('Criaturas - Base de Dados'!J86*'Sistema de Raridade e Evolução'!E2,0)</f>
        <v>#VALUE!</v>
      </c>
      <c r="I506" s="8" t="e">
        <f>ROUND('Criaturas - Base de Dados'!K86*'Sistema de Raridade e Evolução'!E2,0)</f>
        <v>#VALUE!</v>
      </c>
      <c r="J506" s="8">
        <f>'Sistema de Raridade e Evolução'!D2</f>
        <v>1</v>
      </c>
      <c r="K506" s="8" t="s">
        <v>8</v>
      </c>
      <c r="L506" s="9" t="e">
        <f t="shared" si="7"/>
        <v>#VALUE!</v>
      </c>
    </row>
    <row r="507" spans="1:12" ht="14.25" hidden="1" customHeight="1" x14ac:dyDescent="0.3">
      <c r="A507" s="8">
        <v>506</v>
      </c>
      <c r="B507" s="8" t="str">
        <f>'Criaturas - Base de Dados'!B86</f>
        <v>Maré Eterna</v>
      </c>
      <c r="C507" s="8" t="str">
        <f>'Criaturas - Base de Dados'!C86</f>
        <v>Água</v>
      </c>
      <c r="D507" s="8" t="str">
        <f>'Criaturas - Base de Dados'!D86</f>
        <v>Nereida Radiante</v>
      </c>
      <c r="E507" s="8" t="str">
        <f>'Sistema de Raridade e Evolução'!B3</f>
        <v>Bronze</v>
      </c>
      <c r="F507" s="9">
        <f>ROUND(('Criaturas - Base de Dados'!H86*'Sistema de Raridade e Evolução'!E3)*1000,2)</f>
        <v>16000</v>
      </c>
      <c r="G507" s="8">
        <f>ROUND('Criaturas - Base de Dados'!I86*'Sistema de Raridade e Evolução'!E3,0)</f>
        <v>10</v>
      </c>
      <c r="H507" s="8">
        <f>ROUND('Criaturas - Base de Dados'!J86*'Sistema de Raridade e Evolução'!E3,0)</f>
        <v>8</v>
      </c>
      <c r="I507" s="8">
        <f>ROUND('Criaturas - Base de Dados'!K86*'Sistema de Raridade e Evolução'!E3,0)</f>
        <v>51</v>
      </c>
      <c r="J507" s="8">
        <f>'Sistema de Raridade e Evolução'!D3</f>
        <v>6</v>
      </c>
      <c r="K507" s="8" t="s">
        <v>9</v>
      </c>
      <c r="L507" s="9">
        <f t="shared" si="7"/>
        <v>38095.24</v>
      </c>
    </row>
    <row r="508" spans="1:12" ht="14.25" hidden="1" customHeight="1" x14ac:dyDescent="0.3">
      <c r="A508" s="8">
        <v>507</v>
      </c>
      <c r="B508" s="8" t="str">
        <f>'Criaturas - Base de Dados'!B86</f>
        <v>Maré Eterna</v>
      </c>
      <c r="C508" s="8" t="str">
        <f>'Criaturas - Base de Dados'!C86</f>
        <v>Água</v>
      </c>
      <c r="D508" s="8" t="str">
        <f>'Criaturas - Base de Dados'!D86</f>
        <v>Nereida Radiante</v>
      </c>
      <c r="E508" s="8" t="str">
        <f>'Sistema de Raridade e Evolução'!B4</f>
        <v>Prata</v>
      </c>
      <c r="F508" s="9">
        <f>ROUND(('Criaturas - Base de Dados'!H86*'Sistema de Raridade e Evolução'!E4)*1000,2)</f>
        <v>96000</v>
      </c>
      <c r="G508" s="8">
        <f>ROUND('Criaturas - Base de Dados'!I86*'Sistema de Raridade e Evolução'!E4,0)</f>
        <v>60</v>
      </c>
      <c r="H508" s="8">
        <f>ROUND('Criaturas - Base de Dados'!J86*'Sistema de Raridade e Evolução'!E4,0)</f>
        <v>48</v>
      </c>
      <c r="I508" s="8">
        <f>ROUND('Criaturas - Base de Dados'!K86*'Sistema de Raridade e Evolução'!E4,0)</f>
        <v>306</v>
      </c>
      <c r="J508" s="8">
        <f>'Sistema de Raridade e Evolução'!D4</f>
        <v>16</v>
      </c>
      <c r="K508" s="8" t="s">
        <v>10</v>
      </c>
      <c r="L508" s="9">
        <f t="shared" si="7"/>
        <v>228571.43</v>
      </c>
    </row>
    <row r="509" spans="1:12" ht="14.25" hidden="1" customHeight="1" x14ac:dyDescent="0.3">
      <c r="A509" s="8">
        <v>508</v>
      </c>
      <c r="B509" s="8" t="str">
        <f>'Criaturas - Base de Dados'!B86</f>
        <v>Maré Eterna</v>
      </c>
      <c r="C509" s="8" t="str">
        <f>'Criaturas - Base de Dados'!C86</f>
        <v>Água</v>
      </c>
      <c r="D509" s="8" t="str">
        <f>'Criaturas - Base de Dados'!D86</f>
        <v>Nereida Radiante</v>
      </c>
      <c r="E509" s="8" t="str">
        <f>'Sistema de Raridade e Evolução'!B5</f>
        <v>Ouro</v>
      </c>
      <c r="F509" s="9">
        <f>ROUND(('Criaturas - Base de Dados'!H86*'Sistema de Raridade e Evolução'!E5)*1000,2)</f>
        <v>288000</v>
      </c>
      <c r="G509" s="8">
        <f>ROUND('Criaturas - Base de Dados'!I86*'Sistema de Raridade e Evolução'!E5,0)</f>
        <v>180</v>
      </c>
      <c r="H509" s="8">
        <f>ROUND('Criaturas - Base de Dados'!J86*'Sistema de Raridade e Evolução'!E5,0)</f>
        <v>144</v>
      </c>
      <c r="I509" s="8">
        <f>ROUND('Criaturas - Base de Dados'!K86*'Sistema de Raridade e Evolução'!E5,0)</f>
        <v>918</v>
      </c>
      <c r="J509" s="8">
        <f>'Sistema de Raridade e Evolução'!D5</f>
        <v>31</v>
      </c>
      <c r="K509" s="8" t="s">
        <v>11</v>
      </c>
      <c r="L509" s="9">
        <f t="shared" si="7"/>
        <v>685714.29</v>
      </c>
    </row>
    <row r="510" spans="1:12" ht="14.25" hidden="1" customHeight="1" x14ac:dyDescent="0.3">
      <c r="A510" s="8">
        <v>509</v>
      </c>
      <c r="B510" s="8" t="str">
        <f>'Criaturas - Base de Dados'!B86</f>
        <v>Maré Eterna</v>
      </c>
      <c r="C510" s="8" t="str">
        <f>'Criaturas - Base de Dados'!C86</f>
        <v>Água</v>
      </c>
      <c r="D510" s="8" t="str">
        <f>'Criaturas - Base de Dados'!D86</f>
        <v>Nereida Radiante</v>
      </c>
      <c r="E510" s="8" t="str">
        <f>'Sistema de Raridade e Evolução'!B6</f>
        <v>Platina</v>
      </c>
      <c r="F510" s="9">
        <f>ROUND(('Criaturas - Base de Dados'!H86*'Sistema de Raridade e Evolução'!E6)*1000,2)</f>
        <v>800000</v>
      </c>
      <c r="G510" s="8">
        <f>ROUND('Criaturas - Base de Dados'!I86*'Sistema de Raridade e Evolução'!E6,0)</f>
        <v>500</v>
      </c>
      <c r="H510" s="8">
        <f>ROUND('Criaturas - Base de Dados'!J86*'Sistema de Raridade e Evolução'!E6,0)</f>
        <v>400</v>
      </c>
      <c r="I510" s="8">
        <f>ROUND('Criaturas - Base de Dados'!K86*'Sistema de Raridade e Evolução'!E6,0)</f>
        <v>2550</v>
      </c>
      <c r="J510" s="8">
        <f>'Sistema de Raridade e Evolução'!D6</f>
        <v>56</v>
      </c>
      <c r="K510" s="8" t="s">
        <v>12</v>
      </c>
      <c r="L510" s="9">
        <f t="shared" si="7"/>
        <v>1904761.9</v>
      </c>
    </row>
    <row r="511" spans="1:12" ht="14.25" hidden="1" customHeight="1" x14ac:dyDescent="0.3">
      <c r="A511" s="8">
        <v>510</v>
      </c>
      <c r="B511" s="8" t="str">
        <f>'Criaturas - Base de Dados'!B86</f>
        <v>Maré Eterna</v>
      </c>
      <c r="C511" s="8" t="str">
        <f>'Criaturas - Base de Dados'!C86</f>
        <v>Água</v>
      </c>
      <c r="D511" s="8" t="str">
        <f>'Criaturas - Base de Dados'!D86</f>
        <v>Nereida Radiante</v>
      </c>
      <c r="E511" s="8" t="str">
        <f>'Sistema de Raridade e Evolução'!B7</f>
        <v>Lendário</v>
      </c>
      <c r="F511" s="9">
        <f>ROUND(('Criaturas - Base de Dados'!H86*'Sistema de Raridade e Evolução'!E7)*1000,2)</f>
        <v>2400000</v>
      </c>
      <c r="G511" s="8">
        <f>ROUND('Criaturas - Base de Dados'!I86*'Sistema de Raridade e Evolução'!E7,0)</f>
        <v>1500</v>
      </c>
      <c r="H511" s="8">
        <f>ROUND('Criaturas - Base de Dados'!J86*'Sistema de Raridade e Evolução'!E7,0)</f>
        <v>1200</v>
      </c>
      <c r="I511" s="8">
        <f>ROUND('Criaturas - Base de Dados'!K86*'Sistema de Raridade e Evolução'!E7,0)</f>
        <v>7650</v>
      </c>
      <c r="J511" s="8">
        <f>'Sistema de Raridade e Evolução'!D7</f>
        <v>91</v>
      </c>
      <c r="K511" s="8" t="s">
        <v>925</v>
      </c>
      <c r="L511" s="9">
        <f t="shared" si="7"/>
        <v>5714285.71</v>
      </c>
    </row>
    <row r="512" spans="1:12" ht="14.25" customHeight="1" x14ac:dyDescent="0.3">
      <c r="A512" s="8">
        <v>511</v>
      </c>
      <c r="B512" s="8" t="str">
        <f>'Criaturas - Base de Dados'!B87</f>
        <v>Maré Eterna</v>
      </c>
      <c r="C512" s="8" t="str">
        <f>'Criaturas - Base de Dados'!C87</f>
        <v>Água</v>
      </c>
      <c r="D512" s="8" t="str">
        <f>'Criaturas - Base de Dados'!D87</f>
        <v>Hipocampo Real</v>
      </c>
      <c r="E512" s="8" t="str">
        <f>'Sistema de Raridade e Evolução'!B2</f>
        <v>Default</v>
      </c>
      <c r="F512" s="9" t="e">
        <f>ROUND(('Criaturas - Base de Dados'!H87*'Sistema de Raridade e Evolução'!E2)*1000,2)</f>
        <v>#VALUE!</v>
      </c>
      <c r="G512" s="8" t="e">
        <f>ROUND('Criaturas - Base de Dados'!I87*'Sistema de Raridade e Evolução'!E2,0)</f>
        <v>#VALUE!</v>
      </c>
      <c r="H512" s="8" t="e">
        <f>ROUND('Criaturas - Base de Dados'!J87*'Sistema de Raridade e Evolução'!E2,0)</f>
        <v>#VALUE!</v>
      </c>
      <c r="I512" s="8" t="e">
        <f>ROUND('Criaturas - Base de Dados'!K87*'Sistema de Raridade e Evolução'!E2,0)</f>
        <v>#VALUE!</v>
      </c>
      <c r="J512" s="8">
        <f>'Sistema de Raridade e Evolução'!D2</f>
        <v>1</v>
      </c>
      <c r="K512" s="8" t="s">
        <v>8</v>
      </c>
      <c r="L512" s="9" t="e">
        <f t="shared" si="7"/>
        <v>#VALUE!</v>
      </c>
    </row>
    <row r="513" spans="1:12" ht="14.25" hidden="1" customHeight="1" x14ac:dyDescent="0.3">
      <c r="A513" s="8">
        <v>512</v>
      </c>
      <c r="B513" s="8" t="str">
        <f>'Criaturas - Base de Dados'!B87</f>
        <v>Maré Eterna</v>
      </c>
      <c r="C513" s="8" t="str">
        <f>'Criaturas - Base de Dados'!C87</f>
        <v>Água</v>
      </c>
      <c r="D513" s="8" t="str">
        <f>'Criaturas - Base de Dados'!D87</f>
        <v>Hipocampo Real</v>
      </c>
      <c r="E513" s="8" t="str">
        <f>'Sistema de Raridade e Evolução'!B3</f>
        <v>Bronze</v>
      </c>
      <c r="F513" s="9">
        <f>ROUND(('Criaturas - Base de Dados'!H87*'Sistema de Raridade e Evolução'!E3)*1000,2)</f>
        <v>18000</v>
      </c>
      <c r="G513" s="8">
        <f>ROUND('Criaturas - Base de Dados'!I87*'Sistema de Raridade e Evolução'!E3,0)</f>
        <v>11</v>
      </c>
      <c r="H513" s="8">
        <f>ROUND('Criaturas - Base de Dados'!J87*'Sistema de Raridade e Evolução'!E3,0)</f>
        <v>9</v>
      </c>
      <c r="I513" s="8">
        <f>ROUND('Criaturas - Base de Dados'!K87*'Sistema de Raridade e Evolução'!E3,0)</f>
        <v>58</v>
      </c>
      <c r="J513" s="8">
        <f>'Sistema de Raridade e Evolução'!D3</f>
        <v>6</v>
      </c>
      <c r="K513" s="8" t="s">
        <v>9</v>
      </c>
      <c r="L513" s="9">
        <f t="shared" si="7"/>
        <v>42857.14</v>
      </c>
    </row>
    <row r="514" spans="1:12" ht="14.25" hidden="1" customHeight="1" x14ac:dyDescent="0.3">
      <c r="A514" s="8">
        <v>513</v>
      </c>
      <c r="B514" s="8" t="str">
        <f>'Criaturas - Base de Dados'!B87</f>
        <v>Maré Eterna</v>
      </c>
      <c r="C514" s="8" t="str">
        <f>'Criaturas - Base de Dados'!C87</f>
        <v>Água</v>
      </c>
      <c r="D514" s="8" t="str">
        <f>'Criaturas - Base de Dados'!D87</f>
        <v>Hipocampo Real</v>
      </c>
      <c r="E514" s="8" t="str">
        <f>'Sistema de Raridade e Evolução'!B4</f>
        <v>Prata</v>
      </c>
      <c r="F514" s="9">
        <f>ROUND(('Criaturas - Base de Dados'!H87*'Sistema de Raridade e Evolução'!E4)*1000,2)</f>
        <v>108000</v>
      </c>
      <c r="G514" s="8">
        <f>ROUND('Criaturas - Base de Dados'!I87*'Sistema de Raridade e Evolução'!E4,0)</f>
        <v>66</v>
      </c>
      <c r="H514" s="8">
        <f>ROUND('Criaturas - Base de Dados'!J87*'Sistema de Raridade e Evolução'!E4,0)</f>
        <v>54</v>
      </c>
      <c r="I514" s="8">
        <f>ROUND('Criaturas - Base de Dados'!K87*'Sistema de Raridade e Evolução'!E4,0)</f>
        <v>348</v>
      </c>
      <c r="J514" s="8">
        <f>'Sistema de Raridade e Evolução'!D4</f>
        <v>16</v>
      </c>
      <c r="K514" s="8" t="s">
        <v>10</v>
      </c>
      <c r="L514" s="9">
        <f t="shared" ref="L514:L577" si="8">ROUND(F514*(2.5/1.05),2)</f>
        <v>257142.86</v>
      </c>
    </row>
    <row r="515" spans="1:12" ht="14.25" hidden="1" customHeight="1" x14ac:dyDescent="0.3">
      <c r="A515" s="8">
        <v>514</v>
      </c>
      <c r="B515" s="8" t="str">
        <f>'Criaturas - Base de Dados'!B87</f>
        <v>Maré Eterna</v>
      </c>
      <c r="C515" s="8" t="str">
        <f>'Criaturas - Base de Dados'!C87</f>
        <v>Água</v>
      </c>
      <c r="D515" s="8" t="str">
        <f>'Criaturas - Base de Dados'!D87</f>
        <v>Hipocampo Real</v>
      </c>
      <c r="E515" s="8" t="str">
        <f>'Sistema de Raridade e Evolução'!B5</f>
        <v>Ouro</v>
      </c>
      <c r="F515" s="9">
        <f>ROUND(('Criaturas - Base de Dados'!H87*'Sistema de Raridade e Evolução'!E5)*1000,2)</f>
        <v>324000</v>
      </c>
      <c r="G515" s="8">
        <f>ROUND('Criaturas - Base de Dados'!I87*'Sistema de Raridade e Evolução'!E5,0)</f>
        <v>198</v>
      </c>
      <c r="H515" s="8">
        <f>ROUND('Criaturas - Base de Dados'!J87*'Sistema de Raridade e Evolução'!E5,0)</f>
        <v>162</v>
      </c>
      <c r="I515" s="8">
        <f>ROUND('Criaturas - Base de Dados'!K87*'Sistema de Raridade e Evolução'!E5,0)</f>
        <v>1044</v>
      </c>
      <c r="J515" s="8">
        <f>'Sistema de Raridade e Evolução'!D5</f>
        <v>31</v>
      </c>
      <c r="K515" s="8" t="s">
        <v>11</v>
      </c>
      <c r="L515" s="9">
        <f t="shared" si="8"/>
        <v>771428.57</v>
      </c>
    </row>
    <row r="516" spans="1:12" ht="14.25" hidden="1" customHeight="1" x14ac:dyDescent="0.3">
      <c r="A516" s="8">
        <v>515</v>
      </c>
      <c r="B516" s="8" t="str">
        <f>'Criaturas - Base de Dados'!B87</f>
        <v>Maré Eterna</v>
      </c>
      <c r="C516" s="8" t="str">
        <f>'Criaturas - Base de Dados'!C87</f>
        <v>Água</v>
      </c>
      <c r="D516" s="8" t="str">
        <f>'Criaturas - Base de Dados'!D87</f>
        <v>Hipocampo Real</v>
      </c>
      <c r="E516" s="8" t="str">
        <f>'Sistema de Raridade e Evolução'!B6</f>
        <v>Platina</v>
      </c>
      <c r="F516" s="9">
        <f>ROUND(('Criaturas - Base de Dados'!H87*'Sistema de Raridade e Evolução'!E6)*1000,2)</f>
        <v>900000</v>
      </c>
      <c r="G516" s="8">
        <f>ROUND('Criaturas - Base de Dados'!I87*'Sistema de Raridade e Evolução'!E6,0)</f>
        <v>550</v>
      </c>
      <c r="H516" s="8">
        <f>ROUND('Criaturas - Base de Dados'!J87*'Sistema de Raridade e Evolução'!E6,0)</f>
        <v>450</v>
      </c>
      <c r="I516" s="8">
        <f>ROUND('Criaturas - Base de Dados'!K87*'Sistema de Raridade e Evolução'!E6,0)</f>
        <v>2900</v>
      </c>
      <c r="J516" s="8">
        <f>'Sistema de Raridade e Evolução'!D6</f>
        <v>56</v>
      </c>
      <c r="K516" s="8" t="s">
        <v>12</v>
      </c>
      <c r="L516" s="9">
        <f t="shared" si="8"/>
        <v>2142857.14</v>
      </c>
    </row>
    <row r="517" spans="1:12" ht="14.25" hidden="1" customHeight="1" x14ac:dyDescent="0.3">
      <c r="A517" s="8">
        <v>516</v>
      </c>
      <c r="B517" s="8" t="str">
        <f>'Criaturas - Base de Dados'!B87</f>
        <v>Maré Eterna</v>
      </c>
      <c r="C517" s="8" t="str">
        <f>'Criaturas - Base de Dados'!C87</f>
        <v>Água</v>
      </c>
      <c r="D517" s="8" t="str">
        <f>'Criaturas - Base de Dados'!D87</f>
        <v>Hipocampo Real</v>
      </c>
      <c r="E517" s="8" t="str">
        <f>'Sistema de Raridade e Evolução'!B7</f>
        <v>Lendário</v>
      </c>
      <c r="F517" s="9">
        <f>ROUND(('Criaturas - Base de Dados'!H87*'Sistema de Raridade e Evolução'!E7)*1000,2)</f>
        <v>2700000</v>
      </c>
      <c r="G517" s="8">
        <f>ROUND('Criaturas - Base de Dados'!I87*'Sistema de Raridade e Evolução'!E7,0)</f>
        <v>1650</v>
      </c>
      <c r="H517" s="8">
        <f>ROUND('Criaturas - Base de Dados'!J87*'Sistema de Raridade e Evolução'!E7,0)</f>
        <v>1350</v>
      </c>
      <c r="I517" s="8">
        <f>ROUND('Criaturas - Base de Dados'!K87*'Sistema de Raridade e Evolução'!E7,0)</f>
        <v>8700</v>
      </c>
      <c r="J517" s="8">
        <f>'Sistema de Raridade e Evolução'!D7</f>
        <v>91</v>
      </c>
      <c r="K517" s="8" t="s">
        <v>925</v>
      </c>
      <c r="L517" s="9">
        <f t="shared" si="8"/>
        <v>6428571.4299999997</v>
      </c>
    </row>
    <row r="518" spans="1:12" ht="14.25" customHeight="1" x14ac:dyDescent="0.3">
      <c r="A518" s="8">
        <v>517</v>
      </c>
      <c r="B518" s="8" t="str">
        <f>'Criaturas - Base de Dados'!B88</f>
        <v>Maré Eterna</v>
      </c>
      <c r="C518" s="8" t="str">
        <f>'Criaturas - Base de Dados'!C88</f>
        <v>Água</v>
      </c>
      <c r="D518" s="8" t="str">
        <f>'Criaturas - Base de Dados'!D88</f>
        <v>Náiade da Fonte Sagrada</v>
      </c>
      <c r="E518" s="8" t="str">
        <f>'Sistema de Raridade e Evolução'!B2</f>
        <v>Default</v>
      </c>
      <c r="F518" s="9" t="e">
        <f>ROUND(('Criaturas - Base de Dados'!H88*'Sistema de Raridade e Evolução'!E2)*1000,2)</f>
        <v>#VALUE!</v>
      </c>
      <c r="G518" s="8" t="e">
        <f>ROUND('Criaturas - Base de Dados'!I88*'Sistema de Raridade e Evolução'!E2,0)</f>
        <v>#VALUE!</v>
      </c>
      <c r="H518" s="8" t="e">
        <f>ROUND('Criaturas - Base de Dados'!J88*'Sistema de Raridade e Evolução'!E2,0)</f>
        <v>#VALUE!</v>
      </c>
      <c r="I518" s="8" t="e">
        <f>ROUND('Criaturas - Base de Dados'!K88*'Sistema de Raridade e Evolução'!E2,0)</f>
        <v>#VALUE!</v>
      </c>
      <c r="J518" s="8">
        <f>'Sistema de Raridade e Evolução'!D2</f>
        <v>1</v>
      </c>
      <c r="K518" s="8" t="s">
        <v>8</v>
      </c>
      <c r="L518" s="9" t="e">
        <f t="shared" si="8"/>
        <v>#VALUE!</v>
      </c>
    </row>
    <row r="519" spans="1:12" ht="14.25" hidden="1" customHeight="1" x14ac:dyDescent="0.3">
      <c r="A519" s="8">
        <v>518</v>
      </c>
      <c r="B519" s="8" t="str">
        <f>'Criaturas - Base de Dados'!B88</f>
        <v>Maré Eterna</v>
      </c>
      <c r="C519" s="8" t="str">
        <f>'Criaturas - Base de Dados'!C88</f>
        <v>Água</v>
      </c>
      <c r="D519" s="8" t="str">
        <f>'Criaturas - Base de Dados'!D88</f>
        <v>Náiade da Fonte Sagrada</v>
      </c>
      <c r="E519" s="8" t="str">
        <f>'Sistema de Raridade e Evolução'!B3</f>
        <v>Bronze</v>
      </c>
      <c r="F519" s="9">
        <f>ROUND(('Criaturas - Base de Dados'!H88*'Sistema de Raridade e Evolução'!E3)*1000,2)</f>
        <v>20000</v>
      </c>
      <c r="G519" s="8">
        <f>ROUND('Criaturas - Base de Dados'!I88*'Sistema de Raridade e Evolução'!E3,0)</f>
        <v>12</v>
      </c>
      <c r="H519" s="8">
        <f>ROUND('Criaturas - Base de Dados'!J88*'Sistema de Raridade e Evolução'!E3,0)</f>
        <v>10</v>
      </c>
      <c r="I519" s="8">
        <f>ROUND('Criaturas - Base de Dados'!K88*'Sistema de Raridade e Evolução'!E3,0)</f>
        <v>64</v>
      </c>
      <c r="J519" s="8">
        <f>'Sistema de Raridade e Evolução'!D3</f>
        <v>6</v>
      </c>
      <c r="K519" s="8" t="s">
        <v>9</v>
      </c>
      <c r="L519" s="9">
        <f t="shared" si="8"/>
        <v>47619.05</v>
      </c>
    </row>
    <row r="520" spans="1:12" ht="14.25" hidden="1" customHeight="1" x14ac:dyDescent="0.3">
      <c r="A520" s="8">
        <v>519</v>
      </c>
      <c r="B520" s="8" t="str">
        <f>'Criaturas - Base de Dados'!B88</f>
        <v>Maré Eterna</v>
      </c>
      <c r="C520" s="8" t="str">
        <f>'Criaturas - Base de Dados'!C88</f>
        <v>Água</v>
      </c>
      <c r="D520" s="8" t="str">
        <f>'Criaturas - Base de Dados'!D88</f>
        <v>Náiade da Fonte Sagrada</v>
      </c>
      <c r="E520" s="8" t="str">
        <f>'Sistema de Raridade e Evolução'!B4</f>
        <v>Prata</v>
      </c>
      <c r="F520" s="9">
        <f>ROUND(('Criaturas - Base de Dados'!H88*'Sistema de Raridade e Evolução'!E4)*1000,2)</f>
        <v>120000</v>
      </c>
      <c r="G520" s="8">
        <f>ROUND('Criaturas - Base de Dados'!I88*'Sistema de Raridade e Evolução'!E4,0)</f>
        <v>72</v>
      </c>
      <c r="H520" s="8">
        <f>ROUND('Criaturas - Base de Dados'!J88*'Sistema de Raridade e Evolução'!E4,0)</f>
        <v>60</v>
      </c>
      <c r="I520" s="8">
        <f>ROUND('Criaturas - Base de Dados'!K88*'Sistema de Raridade e Evolução'!E4,0)</f>
        <v>384</v>
      </c>
      <c r="J520" s="8">
        <f>'Sistema de Raridade e Evolução'!D4</f>
        <v>16</v>
      </c>
      <c r="K520" s="8" t="s">
        <v>10</v>
      </c>
      <c r="L520" s="9">
        <f t="shared" si="8"/>
        <v>285714.28999999998</v>
      </c>
    </row>
    <row r="521" spans="1:12" ht="14.25" hidden="1" customHeight="1" x14ac:dyDescent="0.3">
      <c r="A521" s="8">
        <v>520</v>
      </c>
      <c r="B521" s="8" t="str">
        <f>'Criaturas - Base de Dados'!B88</f>
        <v>Maré Eterna</v>
      </c>
      <c r="C521" s="8" t="str">
        <f>'Criaturas - Base de Dados'!C88</f>
        <v>Água</v>
      </c>
      <c r="D521" s="8" t="str">
        <f>'Criaturas - Base de Dados'!D88</f>
        <v>Náiade da Fonte Sagrada</v>
      </c>
      <c r="E521" s="8" t="str">
        <f>'Sistema de Raridade e Evolução'!B5</f>
        <v>Ouro</v>
      </c>
      <c r="F521" s="9">
        <f>ROUND(('Criaturas - Base de Dados'!H88*'Sistema de Raridade e Evolução'!E5)*1000,2)</f>
        <v>360000</v>
      </c>
      <c r="G521" s="8">
        <f>ROUND('Criaturas - Base de Dados'!I88*'Sistema de Raridade e Evolução'!E5,0)</f>
        <v>216</v>
      </c>
      <c r="H521" s="8">
        <f>ROUND('Criaturas - Base de Dados'!J88*'Sistema de Raridade e Evolução'!E5,0)</f>
        <v>180</v>
      </c>
      <c r="I521" s="8">
        <f>ROUND('Criaturas - Base de Dados'!K88*'Sistema de Raridade e Evolução'!E5,0)</f>
        <v>1152</v>
      </c>
      <c r="J521" s="8">
        <f>'Sistema de Raridade e Evolução'!D5</f>
        <v>31</v>
      </c>
      <c r="K521" s="8" t="s">
        <v>11</v>
      </c>
      <c r="L521" s="9">
        <f t="shared" si="8"/>
        <v>857142.86</v>
      </c>
    </row>
    <row r="522" spans="1:12" ht="14.25" hidden="1" customHeight="1" x14ac:dyDescent="0.3">
      <c r="A522" s="8">
        <v>521</v>
      </c>
      <c r="B522" s="8" t="str">
        <f>'Criaturas - Base de Dados'!B88</f>
        <v>Maré Eterna</v>
      </c>
      <c r="C522" s="8" t="str">
        <f>'Criaturas - Base de Dados'!C88</f>
        <v>Água</v>
      </c>
      <c r="D522" s="8" t="str">
        <f>'Criaturas - Base de Dados'!D88</f>
        <v>Náiade da Fonte Sagrada</v>
      </c>
      <c r="E522" s="8" t="str">
        <f>'Sistema de Raridade e Evolução'!B6</f>
        <v>Platina</v>
      </c>
      <c r="F522" s="9">
        <f>ROUND(('Criaturas - Base de Dados'!H88*'Sistema de Raridade e Evolução'!E6)*1000,2)</f>
        <v>1000000</v>
      </c>
      <c r="G522" s="8">
        <f>ROUND('Criaturas - Base de Dados'!I88*'Sistema de Raridade e Evolução'!E6,0)</f>
        <v>600</v>
      </c>
      <c r="H522" s="8">
        <f>ROUND('Criaturas - Base de Dados'!J88*'Sistema de Raridade e Evolução'!E6,0)</f>
        <v>500</v>
      </c>
      <c r="I522" s="8">
        <f>ROUND('Criaturas - Base de Dados'!K88*'Sistema de Raridade e Evolução'!E6,0)</f>
        <v>3200</v>
      </c>
      <c r="J522" s="8">
        <f>'Sistema de Raridade e Evolução'!D6</f>
        <v>56</v>
      </c>
      <c r="K522" s="8" t="s">
        <v>12</v>
      </c>
      <c r="L522" s="9">
        <f t="shared" si="8"/>
        <v>2380952.38</v>
      </c>
    </row>
    <row r="523" spans="1:12" ht="14.25" hidden="1" customHeight="1" x14ac:dyDescent="0.3">
      <c r="A523" s="8">
        <v>522</v>
      </c>
      <c r="B523" s="8" t="str">
        <f>'Criaturas - Base de Dados'!B88</f>
        <v>Maré Eterna</v>
      </c>
      <c r="C523" s="8" t="str">
        <f>'Criaturas - Base de Dados'!C88</f>
        <v>Água</v>
      </c>
      <c r="D523" s="8" t="str">
        <f>'Criaturas - Base de Dados'!D88</f>
        <v>Náiade da Fonte Sagrada</v>
      </c>
      <c r="E523" s="8" t="str">
        <f>'Sistema de Raridade e Evolução'!B7</f>
        <v>Lendário</v>
      </c>
      <c r="F523" s="9">
        <f>ROUND(('Criaturas - Base de Dados'!H88*'Sistema de Raridade e Evolução'!E7)*1000,2)</f>
        <v>3000000</v>
      </c>
      <c r="G523" s="8">
        <f>ROUND('Criaturas - Base de Dados'!I88*'Sistema de Raridade e Evolução'!E7,0)</f>
        <v>1800</v>
      </c>
      <c r="H523" s="8">
        <f>ROUND('Criaturas - Base de Dados'!J88*'Sistema de Raridade e Evolução'!E7,0)</f>
        <v>1500</v>
      </c>
      <c r="I523" s="8">
        <f>ROUND('Criaturas - Base de Dados'!K88*'Sistema de Raridade e Evolução'!E7,0)</f>
        <v>9600</v>
      </c>
      <c r="J523" s="8">
        <f>'Sistema de Raridade e Evolução'!D7</f>
        <v>91</v>
      </c>
      <c r="K523" s="8" t="s">
        <v>925</v>
      </c>
      <c r="L523" s="9">
        <f t="shared" si="8"/>
        <v>7142857.1399999997</v>
      </c>
    </row>
    <row r="524" spans="1:12" ht="14.25" customHeight="1" x14ac:dyDescent="0.3">
      <c r="A524" s="8">
        <v>523</v>
      </c>
      <c r="B524" s="8" t="str">
        <f>'Criaturas - Base de Dados'!B89</f>
        <v>Maré Eterna</v>
      </c>
      <c r="C524" s="8" t="str">
        <f>'Criaturas - Base de Dados'!C89</f>
        <v>Água</v>
      </c>
      <c r="D524" s="8" t="str">
        <f>'Criaturas - Base de Dados'!D89</f>
        <v>Merrow das Ondas</v>
      </c>
      <c r="E524" s="8" t="str">
        <f>'Sistema de Raridade e Evolução'!B2</f>
        <v>Default</v>
      </c>
      <c r="F524" s="9" t="e">
        <f>ROUND(('Criaturas - Base de Dados'!H89*'Sistema de Raridade e Evolução'!E2)*1000,2)</f>
        <v>#VALUE!</v>
      </c>
      <c r="G524" s="8" t="e">
        <f>ROUND('Criaturas - Base de Dados'!I89*'Sistema de Raridade e Evolução'!E2,0)</f>
        <v>#VALUE!</v>
      </c>
      <c r="H524" s="8" t="e">
        <f>ROUND('Criaturas - Base de Dados'!J89*'Sistema de Raridade e Evolução'!E2,0)</f>
        <v>#VALUE!</v>
      </c>
      <c r="I524" s="8" t="e">
        <f>ROUND('Criaturas - Base de Dados'!K89*'Sistema de Raridade e Evolução'!E2,0)</f>
        <v>#VALUE!</v>
      </c>
      <c r="J524" s="8">
        <f>'Sistema de Raridade e Evolução'!D2</f>
        <v>1</v>
      </c>
      <c r="K524" s="8" t="s">
        <v>8</v>
      </c>
      <c r="L524" s="9" t="e">
        <f t="shared" si="8"/>
        <v>#VALUE!</v>
      </c>
    </row>
    <row r="525" spans="1:12" ht="14.25" hidden="1" customHeight="1" x14ac:dyDescent="0.3">
      <c r="A525" s="8">
        <v>524</v>
      </c>
      <c r="B525" s="8" t="str">
        <f>'Criaturas - Base de Dados'!B89</f>
        <v>Maré Eterna</v>
      </c>
      <c r="C525" s="8" t="str">
        <f>'Criaturas - Base de Dados'!C89</f>
        <v>Água</v>
      </c>
      <c r="D525" s="8" t="str">
        <f>'Criaturas - Base de Dados'!D89</f>
        <v>Merrow das Ondas</v>
      </c>
      <c r="E525" s="8" t="str">
        <f>'Sistema de Raridade e Evolução'!B3</f>
        <v>Bronze</v>
      </c>
      <c r="F525" s="9">
        <f>ROUND(('Criaturas - Base de Dados'!H89*'Sistema de Raridade e Evolução'!E3)*1000,2)</f>
        <v>22000</v>
      </c>
      <c r="G525" s="8">
        <f>ROUND('Criaturas - Base de Dados'!I89*'Sistema de Raridade e Evolução'!E3,0)</f>
        <v>13</v>
      </c>
      <c r="H525" s="8">
        <f>ROUND('Criaturas - Base de Dados'!J89*'Sistema de Raridade e Evolução'!E3,0)</f>
        <v>11</v>
      </c>
      <c r="I525" s="8">
        <f>ROUND('Criaturas - Base de Dados'!K89*'Sistema de Raridade e Evolução'!E3,0)</f>
        <v>70</v>
      </c>
      <c r="J525" s="8">
        <f>'Sistema de Raridade e Evolução'!D3</f>
        <v>6</v>
      </c>
      <c r="K525" s="8" t="s">
        <v>9</v>
      </c>
      <c r="L525" s="9">
        <f t="shared" si="8"/>
        <v>52380.95</v>
      </c>
    </row>
    <row r="526" spans="1:12" ht="14.25" hidden="1" customHeight="1" x14ac:dyDescent="0.3">
      <c r="A526" s="8">
        <v>525</v>
      </c>
      <c r="B526" s="8" t="str">
        <f>'Criaturas - Base de Dados'!B89</f>
        <v>Maré Eterna</v>
      </c>
      <c r="C526" s="8" t="str">
        <f>'Criaturas - Base de Dados'!C89</f>
        <v>Água</v>
      </c>
      <c r="D526" s="8" t="str">
        <f>'Criaturas - Base de Dados'!D89</f>
        <v>Merrow das Ondas</v>
      </c>
      <c r="E526" s="8" t="str">
        <f>'Sistema de Raridade e Evolução'!B4</f>
        <v>Prata</v>
      </c>
      <c r="F526" s="9">
        <f>ROUND(('Criaturas - Base de Dados'!H89*'Sistema de Raridade e Evolução'!E4)*1000,2)</f>
        <v>132000</v>
      </c>
      <c r="G526" s="8">
        <f>ROUND('Criaturas - Base de Dados'!I89*'Sistema de Raridade e Evolução'!E4,0)</f>
        <v>78</v>
      </c>
      <c r="H526" s="8">
        <f>ROUND('Criaturas - Base de Dados'!J89*'Sistema de Raridade e Evolução'!E4,0)</f>
        <v>66</v>
      </c>
      <c r="I526" s="8">
        <f>ROUND('Criaturas - Base de Dados'!K89*'Sistema de Raridade e Evolução'!E4,0)</f>
        <v>420</v>
      </c>
      <c r="J526" s="8">
        <f>'Sistema de Raridade e Evolução'!D4</f>
        <v>16</v>
      </c>
      <c r="K526" s="8" t="s">
        <v>10</v>
      </c>
      <c r="L526" s="9">
        <f t="shared" si="8"/>
        <v>314285.71000000002</v>
      </c>
    </row>
    <row r="527" spans="1:12" ht="14.25" hidden="1" customHeight="1" x14ac:dyDescent="0.3">
      <c r="A527" s="8">
        <v>526</v>
      </c>
      <c r="B527" s="8" t="str">
        <f>'Criaturas - Base de Dados'!B89</f>
        <v>Maré Eterna</v>
      </c>
      <c r="C527" s="8" t="str">
        <f>'Criaturas - Base de Dados'!C89</f>
        <v>Água</v>
      </c>
      <c r="D527" s="8" t="str">
        <f>'Criaturas - Base de Dados'!D89</f>
        <v>Merrow das Ondas</v>
      </c>
      <c r="E527" s="8" t="str">
        <f>'Sistema de Raridade e Evolução'!B5</f>
        <v>Ouro</v>
      </c>
      <c r="F527" s="9">
        <f>ROUND(('Criaturas - Base de Dados'!H89*'Sistema de Raridade e Evolução'!E5)*1000,2)</f>
        <v>396000</v>
      </c>
      <c r="G527" s="8">
        <f>ROUND('Criaturas - Base de Dados'!I89*'Sistema de Raridade e Evolução'!E5,0)</f>
        <v>234</v>
      </c>
      <c r="H527" s="8">
        <f>ROUND('Criaturas - Base de Dados'!J89*'Sistema de Raridade e Evolução'!E5,0)</f>
        <v>198</v>
      </c>
      <c r="I527" s="8">
        <f>ROUND('Criaturas - Base de Dados'!K89*'Sistema de Raridade e Evolução'!E5,0)</f>
        <v>1260</v>
      </c>
      <c r="J527" s="8">
        <f>'Sistema de Raridade e Evolução'!D5</f>
        <v>31</v>
      </c>
      <c r="K527" s="8" t="s">
        <v>11</v>
      </c>
      <c r="L527" s="9">
        <f t="shared" si="8"/>
        <v>942857.14</v>
      </c>
    </row>
    <row r="528" spans="1:12" ht="14.25" hidden="1" customHeight="1" x14ac:dyDescent="0.3">
      <c r="A528" s="8">
        <v>527</v>
      </c>
      <c r="B528" s="8" t="str">
        <f>'Criaturas - Base de Dados'!B89</f>
        <v>Maré Eterna</v>
      </c>
      <c r="C528" s="8" t="str">
        <f>'Criaturas - Base de Dados'!C89</f>
        <v>Água</v>
      </c>
      <c r="D528" s="8" t="str">
        <f>'Criaturas - Base de Dados'!D89</f>
        <v>Merrow das Ondas</v>
      </c>
      <c r="E528" s="8" t="str">
        <f>'Sistema de Raridade e Evolução'!B6</f>
        <v>Platina</v>
      </c>
      <c r="F528" s="9">
        <f>ROUND(('Criaturas - Base de Dados'!H89*'Sistema de Raridade e Evolução'!E6)*1000,2)</f>
        <v>1100000</v>
      </c>
      <c r="G528" s="8">
        <f>ROUND('Criaturas - Base de Dados'!I89*'Sistema de Raridade e Evolução'!E6,0)</f>
        <v>650</v>
      </c>
      <c r="H528" s="8">
        <f>ROUND('Criaturas - Base de Dados'!J89*'Sistema de Raridade e Evolução'!E6,0)</f>
        <v>550</v>
      </c>
      <c r="I528" s="8">
        <f>ROUND('Criaturas - Base de Dados'!K89*'Sistema de Raridade e Evolução'!E6,0)</f>
        <v>3500</v>
      </c>
      <c r="J528" s="8">
        <f>'Sistema de Raridade e Evolução'!D6</f>
        <v>56</v>
      </c>
      <c r="K528" s="8" t="s">
        <v>12</v>
      </c>
      <c r="L528" s="9">
        <f t="shared" si="8"/>
        <v>2619047.62</v>
      </c>
    </row>
    <row r="529" spans="1:12" ht="14.25" hidden="1" customHeight="1" x14ac:dyDescent="0.3">
      <c r="A529" s="8">
        <v>528</v>
      </c>
      <c r="B529" s="8" t="str">
        <f>'Criaturas - Base de Dados'!B89</f>
        <v>Maré Eterna</v>
      </c>
      <c r="C529" s="8" t="str">
        <f>'Criaturas - Base de Dados'!C89</f>
        <v>Água</v>
      </c>
      <c r="D529" s="8" t="str">
        <f>'Criaturas - Base de Dados'!D89</f>
        <v>Merrow das Ondas</v>
      </c>
      <c r="E529" s="8" t="str">
        <f>'Sistema de Raridade e Evolução'!B7</f>
        <v>Lendário</v>
      </c>
      <c r="F529" s="9">
        <f>ROUND(('Criaturas - Base de Dados'!H89*'Sistema de Raridade e Evolução'!E7)*1000,2)</f>
        <v>3300000</v>
      </c>
      <c r="G529" s="8">
        <f>ROUND('Criaturas - Base de Dados'!I89*'Sistema de Raridade e Evolução'!E7,0)</f>
        <v>1950</v>
      </c>
      <c r="H529" s="8">
        <f>ROUND('Criaturas - Base de Dados'!J89*'Sistema de Raridade e Evolução'!E7,0)</f>
        <v>1650</v>
      </c>
      <c r="I529" s="8">
        <f>ROUND('Criaturas - Base de Dados'!K89*'Sistema de Raridade e Evolução'!E7,0)</f>
        <v>10500</v>
      </c>
      <c r="J529" s="8">
        <f>'Sistema de Raridade e Evolução'!D7</f>
        <v>91</v>
      </c>
      <c r="K529" s="8" t="s">
        <v>925</v>
      </c>
      <c r="L529" s="9">
        <f t="shared" si="8"/>
        <v>7857142.8600000003</v>
      </c>
    </row>
    <row r="530" spans="1:12" ht="14.25" customHeight="1" x14ac:dyDescent="0.3">
      <c r="A530" s="8">
        <v>529</v>
      </c>
      <c r="B530" s="8" t="str">
        <f>'Criaturas - Base de Dados'!B90</f>
        <v>Maré Eterna</v>
      </c>
      <c r="C530" s="8" t="str">
        <f>'Criaturas - Base de Dados'!C90</f>
        <v>Água</v>
      </c>
      <c r="D530" s="8" t="str">
        <f>'Criaturas - Base de Dados'!D90</f>
        <v>Undine Encantada</v>
      </c>
      <c r="E530" s="8" t="str">
        <f>'Sistema de Raridade e Evolução'!B2</f>
        <v>Default</v>
      </c>
      <c r="F530" s="9" t="e">
        <f>ROUND(('Criaturas - Base de Dados'!H90*'Sistema de Raridade e Evolução'!E2)*1000,2)</f>
        <v>#VALUE!</v>
      </c>
      <c r="G530" s="8" t="e">
        <f>ROUND('Criaturas - Base de Dados'!I90*'Sistema de Raridade e Evolução'!E2,0)</f>
        <v>#VALUE!</v>
      </c>
      <c r="H530" s="8" t="e">
        <f>ROUND('Criaturas - Base de Dados'!J90*'Sistema de Raridade e Evolução'!E2,0)</f>
        <v>#VALUE!</v>
      </c>
      <c r="I530" s="8" t="e">
        <f>ROUND('Criaturas - Base de Dados'!K90*'Sistema de Raridade e Evolução'!E2,0)</f>
        <v>#VALUE!</v>
      </c>
      <c r="J530" s="8">
        <f>'Sistema de Raridade e Evolução'!D2</f>
        <v>1</v>
      </c>
      <c r="K530" s="8" t="s">
        <v>8</v>
      </c>
      <c r="L530" s="9" t="e">
        <f t="shared" si="8"/>
        <v>#VALUE!</v>
      </c>
    </row>
    <row r="531" spans="1:12" ht="14.25" hidden="1" customHeight="1" x14ac:dyDescent="0.3">
      <c r="A531" s="8">
        <v>530</v>
      </c>
      <c r="B531" s="8" t="str">
        <f>'Criaturas - Base de Dados'!B90</f>
        <v>Maré Eterna</v>
      </c>
      <c r="C531" s="8" t="str">
        <f>'Criaturas - Base de Dados'!C90</f>
        <v>Água</v>
      </c>
      <c r="D531" s="8" t="str">
        <f>'Criaturas - Base de Dados'!D90</f>
        <v>Undine Encantada</v>
      </c>
      <c r="E531" s="8" t="str">
        <f>'Sistema de Raridade e Evolução'!B3</f>
        <v>Bronze</v>
      </c>
      <c r="F531" s="9">
        <f>ROUND(('Criaturas - Base de Dados'!H90*'Sistema de Raridade e Evolução'!E3)*1000,2)</f>
        <v>24000</v>
      </c>
      <c r="G531" s="8">
        <f>ROUND('Criaturas - Base de Dados'!I90*'Sistema de Raridade e Evolução'!E3,0)</f>
        <v>14</v>
      </c>
      <c r="H531" s="8">
        <f>ROUND('Criaturas - Base de Dados'!J90*'Sistema de Raridade e Evolução'!E3,0)</f>
        <v>12</v>
      </c>
      <c r="I531" s="8">
        <f>ROUND('Criaturas - Base de Dados'!K90*'Sistema de Raridade e Evolução'!E3,0)</f>
        <v>77</v>
      </c>
      <c r="J531" s="8">
        <f>'Sistema de Raridade e Evolução'!D3</f>
        <v>6</v>
      </c>
      <c r="K531" s="8" t="s">
        <v>9</v>
      </c>
      <c r="L531" s="9">
        <f t="shared" si="8"/>
        <v>57142.86</v>
      </c>
    </row>
    <row r="532" spans="1:12" ht="14.25" hidden="1" customHeight="1" x14ac:dyDescent="0.3">
      <c r="A532" s="8">
        <v>531</v>
      </c>
      <c r="B532" s="8" t="str">
        <f>'Criaturas - Base de Dados'!B90</f>
        <v>Maré Eterna</v>
      </c>
      <c r="C532" s="8" t="str">
        <f>'Criaturas - Base de Dados'!C90</f>
        <v>Água</v>
      </c>
      <c r="D532" s="8" t="str">
        <f>'Criaturas - Base de Dados'!D90</f>
        <v>Undine Encantada</v>
      </c>
      <c r="E532" s="8" t="str">
        <f>'Sistema de Raridade e Evolução'!B4</f>
        <v>Prata</v>
      </c>
      <c r="F532" s="9">
        <f>ROUND(('Criaturas - Base de Dados'!H90*'Sistema de Raridade e Evolução'!E4)*1000,2)</f>
        <v>144000</v>
      </c>
      <c r="G532" s="8">
        <f>ROUND('Criaturas - Base de Dados'!I90*'Sistema de Raridade e Evolução'!E4,0)</f>
        <v>84</v>
      </c>
      <c r="H532" s="8">
        <f>ROUND('Criaturas - Base de Dados'!J90*'Sistema de Raridade e Evolução'!E4,0)</f>
        <v>72</v>
      </c>
      <c r="I532" s="8">
        <f>ROUND('Criaturas - Base de Dados'!K90*'Sistema de Raridade e Evolução'!E4,0)</f>
        <v>462</v>
      </c>
      <c r="J532" s="8">
        <f>'Sistema de Raridade e Evolução'!D4</f>
        <v>16</v>
      </c>
      <c r="K532" s="8" t="s">
        <v>10</v>
      </c>
      <c r="L532" s="9">
        <f t="shared" si="8"/>
        <v>342857.14</v>
      </c>
    </row>
    <row r="533" spans="1:12" ht="14.25" hidden="1" customHeight="1" x14ac:dyDescent="0.3">
      <c r="A533" s="8">
        <v>532</v>
      </c>
      <c r="B533" s="8" t="str">
        <f>'Criaturas - Base de Dados'!B90</f>
        <v>Maré Eterna</v>
      </c>
      <c r="C533" s="8" t="str">
        <f>'Criaturas - Base de Dados'!C90</f>
        <v>Água</v>
      </c>
      <c r="D533" s="8" t="str">
        <f>'Criaturas - Base de Dados'!D90</f>
        <v>Undine Encantada</v>
      </c>
      <c r="E533" s="8" t="str">
        <f>'Sistema de Raridade e Evolução'!B5</f>
        <v>Ouro</v>
      </c>
      <c r="F533" s="9">
        <f>ROUND(('Criaturas - Base de Dados'!H90*'Sistema de Raridade e Evolução'!E5)*1000,2)</f>
        <v>432000</v>
      </c>
      <c r="G533" s="8">
        <f>ROUND('Criaturas - Base de Dados'!I90*'Sistema de Raridade e Evolução'!E5,0)</f>
        <v>252</v>
      </c>
      <c r="H533" s="8">
        <f>ROUND('Criaturas - Base de Dados'!J90*'Sistema de Raridade e Evolução'!E5,0)</f>
        <v>216</v>
      </c>
      <c r="I533" s="8">
        <f>ROUND('Criaturas - Base de Dados'!K90*'Sistema de Raridade e Evolução'!E5,0)</f>
        <v>1386</v>
      </c>
      <c r="J533" s="8">
        <f>'Sistema de Raridade e Evolução'!D5</f>
        <v>31</v>
      </c>
      <c r="K533" s="8" t="s">
        <v>11</v>
      </c>
      <c r="L533" s="9">
        <f t="shared" si="8"/>
        <v>1028571.43</v>
      </c>
    </row>
    <row r="534" spans="1:12" ht="14.25" hidden="1" customHeight="1" x14ac:dyDescent="0.3">
      <c r="A534" s="8">
        <v>533</v>
      </c>
      <c r="B534" s="8" t="str">
        <f>'Criaturas - Base de Dados'!B90</f>
        <v>Maré Eterna</v>
      </c>
      <c r="C534" s="8" t="str">
        <f>'Criaturas - Base de Dados'!C90</f>
        <v>Água</v>
      </c>
      <c r="D534" s="8" t="str">
        <f>'Criaturas - Base de Dados'!D90</f>
        <v>Undine Encantada</v>
      </c>
      <c r="E534" s="8" t="str">
        <f>'Sistema de Raridade e Evolução'!B6</f>
        <v>Platina</v>
      </c>
      <c r="F534" s="9">
        <f>ROUND(('Criaturas - Base de Dados'!H90*'Sistema de Raridade e Evolução'!E6)*1000,2)</f>
        <v>1200000</v>
      </c>
      <c r="G534" s="8">
        <f>ROUND('Criaturas - Base de Dados'!I90*'Sistema de Raridade e Evolução'!E6,0)</f>
        <v>700</v>
      </c>
      <c r="H534" s="8">
        <f>ROUND('Criaturas - Base de Dados'!J90*'Sistema de Raridade e Evolução'!E6,0)</f>
        <v>600</v>
      </c>
      <c r="I534" s="8">
        <f>ROUND('Criaturas - Base de Dados'!K90*'Sistema de Raridade e Evolução'!E6,0)</f>
        <v>3850</v>
      </c>
      <c r="J534" s="8">
        <f>'Sistema de Raridade e Evolução'!D6</f>
        <v>56</v>
      </c>
      <c r="K534" s="8" t="s">
        <v>12</v>
      </c>
      <c r="L534" s="9">
        <f t="shared" si="8"/>
        <v>2857142.86</v>
      </c>
    </row>
    <row r="535" spans="1:12" ht="14.25" hidden="1" customHeight="1" x14ac:dyDescent="0.3">
      <c r="A535" s="8">
        <v>534</v>
      </c>
      <c r="B535" s="8" t="str">
        <f>'Criaturas - Base de Dados'!B90</f>
        <v>Maré Eterna</v>
      </c>
      <c r="C535" s="8" t="str">
        <f>'Criaturas - Base de Dados'!C90</f>
        <v>Água</v>
      </c>
      <c r="D535" s="8" t="str">
        <f>'Criaturas - Base de Dados'!D90</f>
        <v>Undine Encantada</v>
      </c>
      <c r="E535" s="8" t="str">
        <f>'Sistema de Raridade e Evolução'!B7</f>
        <v>Lendário</v>
      </c>
      <c r="F535" s="9">
        <f>ROUND(('Criaturas - Base de Dados'!H90*'Sistema de Raridade e Evolução'!E7)*1000,2)</f>
        <v>3600000</v>
      </c>
      <c r="G535" s="8">
        <f>ROUND('Criaturas - Base de Dados'!I90*'Sistema de Raridade e Evolução'!E7,0)</f>
        <v>2100</v>
      </c>
      <c r="H535" s="8">
        <f>ROUND('Criaturas - Base de Dados'!J90*'Sistema de Raridade e Evolução'!E7,0)</f>
        <v>1800</v>
      </c>
      <c r="I535" s="8">
        <f>ROUND('Criaturas - Base de Dados'!K90*'Sistema de Raridade e Evolução'!E7,0)</f>
        <v>11550</v>
      </c>
      <c r="J535" s="8">
        <f>'Sistema de Raridade e Evolução'!D7</f>
        <v>91</v>
      </c>
      <c r="K535" s="8" t="s">
        <v>925</v>
      </c>
      <c r="L535" s="9">
        <f t="shared" si="8"/>
        <v>8571428.5700000003</v>
      </c>
    </row>
    <row r="536" spans="1:12" ht="14.25" customHeight="1" x14ac:dyDescent="0.3">
      <c r="A536" s="8">
        <v>535</v>
      </c>
      <c r="B536" s="8" t="str">
        <f>'Criaturas - Base de Dados'!B91</f>
        <v>Maré Eterna</v>
      </c>
      <c r="C536" s="8" t="str">
        <f>'Criaturas - Base de Dados'!C91</f>
        <v>Água</v>
      </c>
      <c r="D536" s="8" t="str">
        <f>'Criaturas - Base de Dados'!D91</f>
        <v>Rusalka do Lago Negro</v>
      </c>
      <c r="E536" s="8" t="str">
        <f>'Sistema de Raridade e Evolução'!B2</f>
        <v>Default</v>
      </c>
      <c r="F536" s="9" t="e">
        <f>ROUND(('Criaturas - Base de Dados'!H91*'Sistema de Raridade e Evolução'!E2)*1000,2)</f>
        <v>#VALUE!</v>
      </c>
      <c r="G536" s="8" t="e">
        <f>ROUND('Criaturas - Base de Dados'!I91*'Sistema de Raridade e Evolução'!E2,0)</f>
        <v>#VALUE!</v>
      </c>
      <c r="H536" s="8" t="e">
        <f>ROUND('Criaturas - Base de Dados'!J91*'Sistema de Raridade e Evolução'!E2,0)</f>
        <v>#VALUE!</v>
      </c>
      <c r="I536" s="8" t="e">
        <f>ROUND('Criaturas - Base de Dados'!K91*'Sistema de Raridade e Evolução'!E2,0)</f>
        <v>#VALUE!</v>
      </c>
      <c r="J536" s="8">
        <f>'Sistema de Raridade e Evolução'!D2</f>
        <v>1</v>
      </c>
      <c r="K536" s="8" t="s">
        <v>8</v>
      </c>
      <c r="L536" s="9" t="e">
        <f t="shared" si="8"/>
        <v>#VALUE!</v>
      </c>
    </row>
    <row r="537" spans="1:12" ht="14.25" hidden="1" customHeight="1" x14ac:dyDescent="0.3">
      <c r="A537" s="8">
        <v>536</v>
      </c>
      <c r="B537" s="8" t="str">
        <f>'Criaturas - Base de Dados'!B91</f>
        <v>Maré Eterna</v>
      </c>
      <c r="C537" s="8" t="str">
        <f>'Criaturas - Base de Dados'!C91</f>
        <v>Água</v>
      </c>
      <c r="D537" s="8" t="str">
        <f>'Criaturas - Base de Dados'!D91</f>
        <v>Rusalka do Lago Negro</v>
      </c>
      <c r="E537" s="8" t="str">
        <f>'Sistema de Raridade e Evolução'!B3</f>
        <v>Bronze</v>
      </c>
      <c r="F537" s="9">
        <f>ROUND(('Criaturas - Base de Dados'!H91*'Sistema de Raridade e Evolução'!E3)*1000,2)</f>
        <v>26000</v>
      </c>
      <c r="G537" s="8">
        <f>ROUND('Criaturas - Base de Dados'!I91*'Sistema de Raridade e Evolução'!E3,0)</f>
        <v>16</v>
      </c>
      <c r="H537" s="8">
        <f>ROUND('Criaturas - Base de Dados'!J91*'Sistema de Raridade e Evolução'!E3,0)</f>
        <v>13</v>
      </c>
      <c r="I537" s="8">
        <f>ROUND('Criaturas - Base de Dados'!K91*'Sistema de Raridade e Evolução'!E3,0)</f>
        <v>83</v>
      </c>
      <c r="J537" s="8">
        <f>'Sistema de Raridade e Evolução'!D3</f>
        <v>6</v>
      </c>
      <c r="K537" s="8" t="s">
        <v>9</v>
      </c>
      <c r="L537" s="9">
        <f t="shared" si="8"/>
        <v>61904.76</v>
      </c>
    </row>
    <row r="538" spans="1:12" ht="14.25" hidden="1" customHeight="1" x14ac:dyDescent="0.3">
      <c r="A538" s="8">
        <v>537</v>
      </c>
      <c r="B538" s="8" t="str">
        <f>'Criaturas - Base de Dados'!B91</f>
        <v>Maré Eterna</v>
      </c>
      <c r="C538" s="8" t="str">
        <f>'Criaturas - Base de Dados'!C91</f>
        <v>Água</v>
      </c>
      <c r="D538" s="8" t="str">
        <f>'Criaturas - Base de Dados'!D91</f>
        <v>Rusalka do Lago Negro</v>
      </c>
      <c r="E538" s="8" t="str">
        <f>'Sistema de Raridade e Evolução'!B4</f>
        <v>Prata</v>
      </c>
      <c r="F538" s="9">
        <f>ROUND(('Criaturas - Base de Dados'!H91*'Sistema de Raridade e Evolução'!E4)*1000,2)</f>
        <v>156000</v>
      </c>
      <c r="G538" s="8">
        <f>ROUND('Criaturas - Base de Dados'!I91*'Sistema de Raridade e Evolução'!E4,0)</f>
        <v>96</v>
      </c>
      <c r="H538" s="8">
        <f>ROUND('Criaturas - Base de Dados'!J91*'Sistema de Raridade e Evolução'!E4,0)</f>
        <v>78</v>
      </c>
      <c r="I538" s="8">
        <f>ROUND('Criaturas - Base de Dados'!K91*'Sistema de Raridade e Evolução'!E4,0)</f>
        <v>498</v>
      </c>
      <c r="J538" s="8">
        <f>'Sistema de Raridade e Evolução'!D4</f>
        <v>16</v>
      </c>
      <c r="K538" s="8" t="s">
        <v>10</v>
      </c>
      <c r="L538" s="9">
        <f t="shared" si="8"/>
        <v>371428.57</v>
      </c>
    </row>
    <row r="539" spans="1:12" ht="14.25" hidden="1" customHeight="1" x14ac:dyDescent="0.3">
      <c r="A539" s="8">
        <v>538</v>
      </c>
      <c r="B539" s="8" t="str">
        <f>'Criaturas - Base de Dados'!B91</f>
        <v>Maré Eterna</v>
      </c>
      <c r="C539" s="8" t="str">
        <f>'Criaturas - Base de Dados'!C91</f>
        <v>Água</v>
      </c>
      <c r="D539" s="8" t="str">
        <f>'Criaturas - Base de Dados'!D91</f>
        <v>Rusalka do Lago Negro</v>
      </c>
      <c r="E539" s="8" t="str">
        <f>'Sistema de Raridade e Evolução'!B5</f>
        <v>Ouro</v>
      </c>
      <c r="F539" s="9">
        <f>ROUND(('Criaturas - Base de Dados'!H91*'Sistema de Raridade e Evolução'!E5)*1000,2)</f>
        <v>468000</v>
      </c>
      <c r="G539" s="8">
        <f>ROUND('Criaturas - Base de Dados'!I91*'Sistema de Raridade e Evolução'!E5,0)</f>
        <v>288</v>
      </c>
      <c r="H539" s="8">
        <f>ROUND('Criaturas - Base de Dados'!J91*'Sistema de Raridade e Evolução'!E5,0)</f>
        <v>234</v>
      </c>
      <c r="I539" s="8">
        <f>ROUND('Criaturas - Base de Dados'!K91*'Sistema de Raridade e Evolução'!E5,0)</f>
        <v>1494</v>
      </c>
      <c r="J539" s="8">
        <f>'Sistema de Raridade e Evolução'!D5</f>
        <v>31</v>
      </c>
      <c r="K539" s="8" t="s">
        <v>11</v>
      </c>
      <c r="L539" s="9">
        <f t="shared" si="8"/>
        <v>1114285.71</v>
      </c>
    </row>
    <row r="540" spans="1:12" ht="14.25" hidden="1" customHeight="1" x14ac:dyDescent="0.3">
      <c r="A540" s="8">
        <v>539</v>
      </c>
      <c r="B540" s="8" t="str">
        <f>'Criaturas - Base de Dados'!B91</f>
        <v>Maré Eterna</v>
      </c>
      <c r="C540" s="8" t="str">
        <f>'Criaturas - Base de Dados'!C91</f>
        <v>Água</v>
      </c>
      <c r="D540" s="8" t="str">
        <f>'Criaturas - Base de Dados'!D91</f>
        <v>Rusalka do Lago Negro</v>
      </c>
      <c r="E540" s="8" t="str">
        <f>'Sistema de Raridade e Evolução'!B6</f>
        <v>Platina</v>
      </c>
      <c r="F540" s="9">
        <f>ROUND(('Criaturas - Base de Dados'!H91*'Sistema de Raridade e Evolução'!E6)*1000,2)</f>
        <v>1300000</v>
      </c>
      <c r="G540" s="8">
        <f>ROUND('Criaturas - Base de Dados'!I91*'Sistema de Raridade e Evolução'!E6,0)</f>
        <v>800</v>
      </c>
      <c r="H540" s="8">
        <f>ROUND('Criaturas - Base de Dados'!J91*'Sistema de Raridade e Evolução'!E6,0)</f>
        <v>650</v>
      </c>
      <c r="I540" s="8">
        <f>ROUND('Criaturas - Base de Dados'!K91*'Sistema de Raridade e Evolução'!E6,0)</f>
        <v>4150</v>
      </c>
      <c r="J540" s="8">
        <f>'Sistema de Raridade e Evolução'!D6</f>
        <v>56</v>
      </c>
      <c r="K540" s="8" t="s">
        <v>12</v>
      </c>
      <c r="L540" s="9">
        <f t="shared" si="8"/>
        <v>3095238.1</v>
      </c>
    </row>
    <row r="541" spans="1:12" ht="14.25" hidden="1" customHeight="1" x14ac:dyDescent="0.3">
      <c r="A541" s="8">
        <v>540</v>
      </c>
      <c r="B541" s="8" t="str">
        <f>'Criaturas - Base de Dados'!B91</f>
        <v>Maré Eterna</v>
      </c>
      <c r="C541" s="8" t="str">
        <f>'Criaturas - Base de Dados'!C91</f>
        <v>Água</v>
      </c>
      <c r="D541" s="8" t="str">
        <f>'Criaturas - Base de Dados'!D91</f>
        <v>Rusalka do Lago Negro</v>
      </c>
      <c r="E541" s="8" t="str">
        <f>'Sistema de Raridade e Evolução'!B7</f>
        <v>Lendário</v>
      </c>
      <c r="F541" s="9">
        <f>ROUND(('Criaturas - Base de Dados'!H91*'Sistema de Raridade e Evolução'!E7)*1000,2)</f>
        <v>3900000</v>
      </c>
      <c r="G541" s="8">
        <f>ROUND('Criaturas - Base de Dados'!I91*'Sistema de Raridade e Evolução'!E7,0)</f>
        <v>2400</v>
      </c>
      <c r="H541" s="8">
        <f>ROUND('Criaturas - Base de Dados'!J91*'Sistema de Raridade e Evolução'!E7,0)</f>
        <v>1950</v>
      </c>
      <c r="I541" s="8">
        <f>ROUND('Criaturas - Base de Dados'!K91*'Sistema de Raridade e Evolução'!E7,0)</f>
        <v>12450</v>
      </c>
      <c r="J541" s="8">
        <f>'Sistema de Raridade e Evolução'!D7</f>
        <v>91</v>
      </c>
      <c r="K541" s="8" t="s">
        <v>925</v>
      </c>
      <c r="L541" s="9">
        <f t="shared" si="8"/>
        <v>9285714.2899999991</v>
      </c>
    </row>
    <row r="542" spans="1:12" ht="14.25" customHeight="1" x14ac:dyDescent="0.3">
      <c r="A542" s="8">
        <v>541</v>
      </c>
      <c r="B542" s="8" t="str">
        <f>'Criaturas - Base de Dados'!B92</f>
        <v>Maré Eterna</v>
      </c>
      <c r="C542" s="8" t="str">
        <f>'Criaturas - Base de Dados'!C92</f>
        <v>Água</v>
      </c>
      <c r="D542" s="8" t="str">
        <f>'Criaturas - Base de Dados'!D92</f>
        <v>Vodyanoy das Profundezas</v>
      </c>
      <c r="E542" s="8" t="str">
        <f>'Sistema de Raridade e Evolução'!B2</f>
        <v>Default</v>
      </c>
      <c r="F542" s="9" t="e">
        <f>ROUND(('Criaturas - Base de Dados'!H92*'Sistema de Raridade e Evolução'!E2)*1000,2)</f>
        <v>#VALUE!</v>
      </c>
      <c r="G542" s="8" t="e">
        <f>ROUND('Criaturas - Base de Dados'!I92*'Sistema de Raridade e Evolução'!E2,0)</f>
        <v>#VALUE!</v>
      </c>
      <c r="H542" s="8" t="e">
        <f>ROUND('Criaturas - Base de Dados'!J92*'Sistema de Raridade e Evolução'!E2,0)</f>
        <v>#VALUE!</v>
      </c>
      <c r="I542" s="8" t="e">
        <f>ROUND('Criaturas - Base de Dados'!K92*'Sistema de Raridade e Evolução'!E2,0)</f>
        <v>#VALUE!</v>
      </c>
      <c r="J542" s="8">
        <f>'Sistema de Raridade e Evolução'!D2</f>
        <v>1</v>
      </c>
      <c r="K542" s="8" t="s">
        <v>8</v>
      </c>
      <c r="L542" s="9" t="e">
        <f t="shared" si="8"/>
        <v>#VALUE!</v>
      </c>
    </row>
    <row r="543" spans="1:12" ht="14.25" hidden="1" customHeight="1" x14ac:dyDescent="0.3">
      <c r="A543" s="8">
        <v>542</v>
      </c>
      <c r="B543" s="8" t="str">
        <f>'Criaturas - Base de Dados'!B92</f>
        <v>Maré Eterna</v>
      </c>
      <c r="C543" s="8" t="str">
        <f>'Criaturas - Base de Dados'!C92</f>
        <v>Água</v>
      </c>
      <c r="D543" s="8" t="str">
        <f>'Criaturas - Base de Dados'!D92</f>
        <v>Vodyanoy das Profundezas</v>
      </c>
      <c r="E543" s="8" t="str">
        <f>'Sistema de Raridade e Evolução'!B3</f>
        <v>Bronze</v>
      </c>
      <c r="F543" s="9">
        <f>ROUND(('Criaturas - Base de Dados'!H92*'Sistema de Raridade e Evolução'!E3)*1000,2)</f>
        <v>28000</v>
      </c>
      <c r="G543" s="8">
        <f>ROUND('Criaturas - Base de Dados'!I92*'Sistema de Raridade e Evolução'!E3,0)</f>
        <v>17</v>
      </c>
      <c r="H543" s="8">
        <f>ROUND('Criaturas - Base de Dados'!J92*'Sistema de Raridade e Evolução'!E3,0)</f>
        <v>14</v>
      </c>
      <c r="I543" s="8">
        <f>ROUND('Criaturas - Base de Dados'!K92*'Sistema de Raridade e Evolução'!E3,0)</f>
        <v>90</v>
      </c>
      <c r="J543" s="8">
        <f>'Sistema de Raridade e Evolução'!D3</f>
        <v>6</v>
      </c>
      <c r="K543" s="8" t="s">
        <v>9</v>
      </c>
      <c r="L543" s="9">
        <f t="shared" si="8"/>
        <v>66666.67</v>
      </c>
    </row>
    <row r="544" spans="1:12" ht="14.25" hidden="1" customHeight="1" x14ac:dyDescent="0.3">
      <c r="A544" s="8">
        <v>543</v>
      </c>
      <c r="B544" s="8" t="str">
        <f>'Criaturas - Base de Dados'!B92</f>
        <v>Maré Eterna</v>
      </c>
      <c r="C544" s="8" t="str">
        <f>'Criaturas - Base de Dados'!C92</f>
        <v>Água</v>
      </c>
      <c r="D544" s="8" t="str">
        <f>'Criaturas - Base de Dados'!D92</f>
        <v>Vodyanoy das Profundezas</v>
      </c>
      <c r="E544" s="8" t="str">
        <f>'Sistema de Raridade e Evolução'!B4</f>
        <v>Prata</v>
      </c>
      <c r="F544" s="9">
        <f>ROUND(('Criaturas - Base de Dados'!H92*'Sistema de Raridade e Evolução'!E4)*1000,2)</f>
        <v>168000</v>
      </c>
      <c r="G544" s="8">
        <f>ROUND('Criaturas - Base de Dados'!I92*'Sistema de Raridade e Evolução'!E4,0)</f>
        <v>102</v>
      </c>
      <c r="H544" s="8">
        <f>ROUND('Criaturas - Base de Dados'!J92*'Sistema de Raridade e Evolução'!E4,0)</f>
        <v>84</v>
      </c>
      <c r="I544" s="8">
        <f>ROUND('Criaturas - Base de Dados'!K92*'Sistema de Raridade e Evolução'!E4,0)</f>
        <v>540</v>
      </c>
      <c r="J544" s="8">
        <f>'Sistema de Raridade e Evolução'!D4</f>
        <v>16</v>
      </c>
      <c r="K544" s="8" t="s">
        <v>10</v>
      </c>
      <c r="L544" s="9">
        <f t="shared" si="8"/>
        <v>400000</v>
      </c>
    </row>
    <row r="545" spans="1:12" ht="14.25" hidden="1" customHeight="1" x14ac:dyDescent="0.3">
      <c r="A545" s="8">
        <v>544</v>
      </c>
      <c r="B545" s="8" t="str">
        <f>'Criaturas - Base de Dados'!B92</f>
        <v>Maré Eterna</v>
      </c>
      <c r="C545" s="8" t="str">
        <f>'Criaturas - Base de Dados'!C92</f>
        <v>Água</v>
      </c>
      <c r="D545" s="8" t="str">
        <f>'Criaturas - Base de Dados'!D92</f>
        <v>Vodyanoy das Profundezas</v>
      </c>
      <c r="E545" s="8" t="str">
        <f>'Sistema de Raridade e Evolução'!B5</f>
        <v>Ouro</v>
      </c>
      <c r="F545" s="9">
        <f>ROUND(('Criaturas - Base de Dados'!H92*'Sistema de Raridade e Evolução'!E5)*1000,2)</f>
        <v>504000</v>
      </c>
      <c r="G545" s="8">
        <f>ROUND('Criaturas - Base de Dados'!I92*'Sistema de Raridade e Evolução'!E5,0)</f>
        <v>306</v>
      </c>
      <c r="H545" s="8">
        <f>ROUND('Criaturas - Base de Dados'!J92*'Sistema de Raridade e Evolução'!E5,0)</f>
        <v>252</v>
      </c>
      <c r="I545" s="8">
        <f>ROUND('Criaturas - Base de Dados'!K92*'Sistema de Raridade e Evolução'!E5,0)</f>
        <v>1620</v>
      </c>
      <c r="J545" s="8">
        <f>'Sistema de Raridade e Evolução'!D5</f>
        <v>31</v>
      </c>
      <c r="K545" s="8" t="s">
        <v>11</v>
      </c>
      <c r="L545" s="9">
        <f t="shared" si="8"/>
        <v>1200000</v>
      </c>
    </row>
    <row r="546" spans="1:12" ht="14.25" hidden="1" customHeight="1" x14ac:dyDescent="0.3">
      <c r="A546" s="8">
        <v>545</v>
      </c>
      <c r="B546" s="8" t="str">
        <f>'Criaturas - Base de Dados'!B92</f>
        <v>Maré Eterna</v>
      </c>
      <c r="C546" s="8" t="str">
        <f>'Criaturas - Base de Dados'!C92</f>
        <v>Água</v>
      </c>
      <c r="D546" s="8" t="str">
        <f>'Criaturas - Base de Dados'!D92</f>
        <v>Vodyanoy das Profundezas</v>
      </c>
      <c r="E546" s="8" t="str">
        <f>'Sistema de Raridade e Evolução'!B6</f>
        <v>Platina</v>
      </c>
      <c r="F546" s="9">
        <f>ROUND(('Criaturas - Base de Dados'!H92*'Sistema de Raridade e Evolução'!E6)*1000,2)</f>
        <v>1400000</v>
      </c>
      <c r="G546" s="8">
        <f>ROUND('Criaturas - Base de Dados'!I92*'Sistema de Raridade e Evolução'!E6,0)</f>
        <v>850</v>
      </c>
      <c r="H546" s="8">
        <f>ROUND('Criaturas - Base de Dados'!J92*'Sistema de Raridade e Evolução'!E6,0)</f>
        <v>700</v>
      </c>
      <c r="I546" s="8">
        <f>ROUND('Criaturas - Base de Dados'!K92*'Sistema de Raridade e Evolução'!E6,0)</f>
        <v>4500</v>
      </c>
      <c r="J546" s="8">
        <f>'Sistema de Raridade e Evolução'!D6</f>
        <v>56</v>
      </c>
      <c r="K546" s="8" t="s">
        <v>12</v>
      </c>
      <c r="L546" s="9">
        <f t="shared" si="8"/>
        <v>3333333.33</v>
      </c>
    </row>
    <row r="547" spans="1:12" ht="14.25" hidden="1" customHeight="1" x14ac:dyDescent="0.3">
      <c r="A547" s="8">
        <v>546</v>
      </c>
      <c r="B547" s="8" t="str">
        <f>'Criaturas - Base de Dados'!B92</f>
        <v>Maré Eterna</v>
      </c>
      <c r="C547" s="8" t="str">
        <f>'Criaturas - Base de Dados'!C92</f>
        <v>Água</v>
      </c>
      <c r="D547" s="8" t="str">
        <f>'Criaturas - Base de Dados'!D92</f>
        <v>Vodyanoy das Profundezas</v>
      </c>
      <c r="E547" s="8" t="str">
        <f>'Sistema de Raridade e Evolução'!B7</f>
        <v>Lendário</v>
      </c>
      <c r="F547" s="9">
        <f>ROUND(('Criaturas - Base de Dados'!H92*'Sistema de Raridade e Evolução'!E7)*1000,2)</f>
        <v>4200000</v>
      </c>
      <c r="G547" s="8">
        <f>ROUND('Criaturas - Base de Dados'!I92*'Sistema de Raridade e Evolução'!E7,0)</f>
        <v>2550</v>
      </c>
      <c r="H547" s="8">
        <f>ROUND('Criaturas - Base de Dados'!J92*'Sistema de Raridade e Evolução'!E7,0)</f>
        <v>2100</v>
      </c>
      <c r="I547" s="8">
        <f>ROUND('Criaturas - Base de Dados'!K92*'Sistema de Raridade e Evolução'!E7,0)</f>
        <v>13500</v>
      </c>
      <c r="J547" s="8">
        <f>'Sistema de Raridade e Evolução'!D7</f>
        <v>91</v>
      </c>
      <c r="K547" s="8" t="s">
        <v>925</v>
      </c>
      <c r="L547" s="9">
        <f t="shared" si="8"/>
        <v>10000000</v>
      </c>
    </row>
    <row r="548" spans="1:12" ht="14.25" customHeight="1" x14ac:dyDescent="0.3">
      <c r="A548" s="8">
        <v>547</v>
      </c>
      <c r="B548" s="8" t="str">
        <f>'Criaturas - Base de Dados'!B93</f>
        <v>Maré Eterna</v>
      </c>
      <c r="C548" s="8" t="str">
        <f>'Criaturas - Base de Dados'!C93</f>
        <v>Água</v>
      </c>
      <c r="D548" s="8" t="str">
        <f>'Criaturas - Base de Dados'!D93</f>
        <v>Bakunawa, a Serpente-Lua</v>
      </c>
      <c r="E548" s="8" t="str">
        <f>'Sistema de Raridade e Evolução'!B2</f>
        <v>Default</v>
      </c>
      <c r="F548" s="9" t="e">
        <f>ROUND(('Criaturas - Base de Dados'!H93*'Sistema de Raridade e Evolução'!E2)*1000,2)</f>
        <v>#VALUE!</v>
      </c>
      <c r="G548" s="8" t="e">
        <f>ROUND('Criaturas - Base de Dados'!I93*'Sistema de Raridade e Evolução'!E2,0)</f>
        <v>#VALUE!</v>
      </c>
      <c r="H548" s="8" t="e">
        <f>ROUND('Criaturas - Base de Dados'!J93*'Sistema de Raridade e Evolução'!E2,0)</f>
        <v>#VALUE!</v>
      </c>
      <c r="I548" s="8" t="e">
        <f>ROUND('Criaturas - Base de Dados'!K93*'Sistema de Raridade e Evolução'!E2,0)</f>
        <v>#VALUE!</v>
      </c>
      <c r="J548" s="8">
        <f>'Sistema de Raridade e Evolução'!D2</f>
        <v>1</v>
      </c>
      <c r="K548" s="8" t="s">
        <v>8</v>
      </c>
      <c r="L548" s="9" t="e">
        <f t="shared" si="8"/>
        <v>#VALUE!</v>
      </c>
    </row>
    <row r="549" spans="1:12" ht="14.25" hidden="1" customHeight="1" x14ac:dyDescent="0.3">
      <c r="A549" s="8">
        <v>548</v>
      </c>
      <c r="B549" s="8" t="str">
        <f>'Criaturas - Base de Dados'!B93</f>
        <v>Maré Eterna</v>
      </c>
      <c r="C549" s="8" t="str">
        <f>'Criaturas - Base de Dados'!C93</f>
        <v>Água</v>
      </c>
      <c r="D549" s="8" t="str">
        <f>'Criaturas - Base de Dados'!D93</f>
        <v>Bakunawa, a Serpente-Lua</v>
      </c>
      <c r="E549" s="8" t="str">
        <f>'Sistema de Raridade e Evolução'!B3</f>
        <v>Bronze</v>
      </c>
      <c r="F549" s="9">
        <f>ROUND(('Criaturas - Base de Dados'!H93*'Sistema de Raridade e Evolução'!E3)*1000,2)</f>
        <v>30000</v>
      </c>
      <c r="G549" s="8">
        <f>ROUND('Criaturas - Base de Dados'!I93*'Sistema de Raridade e Evolução'!E3,0)</f>
        <v>18</v>
      </c>
      <c r="H549" s="8">
        <f>ROUND('Criaturas - Base de Dados'!J93*'Sistema de Raridade e Evolução'!E3,0)</f>
        <v>15</v>
      </c>
      <c r="I549" s="8">
        <f>ROUND('Criaturas - Base de Dados'!K93*'Sistema de Raridade e Evolução'!E3,0)</f>
        <v>96</v>
      </c>
      <c r="J549" s="8">
        <f>'Sistema de Raridade e Evolução'!D3</f>
        <v>6</v>
      </c>
      <c r="K549" s="8" t="s">
        <v>9</v>
      </c>
      <c r="L549" s="9">
        <f t="shared" si="8"/>
        <v>71428.570000000007</v>
      </c>
    </row>
    <row r="550" spans="1:12" ht="14.25" hidden="1" customHeight="1" x14ac:dyDescent="0.3">
      <c r="A550" s="8">
        <v>549</v>
      </c>
      <c r="B550" s="8" t="str">
        <f>'Criaturas - Base de Dados'!B93</f>
        <v>Maré Eterna</v>
      </c>
      <c r="C550" s="8" t="str">
        <f>'Criaturas - Base de Dados'!C93</f>
        <v>Água</v>
      </c>
      <c r="D550" s="8" t="str">
        <f>'Criaturas - Base de Dados'!D93</f>
        <v>Bakunawa, a Serpente-Lua</v>
      </c>
      <c r="E550" s="8" t="str">
        <f>'Sistema de Raridade e Evolução'!B4</f>
        <v>Prata</v>
      </c>
      <c r="F550" s="9">
        <f>ROUND(('Criaturas - Base de Dados'!H93*'Sistema de Raridade e Evolução'!E4)*1000,2)</f>
        <v>180000</v>
      </c>
      <c r="G550" s="8">
        <f>ROUND('Criaturas - Base de Dados'!I93*'Sistema de Raridade e Evolução'!E4,0)</f>
        <v>108</v>
      </c>
      <c r="H550" s="8">
        <f>ROUND('Criaturas - Base de Dados'!J93*'Sistema de Raridade e Evolução'!E4,0)</f>
        <v>90</v>
      </c>
      <c r="I550" s="8">
        <f>ROUND('Criaturas - Base de Dados'!K93*'Sistema de Raridade e Evolução'!E4,0)</f>
        <v>576</v>
      </c>
      <c r="J550" s="8">
        <f>'Sistema de Raridade e Evolução'!D4</f>
        <v>16</v>
      </c>
      <c r="K550" s="8" t="s">
        <v>10</v>
      </c>
      <c r="L550" s="9">
        <f t="shared" si="8"/>
        <v>428571.43</v>
      </c>
    </row>
    <row r="551" spans="1:12" ht="14.25" hidden="1" customHeight="1" x14ac:dyDescent="0.3">
      <c r="A551" s="8">
        <v>550</v>
      </c>
      <c r="B551" s="8" t="str">
        <f>'Criaturas - Base de Dados'!B93</f>
        <v>Maré Eterna</v>
      </c>
      <c r="C551" s="8" t="str">
        <f>'Criaturas - Base de Dados'!C93</f>
        <v>Água</v>
      </c>
      <c r="D551" s="8" t="str">
        <f>'Criaturas - Base de Dados'!D93</f>
        <v>Bakunawa, a Serpente-Lua</v>
      </c>
      <c r="E551" s="8" t="str">
        <f>'Sistema de Raridade e Evolução'!B5</f>
        <v>Ouro</v>
      </c>
      <c r="F551" s="9">
        <f>ROUND(('Criaturas - Base de Dados'!H93*'Sistema de Raridade e Evolução'!E5)*1000,2)</f>
        <v>540000</v>
      </c>
      <c r="G551" s="8">
        <f>ROUND('Criaturas - Base de Dados'!I93*'Sistema de Raridade e Evolução'!E5,0)</f>
        <v>324</v>
      </c>
      <c r="H551" s="8">
        <f>ROUND('Criaturas - Base de Dados'!J93*'Sistema de Raridade e Evolução'!E5,0)</f>
        <v>270</v>
      </c>
      <c r="I551" s="8">
        <f>ROUND('Criaturas - Base de Dados'!K93*'Sistema de Raridade e Evolução'!E5,0)</f>
        <v>1728</v>
      </c>
      <c r="J551" s="8">
        <f>'Sistema de Raridade e Evolução'!D5</f>
        <v>31</v>
      </c>
      <c r="K551" s="8" t="s">
        <v>11</v>
      </c>
      <c r="L551" s="9">
        <f t="shared" si="8"/>
        <v>1285714.29</v>
      </c>
    </row>
    <row r="552" spans="1:12" ht="14.25" hidden="1" customHeight="1" x14ac:dyDescent="0.3">
      <c r="A552" s="8">
        <v>551</v>
      </c>
      <c r="B552" s="8" t="str">
        <f>'Criaturas - Base de Dados'!B93</f>
        <v>Maré Eterna</v>
      </c>
      <c r="C552" s="8" t="str">
        <f>'Criaturas - Base de Dados'!C93</f>
        <v>Água</v>
      </c>
      <c r="D552" s="8" t="str">
        <f>'Criaturas - Base de Dados'!D93</f>
        <v>Bakunawa, a Serpente-Lua</v>
      </c>
      <c r="E552" s="8" t="str">
        <f>'Sistema de Raridade e Evolução'!B6</f>
        <v>Platina</v>
      </c>
      <c r="F552" s="9">
        <f>ROUND(('Criaturas - Base de Dados'!H93*'Sistema de Raridade e Evolução'!E6)*1000,2)</f>
        <v>1500000</v>
      </c>
      <c r="G552" s="8">
        <f>ROUND('Criaturas - Base de Dados'!I93*'Sistema de Raridade e Evolução'!E6,0)</f>
        <v>900</v>
      </c>
      <c r="H552" s="8">
        <f>ROUND('Criaturas - Base de Dados'!J93*'Sistema de Raridade e Evolução'!E6,0)</f>
        <v>750</v>
      </c>
      <c r="I552" s="8">
        <f>ROUND('Criaturas - Base de Dados'!K93*'Sistema de Raridade e Evolução'!E6,0)</f>
        <v>4800</v>
      </c>
      <c r="J552" s="8">
        <f>'Sistema de Raridade e Evolução'!D6</f>
        <v>56</v>
      </c>
      <c r="K552" s="8" t="s">
        <v>12</v>
      </c>
      <c r="L552" s="9">
        <f t="shared" si="8"/>
        <v>3571428.57</v>
      </c>
    </row>
    <row r="553" spans="1:12" ht="14.25" hidden="1" customHeight="1" x14ac:dyDescent="0.3">
      <c r="A553" s="8">
        <v>552</v>
      </c>
      <c r="B553" s="8" t="str">
        <f>'Criaturas - Base de Dados'!B93</f>
        <v>Maré Eterna</v>
      </c>
      <c r="C553" s="8" t="str">
        <f>'Criaturas - Base de Dados'!C93</f>
        <v>Água</v>
      </c>
      <c r="D553" s="8" t="str">
        <f>'Criaturas - Base de Dados'!D93</f>
        <v>Bakunawa, a Serpente-Lua</v>
      </c>
      <c r="E553" s="8" t="str">
        <f>'Sistema de Raridade e Evolução'!B7</f>
        <v>Lendário</v>
      </c>
      <c r="F553" s="9">
        <f>ROUND(('Criaturas - Base de Dados'!H93*'Sistema de Raridade e Evolução'!E7)*1000,2)</f>
        <v>4500000</v>
      </c>
      <c r="G553" s="8">
        <f>ROUND('Criaturas - Base de Dados'!I93*'Sistema de Raridade e Evolução'!E7,0)</f>
        <v>2700</v>
      </c>
      <c r="H553" s="8">
        <f>ROUND('Criaturas - Base de Dados'!J93*'Sistema de Raridade e Evolução'!E7,0)</f>
        <v>2250</v>
      </c>
      <c r="I553" s="8">
        <f>ROUND('Criaturas - Base de Dados'!K93*'Sistema de Raridade e Evolução'!E7,0)</f>
        <v>14400</v>
      </c>
      <c r="J553" s="8">
        <f>'Sistema de Raridade e Evolução'!D7</f>
        <v>91</v>
      </c>
      <c r="K553" s="8" t="s">
        <v>925</v>
      </c>
      <c r="L553" s="9">
        <f t="shared" si="8"/>
        <v>10714285.710000001</v>
      </c>
    </row>
    <row r="554" spans="1:12" ht="14.25" customHeight="1" x14ac:dyDescent="0.3">
      <c r="A554" s="8">
        <v>553</v>
      </c>
      <c r="B554" s="8" t="str">
        <f>'Criaturas - Base de Dados'!B94</f>
        <v>Maré Eterna</v>
      </c>
      <c r="C554" s="8" t="str">
        <f>'Criaturas - Base de Dados'!C94</f>
        <v>Água</v>
      </c>
      <c r="D554" s="8" t="str">
        <f>'Criaturas - Base de Dados'!D94</f>
        <v>Makara Guardião</v>
      </c>
      <c r="E554" s="8" t="str">
        <f>'Sistema de Raridade e Evolução'!B2</f>
        <v>Default</v>
      </c>
      <c r="F554" s="9" t="e">
        <f>ROUND(('Criaturas - Base de Dados'!H94*'Sistema de Raridade e Evolução'!E2)*1000,2)</f>
        <v>#VALUE!</v>
      </c>
      <c r="G554" s="8" t="e">
        <f>ROUND('Criaturas - Base de Dados'!I94*'Sistema de Raridade e Evolução'!E2,0)</f>
        <v>#VALUE!</v>
      </c>
      <c r="H554" s="8" t="e">
        <f>ROUND('Criaturas - Base de Dados'!J94*'Sistema de Raridade e Evolução'!E2,0)</f>
        <v>#VALUE!</v>
      </c>
      <c r="I554" s="8" t="e">
        <f>ROUND('Criaturas - Base de Dados'!K94*'Sistema de Raridade e Evolução'!E2,0)</f>
        <v>#VALUE!</v>
      </c>
      <c r="J554" s="8">
        <f>'Sistema de Raridade e Evolução'!D2</f>
        <v>1</v>
      </c>
      <c r="K554" s="8" t="s">
        <v>8</v>
      </c>
      <c r="L554" s="9" t="e">
        <f t="shared" si="8"/>
        <v>#VALUE!</v>
      </c>
    </row>
    <row r="555" spans="1:12" ht="14.25" hidden="1" customHeight="1" x14ac:dyDescent="0.3">
      <c r="A555" s="8">
        <v>554</v>
      </c>
      <c r="B555" s="8" t="str">
        <f>'Criaturas - Base de Dados'!B94</f>
        <v>Maré Eterna</v>
      </c>
      <c r="C555" s="8" t="str">
        <f>'Criaturas - Base de Dados'!C94</f>
        <v>Água</v>
      </c>
      <c r="D555" s="8" t="str">
        <f>'Criaturas - Base de Dados'!D94</f>
        <v>Makara Guardião</v>
      </c>
      <c r="E555" s="8" t="str">
        <f>'Sistema de Raridade e Evolução'!B3</f>
        <v>Bronze</v>
      </c>
      <c r="F555" s="9">
        <f>ROUND(('Criaturas - Base de Dados'!H94*'Sistema de Raridade e Evolução'!E3)*1000,2)</f>
        <v>34000</v>
      </c>
      <c r="G555" s="8">
        <f>ROUND('Criaturas - Base de Dados'!I94*'Sistema de Raridade e Evolução'!E3,0)</f>
        <v>20</v>
      </c>
      <c r="H555" s="8">
        <f>ROUND('Criaturas - Base de Dados'!J94*'Sistema de Raridade e Evolução'!E3,0)</f>
        <v>17</v>
      </c>
      <c r="I555" s="8">
        <f>ROUND('Criaturas - Base de Dados'!K94*'Sistema de Raridade e Evolução'!E3,0)</f>
        <v>109</v>
      </c>
      <c r="J555" s="8">
        <f>'Sistema de Raridade e Evolução'!D3</f>
        <v>6</v>
      </c>
      <c r="K555" s="8" t="s">
        <v>9</v>
      </c>
      <c r="L555" s="9">
        <f t="shared" si="8"/>
        <v>80952.38</v>
      </c>
    </row>
    <row r="556" spans="1:12" ht="14.25" hidden="1" customHeight="1" x14ac:dyDescent="0.3">
      <c r="A556" s="8">
        <v>555</v>
      </c>
      <c r="B556" s="8" t="str">
        <f>'Criaturas - Base de Dados'!B94</f>
        <v>Maré Eterna</v>
      </c>
      <c r="C556" s="8" t="str">
        <f>'Criaturas - Base de Dados'!C94</f>
        <v>Água</v>
      </c>
      <c r="D556" s="8" t="str">
        <f>'Criaturas - Base de Dados'!D94</f>
        <v>Makara Guardião</v>
      </c>
      <c r="E556" s="8" t="str">
        <f>'Sistema de Raridade e Evolução'!B4</f>
        <v>Prata</v>
      </c>
      <c r="F556" s="9">
        <f>ROUND(('Criaturas - Base de Dados'!H94*'Sistema de Raridade e Evolução'!E4)*1000,2)</f>
        <v>204000</v>
      </c>
      <c r="G556" s="8">
        <f>ROUND('Criaturas - Base de Dados'!I94*'Sistema de Raridade e Evolução'!E4,0)</f>
        <v>120</v>
      </c>
      <c r="H556" s="8">
        <f>ROUND('Criaturas - Base de Dados'!J94*'Sistema de Raridade e Evolução'!E4,0)</f>
        <v>102</v>
      </c>
      <c r="I556" s="8">
        <f>ROUND('Criaturas - Base de Dados'!K94*'Sistema de Raridade e Evolução'!E4,0)</f>
        <v>654</v>
      </c>
      <c r="J556" s="8">
        <f>'Sistema de Raridade e Evolução'!D4</f>
        <v>16</v>
      </c>
      <c r="K556" s="8" t="s">
        <v>10</v>
      </c>
      <c r="L556" s="9">
        <f t="shared" si="8"/>
        <v>485714.29</v>
      </c>
    </row>
    <row r="557" spans="1:12" ht="14.25" hidden="1" customHeight="1" x14ac:dyDescent="0.3">
      <c r="A557" s="8">
        <v>556</v>
      </c>
      <c r="B557" s="8" t="str">
        <f>'Criaturas - Base de Dados'!B94</f>
        <v>Maré Eterna</v>
      </c>
      <c r="C557" s="8" t="str">
        <f>'Criaturas - Base de Dados'!C94</f>
        <v>Água</v>
      </c>
      <c r="D557" s="8" t="str">
        <f>'Criaturas - Base de Dados'!D94</f>
        <v>Makara Guardião</v>
      </c>
      <c r="E557" s="8" t="str">
        <f>'Sistema de Raridade e Evolução'!B5</f>
        <v>Ouro</v>
      </c>
      <c r="F557" s="9">
        <f>ROUND(('Criaturas - Base de Dados'!H94*'Sistema de Raridade e Evolução'!E5)*1000,2)</f>
        <v>612000</v>
      </c>
      <c r="G557" s="8">
        <f>ROUND('Criaturas - Base de Dados'!I94*'Sistema de Raridade e Evolução'!E5,0)</f>
        <v>360</v>
      </c>
      <c r="H557" s="8">
        <f>ROUND('Criaturas - Base de Dados'!J94*'Sistema de Raridade e Evolução'!E5,0)</f>
        <v>306</v>
      </c>
      <c r="I557" s="8">
        <f>ROUND('Criaturas - Base de Dados'!K94*'Sistema de Raridade e Evolução'!E5,0)</f>
        <v>1962</v>
      </c>
      <c r="J557" s="8">
        <f>'Sistema de Raridade e Evolução'!D5</f>
        <v>31</v>
      </c>
      <c r="K557" s="8" t="s">
        <v>11</v>
      </c>
      <c r="L557" s="9">
        <f t="shared" si="8"/>
        <v>1457142.86</v>
      </c>
    </row>
    <row r="558" spans="1:12" ht="14.25" hidden="1" customHeight="1" x14ac:dyDescent="0.3">
      <c r="A558" s="8">
        <v>557</v>
      </c>
      <c r="B558" s="8" t="str">
        <f>'Criaturas - Base de Dados'!B94</f>
        <v>Maré Eterna</v>
      </c>
      <c r="C558" s="8" t="str">
        <f>'Criaturas - Base de Dados'!C94</f>
        <v>Água</v>
      </c>
      <c r="D558" s="8" t="str">
        <f>'Criaturas - Base de Dados'!D94</f>
        <v>Makara Guardião</v>
      </c>
      <c r="E558" s="8" t="str">
        <f>'Sistema de Raridade e Evolução'!B6</f>
        <v>Platina</v>
      </c>
      <c r="F558" s="9">
        <f>ROUND(('Criaturas - Base de Dados'!H94*'Sistema de Raridade e Evolução'!E6)*1000,2)</f>
        <v>1700000</v>
      </c>
      <c r="G558" s="8">
        <f>ROUND('Criaturas - Base de Dados'!I94*'Sistema de Raridade e Evolução'!E6,0)</f>
        <v>1000</v>
      </c>
      <c r="H558" s="8">
        <f>ROUND('Criaturas - Base de Dados'!J94*'Sistema de Raridade e Evolução'!E6,0)</f>
        <v>850</v>
      </c>
      <c r="I558" s="8">
        <f>ROUND('Criaturas - Base de Dados'!K94*'Sistema de Raridade e Evolução'!E6,0)</f>
        <v>5450</v>
      </c>
      <c r="J558" s="8">
        <f>'Sistema de Raridade e Evolução'!D6</f>
        <v>56</v>
      </c>
      <c r="K558" s="8" t="s">
        <v>12</v>
      </c>
      <c r="L558" s="9">
        <f t="shared" si="8"/>
        <v>4047619.05</v>
      </c>
    </row>
    <row r="559" spans="1:12" ht="14.25" hidden="1" customHeight="1" x14ac:dyDescent="0.3">
      <c r="A559" s="8">
        <v>558</v>
      </c>
      <c r="B559" s="8" t="str">
        <f>'Criaturas - Base de Dados'!B94</f>
        <v>Maré Eterna</v>
      </c>
      <c r="C559" s="8" t="str">
        <f>'Criaturas - Base de Dados'!C94</f>
        <v>Água</v>
      </c>
      <c r="D559" s="8" t="str">
        <f>'Criaturas - Base de Dados'!D94</f>
        <v>Makara Guardião</v>
      </c>
      <c r="E559" s="8" t="str">
        <f>'Sistema de Raridade e Evolução'!B7</f>
        <v>Lendário</v>
      </c>
      <c r="F559" s="9">
        <f>ROUND(('Criaturas - Base de Dados'!H94*'Sistema de Raridade e Evolução'!E7)*1000,2)</f>
        <v>5100000</v>
      </c>
      <c r="G559" s="8">
        <f>ROUND('Criaturas - Base de Dados'!I94*'Sistema de Raridade e Evolução'!E7,0)</f>
        <v>3000</v>
      </c>
      <c r="H559" s="8">
        <f>ROUND('Criaturas - Base de Dados'!J94*'Sistema de Raridade e Evolução'!E7,0)</f>
        <v>2550</v>
      </c>
      <c r="I559" s="8">
        <f>ROUND('Criaturas - Base de Dados'!K94*'Sistema de Raridade e Evolução'!E7,0)</f>
        <v>16350</v>
      </c>
      <c r="J559" s="8">
        <f>'Sistema de Raridade e Evolução'!D7</f>
        <v>91</v>
      </c>
      <c r="K559" s="8" t="s">
        <v>925</v>
      </c>
      <c r="L559" s="9">
        <f t="shared" si="8"/>
        <v>12142857.140000001</v>
      </c>
    </row>
    <row r="560" spans="1:12" ht="14.25" customHeight="1" x14ac:dyDescent="0.3">
      <c r="A560" s="8">
        <v>559</v>
      </c>
      <c r="B560" s="8" t="str">
        <f>'Criaturas - Base de Dados'!B95</f>
        <v>Maré Eterna</v>
      </c>
      <c r="C560" s="8" t="str">
        <f>'Criaturas - Base de Dados'!C95</f>
        <v>Água</v>
      </c>
      <c r="D560" s="8" t="str">
        <f>'Criaturas - Base de Dados'!D95</f>
        <v>Jengu da Correnteza</v>
      </c>
      <c r="E560" s="8" t="str">
        <f>'Sistema de Raridade e Evolução'!B2</f>
        <v>Default</v>
      </c>
      <c r="F560" s="9" t="e">
        <f>ROUND(('Criaturas - Base de Dados'!H95*'Sistema de Raridade e Evolução'!E2)*1000,2)</f>
        <v>#VALUE!</v>
      </c>
      <c r="G560" s="8" t="e">
        <f>ROUND('Criaturas - Base de Dados'!I95*'Sistema de Raridade e Evolução'!E2,0)</f>
        <v>#VALUE!</v>
      </c>
      <c r="H560" s="8" t="e">
        <f>ROUND('Criaturas - Base de Dados'!J95*'Sistema de Raridade e Evolução'!E2,0)</f>
        <v>#VALUE!</v>
      </c>
      <c r="I560" s="8" t="e">
        <f>ROUND('Criaturas - Base de Dados'!K95*'Sistema de Raridade e Evolução'!E2,0)</f>
        <v>#VALUE!</v>
      </c>
      <c r="J560" s="8">
        <f>'Sistema de Raridade e Evolução'!D2</f>
        <v>1</v>
      </c>
      <c r="K560" s="8" t="s">
        <v>8</v>
      </c>
      <c r="L560" s="9" t="e">
        <f t="shared" si="8"/>
        <v>#VALUE!</v>
      </c>
    </row>
    <row r="561" spans="1:12" ht="14.25" hidden="1" customHeight="1" x14ac:dyDescent="0.3">
      <c r="A561" s="8">
        <v>560</v>
      </c>
      <c r="B561" s="8" t="str">
        <f>'Criaturas - Base de Dados'!B95</f>
        <v>Maré Eterna</v>
      </c>
      <c r="C561" s="8" t="str">
        <f>'Criaturas - Base de Dados'!C95</f>
        <v>Água</v>
      </c>
      <c r="D561" s="8" t="str">
        <f>'Criaturas - Base de Dados'!D95</f>
        <v>Jengu da Correnteza</v>
      </c>
      <c r="E561" s="8" t="str">
        <f>'Sistema de Raridade e Evolução'!B3</f>
        <v>Bronze</v>
      </c>
      <c r="F561" s="9">
        <f>ROUND(('Criaturas - Base de Dados'!H95*'Sistema de Raridade e Evolução'!E3)*1000,2)</f>
        <v>36000</v>
      </c>
      <c r="G561" s="8">
        <f>ROUND('Criaturas - Base de Dados'!I95*'Sistema de Raridade e Evolução'!E3,0)</f>
        <v>22</v>
      </c>
      <c r="H561" s="8">
        <f>ROUND('Criaturas - Base de Dados'!J95*'Sistema de Raridade e Evolução'!E3,0)</f>
        <v>18</v>
      </c>
      <c r="I561" s="8">
        <f>ROUND('Criaturas - Base de Dados'!K95*'Sistema de Raridade e Evolução'!E3,0)</f>
        <v>115</v>
      </c>
      <c r="J561" s="8">
        <f>'Sistema de Raridade e Evolução'!D3</f>
        <v>6</v>
      </c>
      <c r="K561" s="8" t="s">
        <v>9</v>
      </c>
      <c r="L561" s="9">
        <f t="shared" si="8"/>
        <v>85714.29</v>
      </c>
    </row>
    <row r="562" spans="1:12" ht="14.25" hidden="1" customHeight="1" x14ac:dyDescent="0.3">
      <c r="A562" s="8">
        <v>561</v>
      </c>
      <c r="B562" s="8" t="str">
        <f>'Criaturas - Base de Dados'!B95</f>
        <v>Maré Eterna</v>
      </c>
      <c r="C562" s="8" t="str">
        <f>'Criaturas - Base de Dados'!C95</f>
        <v>Água</v>
      </c>
      <c r="D562" s="8" t="str">
        <f>'Criaturas - Base de Dados'!D95</f>
        <v>Jengu da Correnteza</v>
      </c>
      <c r="E562" s="8" t="str">
        <f>'Sistema de Raridade e Evolução'!B4</f>
        <v>Prata</v>
      </c>
      <c r="F562" s="9">
        <f>ROUND(('Criaturas - Base de Dados'!H95*'Sistema de Raridade e Evolução'!E4)*1000,2)</f>
        <v>216000</v>
      </c>
      <c r="G562" s="8">
        <f>ROUND('Criaturas - Base de Dados'!I95*'Sistema de Raridade e Evolução'!E4,0)</f>
        <v>132</v>
      </c>
      <c r="H562" s="8">
        <f>ROUND('Criaturas - Base de Dados'!J95*'Sistema de Raridade e Evolução'!E4,0)</f>
        <v>108</v>
      </c>
      <c r="I562" s="8">
        <f>ROUND('Criaturas - Base de Dados'!K95*'Sistema de Raridade e Evolução'!E4,0)</f>
        <v>690</v>
      </c>
      <c r="J562" s="8">
        <f>'Sistema de Raridade e Evolução'!D4</f>
        <v>16</v>
      </c>
      <c r="K562" s="8" t="s">
        <v>10</v>
      </c>
      <c r="L562" s="9">
        <f t="shared" si="8"/>
        <v>514285.71</v>
      </c>
    </row>
    <row r="563" spans="1:12" ht="14.25" hidden="1" customHeight="1" x14ac:dyDescent="0.3">
      <c r="A563" s="8">
        <v>562</v>
      </c>
      <c r="B563" s="8" t="str">
        <f>'Criaturas - Base de Dados'!B95</f>
        <v>Maré Eterna</v>
      </c>
      <c r="C563" s="8" t="str">
        <f>'Criaturas - Base de Dados'!C95</f>
        <v>Água</v>
      </c>
      <c r="D563" s="8" t="str">
        <f>'Criaturas - Base de Dados'!D95</f>
        <v>Jengu da Correnteza</v>
      </c>
      <c r="E563" s="8" t="str">
        <f>'Sistema de Raridade e Evolução'!B5</f>
        <v>Ouro</v>
      </c>
      <c r="F563" s="9">
        <f>ROUND(('Criaturas - Base de Dados'!H95*'Sistema de Raridade e Evolução'!E5)*1000,2)</f>
        <v>648000</v>
      </c>
      <c r="G563" s="8">
        <f>ROUND('Criaturas - Base de Dados'!I95*'Sistema de Raridade e Evolução'!E5,0)</f>
        <v>396</v>
      </c>
      <c r="H563" s="8">
        <f>ROUND('Criaturas - Base de Dados'!J95*'Sistema de Raridade e Evolução'!E5,0)</f>
        <v>324</v>
      </c>
      <c r="I563" s="8">
        <f>ROUND('Criaturas - Base de Dados'!K95*'Sistema de Raridade e Evolução'!E5,0)</f>
        <v>2070</v>
      </c>
      <c r="J563" s="8">
        <f>'Sistema de Raridade e Evolução'!D5</f>
        <v>31</v>
      </c>
      <c r="K563" s="8" t="s">
        <v>11</v>
      </c>
      <c r="L563" s="9">
        <f t="shared" si="8"/>
        <v>1542857.14</v>
      </c>
    </row>
    <row r="564" spans="1:12" ht="14.25" hidden="1" customHeight="1" x14ac:dyDescent="0.3">
      <c r="A564" s="8">
        <v>563</v>
      </c>
      <c r="B564" s="8" t="str">
        <f>'Criaturas - Base de Dados'!B95</f>
        <v>Maré Eterna</v>
      </c>
      <c r="C564" s="8" t="str">
        <f>'Criaturas - Base de Dados'!C95</f>
        <v>Água</v>
      </c>
      <c r="D564" s="8" t="str">
        <f>'Criaturas - Base de Dados'!D95</f>
        <v>Jengu da Correnteza</v>
      </c>
      <c r="E564" s="8" t="str">
        <f>'Sistema de Raridade e Evolução'!B6</f>
        <v>Platina</v>
      </c>
      <c r="F564" s="9">
        <f>ROUND(('Criaturas - Base de Dados'!H95*'Sistema de Raridade e Evolução'!E6)*1000,2)</f>
        <v>1800000</v>
      </c>
      <c r="G564" s="8">
        <f>ROUND('Criaturas - Base de Dados'!I95*'Sistema de Raridade e Evolução'!E6,0)</f>
        <v>1100</v>
      </c>
      <c r="H564" s="8">
        <f>ROUND('Criaturas - Base de Dados'!J95*'Sistema de Raridade e Evolução'!E6,0)</f>
        <v>900</v>
      </c>
      <c r="I564" s="8">
        <f>ROUND('Criaturas - Base de Dados'!K95*'Sistema de Raridade e Evolução'!E6,0)</f>
        <v>5750</v>
      </c>
      <c r="J564" s="8">
        <f>'Sistema de Raridade e Evolução'!D6</f>
        <v>56</v>
      </c>
      <c r="K564" s="8" t="s">
        <v>12</v>
      </c>
      <c r="L564" s="9">
        <f t="shared" si="8"/>
        <v>4285714.29</v>
      </c>
    </row>
    <row r="565" spans="1:12" ht="14.25" hidden="1" customHeight="1" x14ac:dyDescent="0.3">
      <c r="A565" s="8">
        <v>564</v>
      </c>
      <c r="B565" s="8" t="str">
        <f>'Criaturas - Base de Dados'!B95</f>
        <v>Maré Eterna</v>
      </c>
      <c r="C565" s="8" t="str">
        <f>'Criaturas - Base de Dados'!C95</f>
        <v>Água</v>
      </c>
      <c r="D565" s="8" t="str">
        <f>'Criaturas - Base de Dados'!D95</f>
        <v>Jengu da Correnteza</v>
      </c>
      <c r="E565" s="8" t="str">
        <f>'Sistema de Raridade e Evolução'!B7</f>
        <v>Lendário</v>
      </c>
      <c r="F565" s="9">
        <f>ROUND(('Criaturas - Base de Dados'!H95*'Sistema de Raridade e Evolução'!E7)*1000,2)</f>
        <v>5400000</v>
      </c>
      <c r="G565" s="8">
        <f>ROUND('Criaturas - Base de Dados'!I95*'Sistema de Raridade e Evolução'!E7,0)</f>
        <v>3300</v>
      </c>
      <c r="H565" s="8">
        <f>ROUND('Criaturas - Base de Dados'!J95*'Sistema de Raridade e Evolução'!E7,0)</f>
        <v>2700</v>
      </c>
      <c r="I565" s="8">
        <f>ROUND('Criaturas - Base de Dados'!K95*'Sistema de Raridade e Evolução'!E7,0)</f>
        <v>17250</v>
      </c>
      <c r="J565" s="8">
        <f>'Sistema de Raridade e Evolução'!D7</f>
        <v>91</v>
      </c>
      <c r="K565" s="8" t="s">
        <v>925</v>
      </c>
      <c r="L565" s="9">
        <f t="shared" si="8"/>
        <v>12857142.859999999</v>
      </c>
    </row>
    <row r="566" spans="1:12" ht="14.25" customHeight="1" x14ac:dyDescent="0.3">
      <c r="A566" s="8">
        <v>565</v>
      </c>
      <c r="B566" s="8" t="str">
        <f>'Criaturas - Base de Dados'!B96</f>
        <v>Maré Eterna</v>
      </c>
      <c r="C566" s="8" t="str">
        <f>'Criaturas - Base de Dados'!C96</f>
        <v>Água</v>
      </c>
      <c r="D566" s="8" t="str">
        <f>'Criaturas - Base de Dados'!D96</f>
        <v>Aspidochelone Ancestral</v>
      </c>
      <c r="E566" s="8" t="str">
        <f>'Sistema de Raridade e Evolução'!B2</f>
        <v>Default</v>
      </c>
      <c r="F566" s="9" t="e">
        <f>ROUND(('Criaturas - Base de Dados'!H96*'Sistema de Raridade e Evolução'!E2)*1000,2)</f>
        <v>#VALUE!</v>
      </c>
      <c r="G566" s="8" t="e">
        <f>ROUND('Criaturas - Base de Dados'!I96*'Sistema de Raridade e Evolução'!E2,0)</f>
        <v>#VALUE!</v>
      </c>
      <c r="H566" s="8" t="e">
        <f>ROUND('Criaturas - Base de Dados'!J96*'Sistema de Raridade e Evolução'!E2,0)</f>
        <v>#VALUE!</v>
      </c>
      <c r="I566" s="8" t="e">
        <f>ROUND('Criaturas - Base de Dados'!K96*'Sistema de Raridade e Evolução'!E2,0)</f>
        <v>#VALUE!</v>
      </c>
      <c r="J566" s="8">
        <f>'Sistema de Raridade e Evolução'!D2</f>
        <v>1</v>
      </c>
      <c r="K566" s="8" t="s">
        <v>8</v>
      </c>
      <c r="L566" s="9" t="e">
        <f t="shared" si="8"/>
        <v>#VALUE!</v>
      </c>
    </row>
    <row r="567" spans="1:12" ht="14.25" hidden="1" customHeight="1" x14ac:dyDescent="0.3">
      <c r="A567" s="8">
        <v>566</v>
      </c>
      <c r="B567" s="8" t="str">
        <f>'Criaturas - Base de Dados'!B96</f>
        <v>Maré Eterna</v>
      </c>
      <c r="C567" s="8" t="str">
        <f>'Criaturas - Base de Dados'!C96</f>
        <v>Água</v>
      </c>
      <c r="D567" s="8" t="str">
        <f>'Criaturas - Base de Dados'!D96</f>
        <v>Aspidochelone Ancestral</v>
      </c>
      <c r="E567" s="8" t="str">
        <f>'Sistema de Raridade e Evolução'!B3</f>
        <v>Bronze</v>
      </c>
      <c r="F567" s="9">
        <f>ROUND(('Criaturas - Base de Dados'!H96*'Sistema de Raridade e Evolução'!E3)*1000,2)</f>
        <v>38000</v>
      </c>
      <c r="G567" s="8">
        <f>ROUND('Criaturas - Base de Dados'!I96*'Sistema de Raridade e Evolução'!E3,0)</f>
        <v>23</v>
      </c>
      <c r="H567" s="8">
        <f>ROUND('Criaturas - Base de Dados'!J96*'Sistema de Raridade e Evolução'!E3,0)</f>
        <v>19</v>
      </c>
      <c r="I567" s="8">
        <f>ROUND('Criaturas - Base de Dados'!K96*'Sistema de Raridade e Evolução'!E3,0)</f>
        <v>122</v>
      </c>
      <c r="J567" s="8">
        <f>'Sistema de Raridade e Evolução'!D3</f>
        <v>6</v>
      </c>
      <c r="K567" s="8" t="s">
        <v>9</v>
      </c>
      <c r="L567" s="9">
        <f t="shared" si="8"/>
        <v>90476.19</v>
      </c>
    </row>
    <row r="568" spans="1:12" ht="14.25" hidden="1" customHeight="1" x14ac:dyDescent="0.3">
      <c r="A568" s="8">
        <v>567</v>
      </c>
      <c r="B568" s="8" t="str">
        <f>'Criaturas - Base de Dados'!B96</f>
        <v>Maré Eterna</v>
      </c>
      <c r="C568" s="8" t="str">
        <f>'Criaturas - Base de Dados'!C96</f>
        <v>Água</v>
      </c>
      <c r="D568" s="8" t="str">
        <f>'Criaturas - Base de Dados'!D96</f>
        <v>Aspidochelone Ancestral</v>
      </c>
      <c r="E568" s="8" t="str">
        <f>'Sistema de Raridade e Evolução'!B4</f>
        <v>Prata</v>
      </c>
      <c r="F568" s="9">
        <f>ROUND(('Criaturas - Base de Dados'!H96*'Sistema de Raridade e Evolução'!E4)*1000,2)</f>
        <v>228000</v>
      </c>
      <c r="G568" s="8">
        <f>ROUND('Criaturas - Base de Dados'!I96*'Sistema de Raridade e Evolução'!E4,0)</f>
        <v>138</v>
      </c>
      <c r="H568" s="8">
        <f>ROUND('Criaturas - Base de Dados'!J96*'Sistema de Raridade e Evolução'!E4,0)</f>
        <v>114</v>
      </c>
      <c r="I568" s="8">
        <f>ROUND('Criaturas - Base de Dados'!K96*'Sistema de Raridade e Evolução'!E4,0)</f>
        <v>732</v>
      </c>
      <c r="J568" s="8">
        <f>'Sistema de Raridade e Evolução'!D4</f>
        <v>16</v>
      </c>
      <c r="K568" s="8" t="s">
        <v>10</v>
      </c>
      <c r="L568" s="9">
        <f t="shared" si="8"/>
        <v>542857.14</v>
      </c>
    </row>
    <row r="569" spans="1:12" ht="14.25" hidden="1" customHeight="1" x14ac:dyDescent="0.3">
      <c r="A569" s="8">
        <v>568</v>
      </c>
      <c r="B569" s="8" t="str">
        <f>'Criaturas - Base de Dados'!B96</f>
        <v>Maré Eterna</v>
      </c>
      <c r="C569" s="8" t="str">
        <f>'Criaturas - Base de Dados'!C96</f>
        <v>Água</v>
      </c>
      <c r="D569" s="8" t="str">
        <f>'Criaturas - Base de Dados'!D96</f>
        <v>Aspidochelone Ancestral</v>
      </c>
      <c r="E569" s="8" t="str">
        <f>'Sistema de Raridade e Evolução'!B5</f>
        <v>Ouro</v>
      </c>
      <c r="F569" s="9">
        <f>ROUND(('Criaturas - Base de Dados'!H96*'Sistema de Raridade e Evolução'!E5)*1000,2)</f>
        <v>684000</v>
      </c>
      <c r="G569" s="8">
        <f>ROUND('Criaturas - Base de Dados'!I96*'Sistema de Raridade e Evolução'!E5,0)</f>
        <v>414</v>
      </c>
      <c r="H569" s="8">
        <f>ROUND('Criaturas - Base de Dados'!J96*'Sistema de Raridade e Evolução'!E5,0)</f>
        <v>342</v>
      </c>
      <c r="I569" s="8">
        <f>ROUND('Criaturas - Base de Dados'!K96*'Sistema de Raridade e Evolução'!E5,0)</f>
        <v>2196</v>
      </c>
      <c r="J569" s="8">
        <f>'Sistema de Raridade e Evolução'!D5</f>
        <v>31</v>
      </c>
      <c r="K569" s="8" t="s">
        <v>11</v>
      </c>
      <c r="L569" s="9">
        <f t="shared" si="8"/>
        <v>1628571.43</v>
      </c>
    </row>
    <row r="570" spans="1:12" ht="14.25" hidden="1" customHeight="1" x14ac:dyDescent="0.3">
      <c r="A570" s="8">
        <v>569</v>
      </c>
      <c r="B570" s="8" t="str">
        <f>'Criaturas - Base de Dados'!B96</f>
        <v>Maré Eterna</v>
      </c>
      <c r="C570" s="8" t="str">
        <f>'Criaturas - Base de Dados'!C96</f>
        <v>Água</v>
      </c>
      <c r="D570" s="8" t="str">
        <f>'Criaturas - Base de Dados'!D96</f>
        <v>Aspidochelone Ancestral</v>
      </c>
      <c r="E570" s="8" t="str">
        <f>'Sistema de Raridade e Evolução'!B6</f>
        <v>Platina</v>
      </c>
      <c r="F570" s="9">
        <f>ROUND(('Criaturas - Base de Dados'!H96*'Sistema de Raridade e Evolução'!E6)*1000,2)</f>
        <v>1900000</v>
      </c>
      <c r="G570" s="8">
        <f>ROUND('Criaturas - Base de Dados'!I96*'Sistema de Raridade e Evolução'!E6,0)</f>
        <v>1150</v>
      </c>
      <c r="H570" s="8">
        <f>ROUND('Criaturas - Base de Dados'!J96*'Sistema de Raridade e Evolução'!E6,0)</f>
        <v>950</v>
      </c>
      <c r="I570" s="8">
        <f>ROUND('Criaturas - Base de Dados'!K96*'Sistema de Raridade e Evolução'!E6,0)</f>
        <v>6100</v>
      </c>
      <c r="J570" s="8">
        <f>'Sistema de Raridade e Evolução'!D6</f>
        <v>56</v>
      </c>
      <c r="K570" s="8" t="s">
        <v>12</v>
      </c>
      <c r="L570" s="9">
        <f t="shared" si="8"/>
        <v>4523809.5199999996</v>
      </c>
    </row>
    <row r="571" spans="1:12" ht="14.25" hidden="1" customHeight="1" x14ac:dyDescent="0.3">
      <c r="A571" s="8">
        <v>570</v>
      </c>
      <c r="B571" s="8" t="str">
        <f>'Criaturas - Base de Dados'!B96</f>
        <v>Maré Eterna</v>
      </c>
      <c r="C571" s="8" t="str">
        <f>'Criaturas - Base de Dados'!C96</f>
        <v>Água</v>
      </c>
      <c r="D571" s="8" t="str">
        <f>'Criaturas - Base de Dados'!D96</f>
        <v>Aspidochelone Ancestral</v>
      </c>
      <c r="E571" s="8" t="str">
        <f>'Sistema de Raridade e Evolução'!B7</f>
        <v>Lendário</v>
      </c>
      <c r="F571" s="9">
        <f>ROUND(('Criaturas - Base de Dados'!H96*'Sistema de Raridade e Evolução'!E7)*1000,2)</f>
        <v>5700000</v>
      </c>
      <c r="G571" s="8">
        <f>ROUND('Criaturas - Base de Dados'!I96*'Sistema de Raridade e Evolução'!E7,0)</f>
        <v>3450</v>
      </c>
      <c r="H571" s="8">
        <f>ROUND('Criaturas - Base de Dados'!J96*'Sistema de Raridade e Evolução'!E7,0)</f>
        <v>2850</v>
      </c>
      <c r="I571" s="8">
        <f>ROUND('Criaturas - Base de Dados'!K96*'Sistema de Raridade e Evolução'!E7,0)</f>
        <v>18300</v>
      </c>
      <c r="J571" s="8">
        <f>'Sistema de Raridade e Evolução'!D7</f>
        <v>91</v>
      </c>
      <c r="K571" s="8" t="s">
        <v>925</v>
      </c>
      <c r="L571" s="9">
        <f t="shared" si="8"/>
        <v>13571428.57</v>
      </c>
    </row>
    <row r="572" spans="1:12" ht="14.25" customHeight="1" x14ac:dyDescent="0.3">
      <c r="A572" s="8">
        <v>571</v>
      </c>
      <c r="B572" s="8" t="str">
        <f>'Criaturas - Base de Dados'!B97</f>
        <v>Maré Eterna</v>
      </c>
      <c r="C572" s="8" t="str">
        <f>'Criaturas - Base de Dados'!C97</f>
        <v>Água</v>
      </c>
      <c r="D572" s="8" t="str">
        <f>'Criaturas - Base de Dados'!D97</f>
        <v>Charybdis do Redemoinho</v>
      </c>
      <c r="E572" s="8" t="str">
        <f>'Sistema de Raridade e Evolução'!B2</f>
        <v>Default</v>
      </c>
      <c r="F572" s="9" t="e">
        <f>ROUND(('Criaturas - Base de Dados'!H97*'Sistema de Raridade e Evolução'!E2)*1000,2)</f>
        <v>#VALUE!</v>
      </c>
      <c r="G572" s="8" t="e">
        <f>ROUND('Criaturas - Base de Dados'!I97*'Sistema de Raridade e Evolução'!E2,0)</f>
        <v>#VALUE!</v>
      </c>
      <c r="H572" s="8" t="e">
        <f>ROUND('Criaturas - Base de Dados'!J97*'Sistema de Raridade e Evolução'!E2,0)</f>
        <v>#VALUE!</v>
      </c>
      <c r="I572" s="8" t="e">
        <f>ROUND('Criaturas - Base de Dados'!K97*'Sistema de Raridade e Evolução'!E2,0)</f>
        <v>#VALUE!</v>
      </c>
      <c r="J572" s="8">
        <f>'Sistema de Raridade e Evolução'!D2</f>
        <v>1</v>
      </c>
      <c r="K572" s="8" t="s">
        <v>8</v>
      </c>
      <c r="L572" s="9" t="e">
        <f t="shared" si="8"/>
        <v>#VALUE!</v>
      </c>
    </row>
    <row r="573" spans="1:12" ht="14.25" hidden="1" customHeight="1" x14ac:dyDescent="0.3">
      <c r="A573" s="8">
        <v>572</v>
      </c>
      <c r="B573" s="8" t="str">
        <f>'Criaturas - Base de Dados'!B97</f>
        <v>Maré Eterna</v>
      </c>
      <c r="C573" s="8" t="str">
        <f>'Criaturas - Base de Dados'!C97</f>
        <v>Água</v>
      </c>
      <c r="D573" s="8" t="str">
        <f>'Criaturas - Base de Dados'!D97</f>
        <v>Charybdis do Redemoinho</v>
      </c>
      <c r="E573" s="8" t="str">
        <f>'Sistema de Raridade e Evolução'!B3</f>
        <v>Bronze</v>
      </c>
      <c r="F573" s="9">
        <f>ROUND(('Criaturas - Base de Dados'!H97*'Sistema de Raridade e Evolução'!E3)*1000,2)</f>
        <v>54000</v>
      </c>
      <c r="G573" s="8">
        <f>ROUND('Criaturas - Base de Dados'!I97*'Sistema de Raridade e Evolução'!E3,0)</f>
        <v>32</v>
      </c>
      <c r="H573" s="8">
        <f>ROUND('Criaturas - Base de Dados'!J97*'Sistema de Raridade e Evolução'!E3,0)</f>
        <v>27</v>
      </c>
      <c r="I573" s="8">
        <f>ROUND('Criaturas - Base de Dados'!K97*'Sistema de Raridade e Evolução'!E3,0)</f>
        <v>173</v>
      </c>
      <c r="J573" s="8">
        <f>'Sistema de Raridade e Evolução'!D3</f>
        <v>6</v>
      </c>
      <c r="K573" s="8" t="s">
        <v>9</v>
      </c>
      <c r="L573" s="9">
        <f t="shared" si="8"/>
        <v>128571.43</v>
      </c>
    </row>
    <row r="574" spans="1:12" ht="14.25" hidden="1" customHeight="1" x14ac:dyDescent="0.3">
      <c r="A574" s="8">
        <v>573</v>
      </c>
      <c r="B574" s="8" t="str">
        <f>'Criaturas - Base de Dados'!B97</f>
        <v>Maré Eterna</v>
      </c>
      <c r="C574" s="8" t="str">
        <f>'Criaturas - Base de Dados'!C97</f>
        <v>Água</v>
      </c>
      <c r="D574" s="8" t="str">
        <f>'Criaturas - Base de Dados'!D97</f>
        <v>Charybdis do Redemoinho</v>
      </c>
      <c r="E574" s="8" t="str">
        <f>'Sistema de Raridade e Evolução'!B4</f>
        <v>Prata</v>
      </c>
      <c r="F574" s="9">
        <f>ROUND(('Criaturas - Base de Dados'!H97*'Sistema de Raridade e Evolução'!E4)*1000,2)</f>
        <v>324000</v>
      </c>
      <c r="G574" s="8">
        <f>ROUND('Criaturas - Base de Dados'!I97*'Sistema de Raridade e Evolução'!E4,0)</f>
        <v>192</v>
      </c>
      <c r="H574" s="8">
        <f>ROUND('Criaturas - Base de Dados'!J97*'Sistema de Raridade e Evolução'!E4,0)</f>
        <v>162</v>
      </c>
      <c r="I574" s="8">
        <f>ROUND('Criaturas - Base de Dados'!K97*'Sistema de Raridade e Evolução'!E4,0)</f>
        <v>1038</v>
      </c>
      <c r="J574" s="8">
        <f>'Sistema de Raridade e Evolução'!D4</f>
        <v>16</v>
      </c>
      <c r="K574" s="8" t="s">
        <v>10</v>
      </c>
      <c r="L574" s="9">
        <f t="shared" si="8"/>
        <v>771428.57</v>
      </c>
    </row>
    <row r="575" spans="1:12" ht="14.25" hidden="1" customHeight="1" x14ac:dyDescent="0.3">
      <c r="A575" s="8">
        <v>574</v>
      </c>
      <c r="B575" s="8" t="str">
        <f>'Criaturas - Base de Dados'!B97</f>
        <v>Maré Eterna</v>
      </c>
      <c r="C575" s="8" t="str">
        <f>'Criaturas - Base de Dados'!C97</f>
        <v>Água</v>
      </c>
      <c r="D575" s="8" t="str">
        <f>'Criaturas - Base de Dados'!D97</f>
        <v>Charybdis do Redemoinho</v>
      </c>
      <c r="E575" s="8" t="str">
        <f>'Sistema de Raridade e Evolução'!B5</f>
        <v>Ouro</v>
      </c>
      <c r="F575" s="9">
        <f>ROUND(('Criaturas - Base de Dados'!H97*'Sistema de Raridade e Evolução'!E5)*1000,2)</f>
        <v>972000</v>
      </c>
      <c r="G575" s="8">
        <f>ROUND('Criaturas - Base de Dados'!I97*'Sistema de Raridade e Evolução'!E5,0)</f>
        <v>576</v>
      </c>
      <c r="H575" s="8">
        <f>ROUND('Criaturas - Base de Dados'!J97*'Sistema de Raridade e Evolução'!E5,0)</f>
        <v>486</v>
      </c>
      <c r="I575" s="8">
        <f>ROUND('Criaturas - Base de Dados'!K97*'Sistema de Raridade e Evolução'!E5,0)</f>
        <v>3114</v>
      </c>
      <c r="J575" s="8">
        <f>'Sistema de Raridade e Evolução'!D5</f>
        <v>31</v>
      </c>
      <c r="K575" s="8" t="s">
        <v>11</v>
      </c>
      <c r="L575" s="9">
        <f t="shared" si="8"/>
        <v>2314285.71</v>
      </c>
    </row>
    <row r="576" spans="1:12" ht="14.25" hidden="1" customHeight="1" x14ac:dyDescent="0.3">
      <c r="A576" s="8">
        <v>575</v>
      </c>
      <c r="B576" s="8" t="str">
        <f>'Criaturas - Base de Dados'!B97</f>
        <v>Maré Eterna</v>
      </c>
      <c r="C576" s="8" t="str">
        <f>'Criaturas - Base de Dados'!C97</f>
        <v>Água</v>
      </c>
      <c r="D576" s="8" t="str">
        <f>'Criaturas - Base de Dados'!D97</f>
        <v>Charybdis do Redemoinho</v>
      </c>
      <c r="E576" s="8" t="str">
        <f>'Sistema de Raridade e Evolução'!B6</f>
        <v>Platina</v>
      </c>
      <c r="F576" s="9">
        <f>ROUND(('Criaturas - Base de Dados'!H97*'Sistema de Raridade e Evolução'!E6)*1000,2)</f>
        <v>2700000</v>
      </c>
      <c r="G576" s="8">
        <f>ROUND('Criaturas - Base de Dados'!I97*'Sistema de Raridade e Evolução'!E6,0)</f>
        <v>1600</v>
      </c>
      <c r="H576" s="8">
        <f>ROUND('Criaturas - Base de Dados'!J97*'Sistema de Raridade e Evolução'!E6,0)</f>
        <v>1350</v>
      </c>
      <c r="I576" s="8">
        <f>ROUND('Criaturas - Base de Dados'!K97*'Sistema de Raridade e Evolução'!E6,0)</f>
        <v>8650</v>
      </c>
      <c r="J576" s="8">
        <f>'Sistema de Raridade e Evolução'!D6</f>
        <v>56</v>
      </c>
      <c r="K576" s="8" t="s">
        <v>12</v>
      </c>
      <c r="L576" s="9">
        <f t="shared" si="8"/>
        <v>6428571.4299999997</v>
      </c>
    </row>
    <row r="577" spans="1:12" ht="14.25" hidden="1" customHeight="1" x14ac:dyDescent="0.3">
      <c r="A577" s="8">
        <v>576</v>
      </c>
      <c r="B577" s="8" t="str">
        <f>'Criaturas - Base de Dados'!B97</f>
        <v>Maré Eterna</v>
      </c>
      <c r="C577" s="8" t="str">
        <f>'Criaturas - Base de Dados'!C97</f>
        <v>Água</v>
      </c>
      <c r="D577" s="8" t="str">
        <f>'Criaturas - Base de Dados'!D97</f>
        <v>Charybdis do Redemoinho</v>
      </c>
      <c r="E577" s="8" t="str">
        <f>'Sistema de Raridade e Evolução'!B7</f>
        <v>Lendário</v>
      </c>
      <c r="F577" s="9">
        <f>ROUND(('Criaturas - Base de Dados'!H97*'Sistema de Raridade e Evolução'!E7)*1000,2)</f>
        <v>8100000</v>
      </c>
      <c r="G577" s="8">
        <f>ROUND('Criaturas - Base de Dados'!I97*'Sistema de Raridade e Evolução'!E7,0)</f>
        <v>4800</v>
      </c>
      <c r="H577" s="8">
        <f>ROUND('Criaturas - Base de Dados'!J97*'Sistema de Raridade e Evolução'!E7,0)</f>
        <v>4050</v>
      </c>
      <c r="I577" s="8">
        <f>ROUND('Criaturas - Base de Dados'!K97*'Sistema de Raridade e Evolução'!E7,0)</f>
        <v>25950</v>
      </c>
      <c r="J577" s="8">
        <f>'Sistema de Raridade e Evolução'!D7</f>
        <v>91</v>
      </c>
      <c r="K577" s="8" t="s">
        <v>925</v>
      </c>
      <c r="L577" s="9">
        <f t="shared" si="8"/>
        <v>19285714.289999999</v>
      </c>
    </row>
    <row r="578" spans="1:12" ht="14.25" customHeight="1" x14ac:dyDescent="0.3">
      <c r="A578" s="8">
        <v>577</v>
      </c>
      <c r="B578" s="8" t="str">
        <f>'Criaturas - Base de Dados'!B98</f>
        <v>Maré Eterna</v>
      </c>
      <c r="C578" s="8" t="str">
        <f>'Criaturas - Base de Dados'!C98</f>
        <v>Água</v>
      </c>
      <c r="D578" s="8" t="str">
        <f>'Criaturas - Base de Dados'!D98</f>
        <v>Kelpie das Águas Negras</v>
      </c>
      <c r="E578" s="8" t="str">
        <f>'Sistema de Raridade e Evolução'!B2</f>
        <v>Default</v>
      </c>
      <c r="F578" s="9" t="e">
        <f>ROUND(('Criaturas - Base de Dados'!H98*'Sistema de Raridade e Evolução'!E2)*1000,2)</f>
        <v>#VALUE!</v>
      </c>
      <c r="G578" s="8" t="e">
        <f>ROUND('Criaturas - Base de Dados'!I98*'Sistema de Raridade e Evolução'!E2,0)</f>
        <v>#VALUE!</v>
      </c>
      <c r="H578" s="8" t="e">
        <f>ROUND('Criaturas - Base de Dados'!J98*'Sistema de Raridade e Evolução'!E2,0)</f>
        <v>#VALUE!</v>
      </c>
      <c r="I578" s="8" t="e">
        <f>ROUND('Criaturas - Base de Dados'!K98*'Sistema de Raridade e Evolução'!E2,0)</f>
        <v>#VALUE!</v>
      </c>
      <c r="J578" s="8">
        <f>'Sistema de Raridade e Evolução'!D2</f>
        <v>1</v>
      </c>
      <c r="K578" s="8" t="s">
        <v>8</v>
      </c>
      <c r="L578" s="9" t="e">
        <f t="shared" ref="L578:L641" si="9">ROUND(F578*(2.5/1.05),2)</f>
        <v>#VALUE!</v>
      </c>
    </row>
    <row r="579" spans="1:12" ht="14.25" hidden="1" customHeight="1" x14ac:dyDescent="0.3">
      <c r="A579" s="8">
        <v>578</v>
      </c>
      <c r="B579" s="8" t="str">
        <f>'Criaturas - Base de Dados'!B98</f>
        <v>Maré Eterna</v>
      </c>
      <c r="C579" s="8" t="str">
        <f>'Criaturas - Base de Dados'!C98</f>
        <v>Água</v>
      </c>
      <c r="D579" s="8" t="str">
        <f>'Criaturas - Base de Dados'!D98</f>
        <v>Kelpie das Águas Negras</v>
      </c>
      <c r="E579" s="8" t="str">
        <f>'Sistema de Raridade e Evolução'!B3</f>
        <v>Bronze</v>
      </c>
      <c r="F579" s="9">
        <f>ROUND(('Criaturas - Base de Dados'!H98*'Sistema de Raridade e Evolução'!E3)*1000,2)</f>
        <v>48000</v>
      </c>
      <c r="G579" s="8">
        <f>ROUND('Criaturas - Base de Dados'!I98*'Sistema de Raridade e Evolução'!E3,0)</f>
        <v>29</v>
      </c>
      <c r="H579" s="8">
        <f>ROUND('Criaturas - Base de Dados'!J98*'Sistema de Raridade e Evolução'!E3,0)</f>
        <v>24</v>
      </c>
      <c r="I579" s="8">
        <f>ROUND('Criaturas - Base de Dados'!K98*'Sistema de Raridade e Evolução'!E3,0)</f>
        <v>154</v>
      </c>
      <c r="J579" s="8">
        <f>'Sistema de Raridade e Evolução'!D3</f>
        <v>6</v>
      </c>
      <c r="K579" s="8" t="s">
        <v>9</v>
      </c>
      <c r="L579" s="9">
        <f t="shared" si="9"/>
        <v>114285.71</v>
      </c>
    </row>
    <row r="580" spans="1:12" ht="14.25" hidden="1" customHeight="1" x14ac:dyDescent="0.3">
      <c r="A580" s="8">
        <v>579</v>
      </c>
      <c r="B580" s="8" t="str">
        <f>'Criaturas - Base de Dados'!B98</f>
        <v>Maré Eterna</v>
      </c>
      <c r="C580" s="8" t="str">
        <f>'Criaturas - Base de Dados'!C98</f>
        <v>Água</v>
      </c>
      <c r="D580" s="8" t="str">
        <f>'Criaturas - Base de Dados'!D98</f>
        <v>Kelpie das Águas Negras</v>
      </c>
      <c r="E580" s="8" t="str">
        <f>'Sistema de Raridade e Evolução'!B4</f>
        <v>Prata</v>
      </c>
      <c r="F580" s="9">
        <f>ROUND(('Criaturas - Base de Dados'!H98*'Sistema de Raridade e Evolução'!E4)*1000,2)</f>
        <v>288000</v>
      </c>
      <c r="G580" s="8">
        <f>ROUND('Criaturas - Base de Dados'!I98*'Sistema de Raridade e Evolução'!E4,0)</f>
        <v>174</v>
      </c>
      <c r="H580" s="8">
        <f>ROUND('Criaturas - Base de Dados'!J98*'Sistema de Raridade e Evolução'!E4,0)</f>
        <v>144</v>
      </c>
      <c r="I580" s="8">
        <f>ROUND('Criaturas - Base de Dados'!K98*'Sistema de Raridade e Evolução'!E4,0)</f>
        <v>924</v>
      </c>
      <c r="J580" s="8">
        <f>'Sistema de Raridade e Evolução'!D4</f>
        <v>16</v>
      </c>
      <c r="K580" s="8" t="s">
        <v>10</v>
      </c>
      <c r="L580" s="9">
        <f t="shared" si="9"/>
        <v>685714.29</v>
      </c>
    </row>
    <row r="581" spans="1:12" ht="14.25" hidden="1" customHeight="1" x14ac:dyDescent="0.3">
      <c r="A581" s="8">
        <v>580</v>
      </c>
      <c r="B581" s="8" t="str">
        <f>'Criaturas - Base de Dados'!B98</f>
        <v>Maré Eterna</v>
      </c>
      <c r="C581" s="8" t="str">
        <f>'Criaturas - Base de Dados'!C98</f>
        <v>Água</v>
      </c>
      <c r="D581" s="8" t="str">
        <f>'Criaturas - Base de Dados'!D98</f>
        <v>Kelpie das Águas Negras</v>
      </c>
      <c r="E581" s="8" t="str">
        <f>'Sistema de Raridade e Evolução'!B5</f>
        <v>Ouro</v>
      </c>
      <c r="F581" s="9">
        <f>ROUND(('Criaturas - Base de Dados'!H98*'Sistema de Raridade e Evolução'!E5)*1000,2)</f>
        <v>864000</v>
      </c>
      <c r="G581" s="8">
        <f>ROUND('Criaturas - Base de Dados'!I98*'Sistema de Raridade e Evolução'!E5,0)</f>
        <v>522</v>
      </c>
      <c r="H581" s="8">
        <f>ROUND('Criaturas - Base de Dados'!J98*'Sistema de Raridade e Evolução'!E5,0)</f>
        <v>432</v>
      </c>
      <c r="I581" s="8">
        <f>ROUND('Criaturas - Base de Dados'!K98*'Sistema de Raridade e Evolução'!E5,0)</f>
        <v>2772</v>
      </c>
      <c r="J581" s="8">
        <f>'Sistema de Raridade e Evolução'!D5</f>
        <v>31</v>
      </c>
      <c r="K581" s="8" t="s">
        <v>11</v>
      </c>
      <c r="L581" s="9">
        <f t="shared" si="9"/>
        <v>2057142.86</v>
      </c>
    </row>
    <row r="582" spans="1:12" ht="14.25" hidden="1" customHeight="1" x14ac:dyDescent="0.3">
      <c r="A582" s="8">
        <v>581</v>
      </c>
      <c r="B582" s="8" t="str">
        <f>'Criaturas - Base de Dados'!B98</f>
        <v>Maré Eterna</v>
      </c>
      <c r="C582" s="8" t="str">
        <f>'Criaturas - Base de Dados'!C98</f>
        <v>Água</v>
      </c>
      <c r="D582" s="8" t="str">
        <f>'Criaturas - Base de Dados'!D98</f>
        <v>Kelpie das Águas Negras</v>
      </c>
      <c r="E582" s="8" t="str">
        <f>'Sistema de Raridade e Evolução'!B6</f>
        <v>Platina</v>
      </c>
      <c r="F582" s="9">
        <f>ROUND(('Criaturas - Base de Dados'!H98*'Sistema de Raridade e Evolução'!E6)*1000,2)</f>
        <v>2400000</v>
      </c>
      <c r="G582" s="8">
        <f>ROUND('Criaturas - Base de Dados'!I98*'Sistema de Raridade e Evolução'!E6,0)</f>
        <v>1450</v>
      </c>
      <c r="H582" s="8">
        <f>ROUND('Criaturas - Base de Dados'!J98*'Sistema de Raridade e Evolução'!E6,0)</f>
        <v>1200</v>
      </c>
      <c r="I582" s="8">
        <f>ROUND('Criaturas - Base de Dados'!K98*'Sistema de Raridade e Evolução'!E6,0)</f>
        <v>7700</v>
      </c>
      <c r="J582" s="8">
        <f>'Sistema de Raridade e Evolução'!D6</f>
        <v>56</v>
      </c>
      <c r="K582" s="8" t="s">
        <v>12</v>
      </c>
      <c r="L582" s="9">
        <f t="shared" si="9"/>
        <v>5714285.71</v>
      </c>
    </row>
    <row r="583" spans="1:12" ht="14.25" hidden="1" customHeight="1" x14ac:dyDescent="0.3">
      <c r="A583" s="8">
        <v>582</v>
      </c>
      <c r="B583" s="8" t="str">
        <f>'Criaturas - Base de Dados'!B98</f>
        <v>Maré Eterna</v>
      </c>
      <c r="C583" s="8" t="str">
        <f>'Criaturas - Base de Dados'!C98</f>
        <v>Água</v>
      </c>
      <c r="D583" s="8" t="str">
        <f>'Criaturas - Base de Dados'!D98</f>
        <v>Kelpie das Águas Negras</v>
      </c>
      <c r="E583" s="8" t="str">
        <f>'Sistema de Raridade e Evolução'!B7</f>
        <v>Lendário</v>
      </c>
      <c r="F583" s="9">
        <f>ROUND(('Criaturas - Base de Dados'!H98*'Sistema de Raridade e Evolução'!E7)*1000,2)</f>
        <v>7200000</v>
      </c>
      <c r="G583" s="8">
        <f>ROUND('Criaturas - Base de Dados'!I98*'Sistema de Raridade e Evolução'!E7,0)</f>
        <v>4350</v>
      </c>
      <c r="H583" s="8">
        <f>ROUND('Criaturas - Base de Dados'!J98*'Sistema de Raridade e Evolução'!E7,0)</f>
        <v>3600</v>
      </c>
      <c r="I583" s="8">
        <f>ROUND('Criaturas - Base de Dados'!K98*'Sistema de Raridade e Evolução'!E7,0)</f>
        <v>23100</v>
      </c>
      <c r="J583" s="8">
        <f>'Sistema de Raridade e Evolução'!D7</f>
        <v>91</v>
      </c>
      <c r="K583" s="8" t="s">
        <v>925</v>
      </c>
      <c r="L583" s="9">
        <f t="shared" si="9"/>
        <v>17142857.140000001</v>
      </c>
    </row>
    <row r="584" spans="1:12" ht="14.25" customHeight="1" x14ac:dyDescent="0.3">
      <c r="A584" s="8">
        <v>583</v>
      </c>
      <c r="B584" s="8" t="str">
        <f>'Criaturas - Base de Dados'!B99</f>
        <v>Maré Eterna</v>
      </c>
      <c r="C584" s="8" t="str">
        <f>'Criaturas - Base de Dados'!C99</f>
        <v>Água</v>
      </c>
      <c r="D584" s="8" t="str">
        <f>'Criaturas - Base de Dados'!D99</f>
        <v>Ceto, Mãe dos Monstros</v>
      </c>
      <c r="E584" s="8" t="str">
        <f>'Sistema de Raridade e Evolução'!B2</f>
        <v>Default</v>
      </c>
      <c r="F584" s="9" t="e">
        <f>ROUND(('Criaturas - Base de Dados'!H99*'Sistema de Raridade e Evolução'!E2)*1000,2)</f>
        <v>#VALUE!</v>
      </c>
      <c r="G584" s="8" t="e">
        <f>ROUND('Criaturas - Base de Dados'!I99*'Sistema de Raridade e Evolução'!E2,0)</f>
        <v>#VALUE!</v>
      </c>
      <c r="H584" s="8" t="e">
        <f>ROUND('Criaturas - Base de Dados'!J99*'Sistema de Raridade e Evolução'!E2,0)</f>
        <v>#VALUE!</v>
      </c>
      <c r="I584" s="8" t="e">
        <f>ROUND('Criaturas - Base de Dados'!K99*'Sistema de Raridade e Evolução'!E2,0)</f>
        <v>#VALUE!</v>
      </c>
      <c r="J584" s="8">
        <f>'Sistema de Raridade e Evolução'!D2</f>
        <v>1</v>
      </c>
      <c r="K584" s="8" t="s">
        <v>8</v>
      </c>
      <c r="L584" s="9" t="e">
        <f t="shared" si="9"/>
        <v>#VALUE!</v>
      </c>
    </row>
    <row r="585" spans="1:12" ht="14.25" hidden="1" customHeight="1" x14ac:dyDescent="0.3">
      <c r="A585" s="8">
        <v>584</v>
      </c>
      <c r="B585" s="8" t="str">
        <f>'Criaturas - Base de Dados'!B99</f>
        <v>Maré Eterna</v>
      </c>
      <c r="C585" s="8" t="str">
        <f>'Criaturas - Base de Dados'!C99</f>
        <v>Água</v>
      </c>
      <c r="D585" s="8" t="str">
        <f>'Criaturas - Base de Dados'!D99</f>
        <v>Ceto, Mãe dos Monstros</v>
      </c>
      <c r="E585" s="8" t="str">
        <f>'Sistema de Raridade e Evolução'!B3</f>
        <v>Bronze</v>
      </c>
      <c r="F585" s="9">
        <f>ROUND(('Criaturas - Base de Dados'!H99*'Sistema de Raridade e Evolução'!E3)*1000,2)</f>
        <v>50000</v>
      </c>
      <c r="G585" s="8">
        <f>ROUND('Criaturas - Base de Dados'!I99*'Sistema de Raridade e Evolução'!E3,0)</f>
        <v>30</v>
      </c>
      <c r="H585" s="8">
        <f>ROUND('Criaturas - Base de Dados'!J99*'Sistema de Raridade e Evolução'!E3,0)</f>
        <v>25</v>
      </c>
      <c r="I585" s="8">
        <f>ROUND('Criaturas - Base de Dados'!K99*'Sistema de Raridade e Evolução'!E3,0)</f>
        <v>160</v>
      </c>
      <c r="J585" s="8">
        <f>'Sistema de Raridade e Evolução'!D3</f>
        <v>6</v>
      </c>
      <c r="K585" s="8" t="s">
        <v>9</v>
      </c>
      <c r="L585" s="9">
        <f t="shared" si="9"/>
        <v>119047.62</v>
      </c>
    </row>
    <row r="586" spans="1:12" ht="14.25" hidden="1" customHeight="1" x14ac:dyDescent="0.3">
      <c r="A586" s="8">
        <v>585</v>
      </c>
      <c r="B586" s="8" t="str">
        <f>'Criaturas - Base de Dados'!B99</f>
        <v>Maré Eterna</v>
      </c>
      <c r="C586" s="8" t="str">
        <f>'Criaturas - Base de Dados'!C99</f>
        <v>Água</v>
      </c>
      <c r="D586" s="8" t="str">
        <f>'Criaturas - Base de Dados'!D99</f>
        <v>Ceto, Mãe dos Monstros</v>
      </c>
      <c r="E586" s="8" t="str">
        <f>'Sistema de Raridade e Evolução'!B4</f>
        <v>Prata</v>
      </c>
      <c r="F586" s="9">
        <f>ROUND(('Criaturas - Base de Dados'!H99*'Sistema de Raridade e Evolução'!E4)*1000,2)</f>
        <v>300000</v>
      </c>
      <c r="G586" s="8">
        <f>ROUND('Criaturas - Base de Dados'!I99*'Sistema de Raridade e Evolução'!E4,0)</f>
        <v>180</v>
      </c>
      <c r="H586" s="8">
        <f>ROUND('Criaturas - Base de Dados'!J99*'Sistema de Raridade e Evolução'!E4,0)</f>
        <v>150</v>
      </c>
      <c r="I586" s="8">
        <f>ROUND('Criaturas - Base de Dados'!K99*'Sistema de Raridade e Evolução'!E4,0)</f>
        <v>960</v>
      </c>
      <c r="J586" s="8">
        <f>'Sistema de Raridade e Evolução'!D4</f>
        <v>16</v>
      </c>
      <c r="K586" s="8" t="s">
        <v>10</v>
      </c>
      <c r="L586" s="9">
        <f t="shared" si="9"/>
        <v>714285.71</v>
      </c>
    </row>
    <row r="587" spans="1:12" ht="14.25" hidden="1" customHeight="1" x14ac:dyDescent="0.3">
      <c r="A587" s="8">
        <v>586</v>
      </c>
      <c r="B587" s="8" t="str">
        <f>'Criaturas - Base de Dados'!B99</f>
        <v>Maré Eterna</v>
      </c>
      <c r="C587" s="8" t="str">
        <f>'Criaturas - Base de Dados'!C99</f>
        <v>Água</v>
      </c>
      <c r="D587" s="8" t="str">
        <f>'Criaturas - Base de Dados'!D99</f>
        <v>Ceto, Mãe dos Monstros</v>
      </c>
      <c r="E587" s="8" t="str">
        <f>'Sistema de Raridade e Evolução'!B5</f>
        <v>Ouro</v>
      </c>
      <c r="F587" s="9">
        <f>ROUND(('Criaturas - Base de Dados'!H99*'Sistema de Raridade e Evolução'!E5)*1000,2)</f>
        <v>900000</v>
      </c>
      <c r="G587" s="8">
        <f>ROUND('Criaturas - Base de Dados'!I99*'Sistema de Raridade e Evolução'!E5,0)</f>
        <v>540</v>
      </c>
      <c r="H587" s="8">
        <f>ROUND('Criaturas - Base de Dados'!J99*'Sistema de Raridade e Evolução'!E5,0)</f>
        <v>450</v>
      </c>
      <c r="I587" s="8">
        <f>ROUND('Criaturas - Base de Dados'!K99*'Sistema de Raridade e Evolução'!E5,0)</f>
        <v>2880</v>
      </c>
      <c r="J587" s="8">
        <f>'Sistema de Raridade e Evolução'!D5</f>
        <v>31</v>
      </c>
      <c r="K587" s="8" t="s">
        <v>11</v>
      </c>
      <c r="L587" s="9">
        <f t="shared" si="9"/>
        <v>2142857.14</v>
      </c>
    </row>
    <row r="588" spans="1:12" ht="14.25" hidden="1" customHeight="1" x14ac:dyDescent="0.3">
      <c r="A588" s="8">
        <v>587</v>
      </c>
      <c r="B588" s="8" t="str">
        <f>'Criaturas - Base de Dados'!B99</f>
        <v>Maré Eterna</v>
      </c>
      <c r="C588" s="8" t="str">
        <f>'Criaturas - Base de Dados'!C99</f>
        <v>Água</v>
      </c>
      <c r="D588" s="8" t="str">
        <f>'Criaturas - Base de Dados'!D99</f>
        <v>Ceto, Mãe dos Monstros</v>
      </c>
      <c r="E588" s="8" t="str">
        <f>'Sistema de Raridade e Evolução'!B6</f>
        <v>Platina</v>
      </c>
      <c r="F588" s="9">
        <f>ROUND(('Criaturas - Base de Dados'!H99*'Sistema de Raridade e Evolução'!E6)*1000,2)</f>
        <v>2500000</v>
      </c>
      <c r="G588" s="8">
        <f>ROUND('Criaturas - Base de Dados'!I99*'Sistema de Raridade e Evolução'!E6,0)</f>
        <v>1500</v>
      </c>
      <c r="H588" s="8">
        <f>ROUND('Criaturas - Base de Dados'!J99*'Sistema de Raridade e Evolução'!E6,0)</f>
        <v>1250</v>
      </c>
      <c r="I588" s="8">
        <f>ROUND('Criaturas - Base de Dados'!K99*'Sistema de Raridade e Evolução'!E6,0)</f>
        <v>8000</v>
      </c>
      <c r="J588" s="8">
        <f>'Sistema de Raridade e Evolução'!D6</f>
        <v>56</v>
      </c>
      <c r="K588" s="8" t="s">
        <v>12</v>
      </c>
      <c r="L588" s="9">
        <f t="shared" si="9"/>
        <v>5952380.9500000002</v>
      </c>
    </row>
    <row r="589" spans="1:12" ht="14.25" hidden="1" customHeight="1" x14ac:dyDescent="0.3">
      <c r="A589" s="8">
        <v>588</v>
      </c>
      <c r="B589" s="8" t="str">
        <f>'Criaturas - Base de Dados'!B99</f>
        <v>Maré Eterna</v>
      </c>
      <c r="C589" s="8" t="str">
        <f>'Criaturas - Base de Dados'!C99</f>
        <v>Água</v>
      </c>
      <c r="D589" s="8" t="str">
        <f>'Criaturas - Base de Dados'!D99</f>
        <v>Ceto, Mãe dos Monstros</v>
      </c>
      <c r="E589" s="8" t="str">
        <f>'Sistema de Raridade e Evolução'!B7</f>
        <v>Lendário</v>
      </c>
      <c r="F589" s="9">
        <f>ROUND(('Criaturas - Base de Dados'!H99*'Sistema de Raridade e Evolução'!E7)*1000,2)</f>
        <v>7500000</v>
      </c>
      <c r="G589" s="8">
        <f>ROUND('Criaturas - Base de Dados'!I99*'Sistema de Raridade e Evolução'!E7,0)</f>
        <v>4500</v>
      </c>
      <c r="H589" s="8">
        <f>ROUND('Criaturas - Base de Dados'!J99*'Sistema de Raridade e Evolução'!E7,0)</f>
        <v>3750</v>
      </c>
      <c r="I589" s="8">
        <f>ROUND('Criaturas - Base de Dados'!K99*'Sistema de Raridade e Evolução'!E7,0)</f>
        <v>24000</v>
      </c>
      <c r="J589" s="8">
        <f>'Sistema de Raridade e Evolução'!D7</f>
        <v>91</v>
      </c>
      <c r="K589" s="8" t="s">
        <v>925</v>
      </c>
      <c r="L589" s="9">
        <f t="shared" si="9"/>
        <v>17857142.859999999</v>
      </c>
    </row>
    <row r="590" spans="1:12" ht="14.25" customHeight="1" x14ac:dyDescent="0.3">
      <c r="A590" s="8">
        <v>589</v>
      </c>
      <c r="B590" s="8" t="str">
        <f>'Criaturas - Base de Dados'!B100</f>
        <v>Maré Eterna</v>
      </c>
      <c r="C590" s="8" t="str">
        <f>'Criaturas - Base de Dados'!C100</f>
        <v>Água</v>
      </c>
      <c r="D590" s="8" t="str">
        <f>'Criaturas - Base de Dados'!D100</f>
        <v>Tritão Ancestral</v>
      </c>
      <c r="E590" s="8" t="str">
        <f>'Sistema de Raridade e Evolução'!B2</f>
        <v>Default</v>
      </c>
      <c r="F590" s="9" t="e">
        <f>ROUND(('Criaturas - Base de Dados'!H100*'Sistema de Raridade e Evolução'!E2)*1000,2)</f>
        <v>#VALUE!</v>
      </c>
      <c r="G590" s="8" t="e">
        <f>ROUND('Criaturas - Base de Dados'!I100*'Sistema de Raridade e Evolução'!E2,0)</f>
        <v>#VALUE!</v>
      </c>
      <c r="H590" s="8" t="e">
        <f>ROUND('Criaturas - Base de Dados'!J100*'Sistema de Raridade e Evolução'!E2,0)</f>
        <v>#VALUE!</v>
      </c>
      <c r="I590" s="8" t="e">
        <f>ROUND('Criaturas - Base de Dados'!K100*'Sistema de Raridade e Evolução'!E2,0)</f>
        <v>#VALUE!</v>
      </c>
      <c r="J590" s="8">
        <f>'Sistema de Raridade e Evolução'!D2</f>
        <v>1</v>
      </c>
      <c r="K590" s="8" t="s">
        <v>8</v>
      </c>
      <c r="L590" s="9" t="e">
        <f t="shared" si="9"/>
        <v>#VALUE!</v>
      </c>
    </row>
    <row r="591" spans="1:12" ht="14.25" hidden="1" customHeight="1" x14ac:dyDescent="0.3">
      <c r="A591" s="8">
        <v>590</v>
      </c>
      <c r="B591" s="8" t="str">
        <f>'Criaturas - Base de Dados'!B100</f>
        <v>Maré Eterna</v>
      </c>
      <c r="C591" s="8" t="str">
        <f>'Criaturas - Base de Dados'!C100</f>
        <v>Água</v>
      </c>
      <c r="D591" s="8" t="str">
        <f>'Criaturas - Base de Dados'!D100</f>
        <v>Tritão Ancestral</v>
      </c>
      <c r="E591" s="8" t="str">
        <f>'Sistema de Raridade e Evolução'!B3</f>
        <v>Bronze</v>
      </c>
      <c r="F591" s="9">
        <f>ROUND(('Criaturas - Base de Dados'!H100*'Sistema de Raridade e Evolução'!E3)*1000,2)</f>
        <v>69000</v>
      </c>
      <c r="G591" s="8">
        <f>ROUND('Criaturas - Base de Dados'!I100*'Sistema de Raridade e Evolução'!E3,0)</f>
        <v>41</v>
      </c>
      <c r="H591" s="8">
        <f>ROUND('Criaturas - Base de Dados'!J100*'Sistema de Raridade e Evolução'!E3,0)</f>
        <v>34</v>
      </c>
      <c r="I591" s="8">
        <f>ROUND('Criaturas - Base de Dados'!K100*'Sistema de Raridade e Evolução'!E3,0)</f>
        <v>221</v>
      </c>
      <c r="J591" s="8">
        <f>'Sistema de Raridade e Evolução'!D3</f>
        <v>6</v>
      </c>
      <c r="K591" s="8" t="s">
        <v>9</v>
      </c>
      <c r="L591" s="9">
        <f t="shared" si="9"/>
        <v>164285.71</v>
      </c>
    </row>
    <row r="592" spans="1:12" ht="14.25" hidden="1" customHeight="1" x14ac:dyDescent="0.3">
      <c r="A592" s="8">
        <v>591</v>
      </c>
      <c r="B592" s="8" t="str">
        <f>'Criaturas - Base de Dados'!B100</f>
        <v>Maré Eterna</v>
      </c>
      <c r="C592" s="8" t="str">
        <f>'Criaturas - Base de Dados'!C100</f>
        <v>Água</v>
      </c>
      <c r="D592" s="8" t="str">
        <f>'Criaturas - Base de Dados'!D100</f>
        <v>Tritão Ancestral</v>
      </c>
      <c r="E592" s="8" t="str">
        <f>'Sistema de Raridade e Evolução'!B4</f>
        <v>Prata</v>
      </c>
      <c r="F592" s="9">
        <f>ROUND(('Criaturas - Base de Dados'!H100*'Sistema de Raridade e Evolução'!E4)*1000,2)</f>
        <v>414000</v>
      </c>
      <c r="G592" s="8">
        <f>ROUND('Criaturas - Base de Dados'!I100*'Sistema de Raridade e Evolução'!E4,0)</f>
        <v>246</v>
      </c>
      <c r="H592" s="8">
        <f>ROUND('Criaturas - Base de Dados'!J100*'Sistema de Raridade e Evolução'!E4,0)</f>
        <v>204</v>
      </c>
      <c r="I592" s="8">
        <f>ROUND('Criaturas - Base de Dados'!K100*'Sistema de Raridade e Evolução'!E4,0)</f>
        <v>1326</v>
      </c>
      <c r="J592" s="8">
        <f>'Sistema de Raridade e Evolução'!D4</f>
        <v>16</v>
      </c>
      <c r="K592" s="8" t="s">
        <v>10</v>
      </c>
      <c r="L592" s="9">
        <f t="shared" si="9"/>
        <v>985714.29</v>
      </c>
    </row>
    <row r="593" spans="1:12" ht="14.25" hidden="1" customHeight="1" x14ac:dyDescent="0.3">
      <c r="A593" s="8">
        <v>592</v>
      </c>
      <c r="B593" s="8" t="str">
        <f>'Criaturas - Base de Dados'!B100</f>
        <v>Maré Eterna</v>
      </c>
      <c r="C593" s="8" t="str">
        <f>'Criaturas - Base de Dados'!C100</f>
        <v>Água</v>
      </c>
      <c r="D593" s="8" t="str">
        <f>'Criaturas - Base de Dados'!D100</f>
        <v>Tritão Ancestral</v>
      </c>
      <c r="E593" s="8" t="str">
        <f>'Sistema de Raridade e Evolução'!B5</f>
        <v>Ouro</v>
      </c>
      <c r="F593" s="9">
        <f>ROUND(('Criaturas - Base de Dados'!H100*'Sistema de Raridade e Evolução'!E5)*1000,2)</f>
        <v>1242000</v>
      </c>
      <c r="G593" s="8">
        <f>ROUND('Criaturas - Base de Dados'!I100*'Sistema de Raridade e Evolução'!E5,0)</f>
        <v>738</v>
      </c>
      <c r="H593" s="8">
        <f>ROUND('Criaturas - Base de Dados'!J100*'Sistema de Raridade e Evolução'!E5,0)</f>
        <v>612</v>
      </c>
      <c r="I593" s="8">
        <f>ROUND('Criaturas - Base de Dados'!K100*'Sistema de Raridade e Evolução'!E5,0)</f>
        <v>3978</v>
      </c>
      <c r="J593" s="8">
        <f>'Sistema de Raridade e Evolução'!D5</f>
        <v>31</v>
      </c>
      <c r="K593" s="8" t="s">
        <v>11</v>
      </c>
      <c r="L593" s="9">
        <f t="shared" si="9"/>
        <v>2957142.86</v>
      </c>
    </row>
    <row r="594" spans="1:12" ht="14.25" hidden="1" customHeight="1" x14ac:dyDescent="0.3">
      <c r="A594" s="8">
        <v>593</v>
      </c>
      <c r="B594" s="8" t="str">
        <f>'Criaturas - Base de Dados'!B100</f>
        <v>Maré Eterna</v>
      </c>
      <c r="C594" s="8" t="str">
        <f>'Criaturas - Base de Dados'!C100</f>
        <v>Água</v>
      </c>
      <c r="D594" s="8" t="str">
        <f>'Criaturas - Base de Dados'!D100</f>
        <v>Tritão Ancestral</v>
      </c>
      <c r="E594" s="8" t="str">
        <f>'Sistema de Raridade e Evolução'!B6</f>
        <v>Platina</v>
      </c>
      <c r="F594" s="9">
        <f>ROUND(('Criaturas - Base de Dados'!H100*'Sistema de Raridade e Evolução'!E6)*1000,2)</f>
        <v>3450000</v>
      </c>
      <c r="G594" s="8">
        <f>ROUND('Criaturas - Base de Dados'!I100*'Sistema de Raridade e Evolução'!E6,0)</f>
        <v>2050</v>
      </c>
      <c r="H594" s="8">
        <f>ROUND('Criaturas - Base de Dados'!J100*'Sistema de Raridade e Evolução'!E6,0)</f>
        <v>1700</v>
      </c>
      <c r="I594" s="8">
        <f>ROUND('Criaturas - Base de Dados'!K100*'Sistema de Raridade e Evolução'!E6,0)</f>
        <v>11050</v>
      </c>
      <c r="J594" s="8">
        <f>'Sistema de Raridade e Evolução'!D6</f>
        <v>56</v>
      </c>
      <c r="K594" s="8" t="s">
        <v>12</v>
      </c>
      <c r="L594" s="9">
        <f t="shared" si="9"/>
        <v>8214285.71</v>
      </c>
    </row>
    <row r="595" spans="1:12" ht="14.25" hidden="1" customHeight="1" x14ac:dyDescent="0.3">
      <c r="A595" s="8">
        <v>594</v>
      </c>
      <c r="B595" s="8" t="str">
        <f>'Criaturas - Base de Dados'!B100</f>
        <v>Maré Eterna</v>
      </c>
      <c r="C595" s="8" t="str">
        <f>'Criaturas - Base de Dados'!C100</f>
        <v>Água</v>
      </c>
      <c r="D595" s="8" t="str">
        <f>'Criaturas - Base de Dados'!D100</f>
        <v>Tritão Ancestral</v>
      </c>
      <c r="E595" s="8" t="str">
        <f>'Sistema de Raridade e Evolução'!B7</f>
        <v>Lendário</v>
      </c>
      <c r="F595" s="9">
        <f>ROUND(('Criaturas - Base de Dados'!H100*'Sistema de Raridade e Evolução'!E7)*1000,2)</f>
        <v>10350000</v>
      </c>
      <c r="G595" s="8">
        <f>ROUND('Criaturas - Base de Dados'!I100*'Sistema de Raridade e Evolução'!E7,0)</f>
        <v>6150</v>
      </c>
      <c r="H595" s="8">
        <f>ROUND('Criaturas - Base de Dados'!J100*'Sistema de Raridade e Evolução'!E7,0)</f>
        <v>5100</v>
      </c>
      <c r="I595" s="8">
        <f>ROUND('Criaturas - Base de Dados'!K100*'Sistema de Raridade e Evolução'!E7,0)</f>
        <v>33150</v>
      </c>
      <c r="J595" s="8">
        <f>'Sistema de Raridade e Evolução'!D7</f>
        <v>91</v>
      </c>
      <c r="K595" s="8" t="s">
        <v>925</v>
      </c>
      <c r="L595" s="9">
        <f t="shared" si="9"/>
        <v>24642857.140000001</v>
      </c>
    </row>
    <row r="596" spans="1:12" ht="14.25" customHeight="1" x14ac:dyDescent="0.3">
      <c r="A596" s="8">
        <v>595</v>
      </c>
      <c r="B596" s="8" t="str">
        <f>'Criaturas - Base de Dados'!B101</f>
        <v>Maré Eterna</v>
      </c>
      <c r="C596" s="8" t="str">
        <f>'Criaturas - Base de Dados'!C101</f>
        <v>Água</v>
      </c>
      <c r="D596" s="8" t="str">
        <f>'Criaturas - Base de Dados'!D101</f>
        <v>Lorelei do Penhasco</v>
      </c>
      <c r="E596" s="8" t="str">
        <f>'Sistema de Raridade e Evolução'!B2</f>
        <v>Default</v>
      </c>
      <c r="F596" s="9" t="e">
        <f>ROUND(('Criaturas - Base de Dados'!H101*'Sistema de Raridade e Evolução'!E2)*1000,2)</f>
        <v>#VALUE!</v>
      </c>
      <c r="G596" s="8" t="e">
        <f>ROUND('Criaturas - Base de Dados'!I101*'Sistema de Raridade e Evolução'!E2,0)</f>
        <v>#VALUE!</v>
      </c>
      <c r="H596" s="8" t="e">
        <f>ROUND('Criaturas - Base de Dados'!J101*'Sistema de Raridade e Evolução'!E2,0)</f>
        <v>#VALUE!</v>
      </c>
      <c r="I596" s="8" t="e">
        <f>ROUND('Criaturas - Base de Dados'!K101*'Sistema de Raridade e Evolução'!E2,0)</f>
        <v>#VALUE!</v>
      </c>
      <c r="J596" s="8">
        <f>'Sistema de Raridade e Evolução'!D2</f>
        <v>1</v>
      </c>
      <c r="K596" s="8" t="s">
        <v>8</v>
      </c>
      <c r="L596" s="9" t="e">
        <f t="shared" si="9"/>
        <v>#VALUE!</v>
      </c>
    </row>
    <row r="597" spans="1:12" ht="14.25" hidden="1" customHeight="1" x14ac:dyDescent="0.3">
      <c r="A597" s="8">
        <v>596</v>
      </c>
      <c r="B597" s="8" t="str">
        <f>'Criaturas - Base de Dados'!B101</f>
        <v>Maré Eterna</v>
      </c>
      <c r="C597" s="8" t="str">
        <f>'Criaturas - Base de Dados'!C101</f>
        <v>Água</v>
      </c>
      <c r="D597" s="8" t="str">
        <f>'Criaturas - Base de Dados'!D101</f>
        <v>Lorelei do Penhasco</v>
      </c>
      <c r="E597" s="8" t="str">
        <f>'Sistema de Raridade e Evolução'!B3</f>
        <v>Bronze</v>
      </c>
      <c r="F597" s="9">
        <f>ROUND(('Criaturas - Base de Dados'!H101*'Sistema de Raridade e Evolução'!E3)*1000,2)</f>
        <v>71000</v>
      </c>
      <c r="G597" s="8">
        <f>ROUND('Criaturas - Base de Dados'!I101*'Sistema de Raridade e Evolução'!E3,0)</f>
        <v>43</v>
      </c>
      <c r="H597" s="8">
        <f>ROUND('Criaturas - Base de Dados'!J101*'Sistema de Raridade e Evolução'!E3,0)</f>
        <v>36</v>
      </c>
      <c r="I597" s="8">
        <f>ROUND('Criaturas - Base de Dados'!K101*'Sistema de Raridade e Evolução'!E3,0)</f>
        <v>227</v>
      </c>
      <c r="J597" s="8">
        <f>'Sistema de Raridade e Evolução'!D3</f>
        <v>6</v>
      </c>
      <c r="K597" s="8" t="s">
        <v>9</v>
      </c>
      <c r="L597" s="9">
        <f t="shared" si="9"/>
        <v>169047.62</v>
      </c>
    </row>
    <row r="598" spans="1:12" ht="14.25" hidden="1" customHeight="1" x14ac:dyDescent="0.3">
      <c r="A598" s="8">
        <v>597</v>
      </c>
      <c r="B598" s="8" t="str">
        <f>'Criaturas - Base de Dados'!B101</f>
        <v>Maré Eterna</v>
      </c>
      <c r="C598" s="8" t="str">
        <f>'Criaturas - Base de Dados'!C101</f>
        <v>Água</v>
      </c>
      <c r="D598" s="8" t="str">
        <f>'Criaturas - Base de Dados'!D101</f>
        <v>Lorelei do Penhasco</v>
      </c>
      <c r="E598" s="8" t="str">
        <f>'Sistema de Raridade e Evolução'!B4</f>
        <v>Prata</v>
      </c>
      <c r="F598" s="9">
        <f>ROUND(('Criaturas - Base de Dados'!H101*'Sistema de Raridade e Evolução'!E4)*1000,2)</f>
        <v>426000</v>
      </c>
      <c r="G598" s="8">
        <f>ROUND('Criaturas - Base de Dados'!I101*'Sistema de Raridade e Evolução'!E4,0)</f>
        <v>258</v>
      </c>
      <c r="H598" s="8">
        <f>ROUND('Criaturas - Base de Dados'!J101*'Sistema de Raridade e Evolução'!E4,0)</f>
        <v>216</v>
      </c>
      <c r="I598" s="8">
        <f>ROUND('Criaturas - Base de Dados'!K101*'Sistema de Raridade e Evolução'!E4,0)</f>
        <v>1362</v>
      </c>
      <c r="J598" s="8">
        <f>'Sistema de Raridade e Evolução'!D4</f>
        <v>16</v>
      </c>
      <c r="K598" s="8" t="s">
        <v>10</v>
      </c>
      <c r="L598" s="9">
        <f t="shared" si="9"/>
        <v>1014285.71</v>
      </c>
    </row>
    <row r="599" spans="1:12" ht="14.25" hidden="1" customHeight="1" x14ac:dyDescent="0.3">
      <c r="A599" s="8">
        <v>598</v>
      </c>
      <c r="B599" s="8" t="str">
        <f>'Criaturas - Base de Dados'!B101</f>
        <v>Maré Eterna</v>
      </c>
      <c r="C599" s="8" t="str">
        <f>'Criaturas - Base de Dados'!C101</f>
        <v>Água</v>
      </c>
      <c r="D599" s="8" t="str">
        <f>'Criaturas - Base de Dados'!D101</f>
        <v>Lorelei do Penhasco</v>
      </c>
      <c r="E599" s="8" t="str">
        <f>'Sistema de Raridade e Evolução'!B5</f>
        <v>Ouro</v>
      </c>
      <c r="F599" s="9">
        <f>ROUND(('Criaturas - Base de Dados'!H101*'Sistema de Raridade e Evolução'!E5)*1000,2)</f>
        <v>1278000</v>
      </c>
      <c r="G599" s="8">
        <f>ROUND('Criaturas - Base de Dados'!I101*'Sistema de Raridade e Evolução'!E5,0)</f>
        <v>774</v>
      </c>
      <c r="H599" s="8">
        <f>ROUND('Criaturas - Base de Dados'!J101*'Sistema de Raridade e Evolução'!E5,0)</f>
        <v>648</v>
      </c>
      <c r="I599" s="8">
        <f>ROUND('Criaturas - Base de Dados'!K101*'Sistema de Raridade e Evolução'!E5,0)</f>
        <v>4086</v>
      </c>
      <c r="J599" s="8">
        <f>'Sistema de Raridade e Evolução'!D5</f>
        <v>31</v>
      </c>
      <c r="K599" s="8" t="s">
        <v>11</v>
      </c>
      <c r="L599" s="9">
        <f t="shared" si="9"/>
        <v>3042857.14</v>
      </c>
    </row>
    <row r="600" spans="1:12" ht="14.25" hidden="1" customHeight="1" x14ac:dyDescent="0.3">
      <c r="A600" s="8">
        <v>599</v>
      </c>
      <c r="B600" s="8" t="str">
        <f>'Criaturas - Base de Dados'!B101</f>
        <v>Maré Eterna</v>
      </c>
      <c r="C600" s="8" t="str">
        <f>'Criaturas - Base de Dados'!C101</f>
        <v>Água</v>
      </c>
      <c r="D600" s="8" t="str">
        <f>'Criaturas - Base de Dados'!D101</f>
        <v>Lorelei do Penhasco</v>
      </c>
      <c r="E600" s="8" t="str">
        <f>'Sistema de Raridade e Evolução'!B6</f>
        <v>Platina</v>
      </c>
      <c r="F600" s="9">
        <f>ROUND(('Criaturas - Base de Dados'!H101*'Sistema de Raridade e Evolução'!E6)*1000,2)</f>
        <v>3550000</v>
      </c>
      <c r="G600" s="8">
        <f>ROUND('Criaturas - Base de Dados'!I101*'Sistema de Raridade e Evolução'!E6,0)</f>
        <v>2150</v>
      </c>
      <c r="H600" s="8">
        <f>ROUND('Criaturas - Base de Dados'!J101*'Sistema de Raridade e Evolução'!E6,0)</f>
        <v>1800</v>
      </c>
      <c r="I600" s="8">
        <f>ROUND('Criaturas - Base de Dados'!K101*'Sistema de Raridade e Evolução'!E6,0)</f>
        <v>11350</v>
      </c>
      <c r="J600" s="8">
        <f>'Sistema de Raridade e Evolução'!D6</f>
        <v>56</v>
      </c>
      <c r="K600" s="8" t="s">
        <v>12</v>
      </c>
      <c r="L600" s="9">
        <f t="shared" si="9"/>
        <v>8452380.9499999993</v>
      </c>
    </row>
    <row r="601" spans="1:12" ht="14.25" hidden="1" customHeight="1" x14ac:dyDescent="0.3">
      <c r="A601" s="8">
        <v>600</v>
      </c>
      <c r="B601" s="8" t="str">
        <f>'Criaturas - Base de Dados'!B101</f>
        <v>Maré Eterna</v>
      </c>
      <c r="C601" s="8" t="str">
        <f>'Criaturas - Base de Dados'!C101</f>
        <v>Água</v>
      </c>
      <c r="D601" s="8" t="str">
        <f>'Criaturas - Base de Dados'!D101</f>
        <v>Lorelei do Penhasco</v>
      </c>
      <c r="E601" s="8" t="str">
        <f>'Sistema de Raridade e Evolução'!B7</f>
        <v>Lendário</v>
      </c>
      <c r="F601" s="9">
        <f>ROUND(('Criaturas - Base de Dados'!H101*'Sistema de Raridade e Evolução'!E7)*1000,2)</f>
        <v>10650000</v>
      </c>
      <c r="G601" s="8">
        <f>ROUND('Criaturas - Base de Dados'!I101*'Sistema de Raridade e Evolução'!E7,0)</f>
        <v>6450</v>
      </c>
      <c r="H601" s="8">
        <f>ROUND('Criaturas - Base de Dados'!J101*'Sistema de Raridade e Evolução'!E7,0)</f>
        <v>5400</v>
      </c>
      <c r="I601" s="8">
        <f>ROUND('Criaturas - Base de Dados'!K101*'Sistema de Raridade e Evolução'!E7,0)</f>
        <v>34050</v>
      </c>
      <c r="J601" s="8">
        <f>'Sistema de Raridade e Evolução'!D7</f>
        <v>91</v>
      </c>
      <c r="K601" s="8" t="s">
        <v>925</v>
      </c>
      <c r="L601" s="9">
        <f t="shared" si="9"/>
        <v>25357142.859999999</v>
      </c>
    </row>
    <row r="602" spans="1:12" ht="14.25" customHeight="1" x14ac:dyDescent="0.3">
      <c r="A602" s="8">
        <v>601</v>
      </c>
      <c r="B602" s="8" t="str">
        <f>'Criaturas - Base de Dados'!B102</f>
        <v>Forja Ígnea</v>
      </c>
      <c r="C602" s="8" t="str">
        <f>'Criaturas - Base de Dados'!C102</f>
        <v>Fogo</v>
      </c>
      <c r="D602" s="8" t="str">
        <f>'Criaturas - Base de Dados'!D102</f>
        <v>Ifrit das Chamas</v>
      </c>
      <c r="E602" s="8" t="str">
        <f>'Sistema de Raridade e Evolução'!B2</f>
        <v>Default</v>
      </c>
      <c r="F602" s="9" t="e">
        <f>ROUND(('Criaturas - Base de Dados'!H102*'Sistema de Raridade e Evolução'!E2)*1000,2)</f>
        <v>#VALUE!</v>
      </c>
      <c r="G602" s="8" t="e">
        <f>ROUND('Criaturas - Base de Dados'!I102*'Sistema de Raridade e Evolução'!E2,0)</f>
        <v>#VALUE!</v>
      </c>
      <c r="H602" s="8" t="e">
        <f>ROUND('Criaturas - Base de Dados'!J102*'Sistema de Raridade e Evolução'!E2,0)</f>
        <v>#VALUE!</v>
      </c>
      <c r="I602" s="8" t="e">
        <f>ROUND('Criaturas - Base de Dados'!K102*'Sistema de Raridade e Evolução'!E2,0)</f>
        <v>#VALUE!</v>
      </c>
      <c r="J602" s="8">
        <f>'Sistema de Raridade e Evolução'!D2</f>
        <v>1</v>
      </c>
      <c r="K602" s="8" t="s">
        <v>8</v>
      </c>
      <c r="L602" s="9" t="e">
        <f t="shared" si="9"/>
        <v>#VALUE!</v>
      </c>
    </row>
    <row r="603" spans="1:12" ht="14.25" hidden="1" customHeight="1" x14ac:dyDescent="0.3">
      <c r="A603" s="8">
        <v>602</v>
      </c>
      <c r="B603" s="8" t="str">
        <f>'Criaturas - Base de Dados'!B102</f>
        <v>Forja Ígnea</v>
      </c>
      <c r="C603" s="8" t="str">
        <f>'Criaturas - Base de Dados'!C102</f>
        <v>Fogo</v>
      </c>
      <c r="D603" s="8" t="str">
        <f>'Criaturas - Base de Dados'!D102</f>
        <v>Ifrit das Chamas</v>
      </c>
      <c r="E603" s="8" t="str">
        <f>'Sistema de Raridade e Evolução'!B3</f>
        <v>Bronze</v>
      </c>
      <c r="F603" s="9">
        <f>ROUND(('Criaturas - Base de Dados'!H102*'Sistema de Raridade e Evolução'!E3)*1000,2)</f>
        <v>10000</v>
      </c>
      <c r="G603" s="8">
        <f>ROUND('Criaturas - Base de Dados'!I102*'Sistema de Raridade e Evolução'!E3,0)</f>
        <v>6</v>
      </c>
      <c r="H603" s="8">
        <f>ROUND('Criaturas - Base de Dados'!J102*'Sistema de Raridade e Evolução'!E3,0)</f>
        <v>5</v>
      </c>
      <c r="I603" s="8">
        <f>ROUND('Criaturas - Base de Dados'!K102*'Sistema de Raridade e Evolução'!E3,0)</f>
        <v>32</v>
      </c>
      <c r="J603" s="8">
        <f>'Sistema de Raridade e Evolução'!D3</f>
        <v>6</v>
      </c>
      <c r="K603" s="8" t="s">
        <v>9</v>
      </c>
      <c r="L603" s="9">
        <f t="shared" si="9"/>
        <v>23809.52</v>
      </c>
    </row>
    <row r="604" spans="1:12" ht="14.25" hidden="1" customHeight="1" x14ac:dyDescent="0.3">
      <c r="A604" s="8">
        <v>603</v>
      </c>
      <c r="B604" s="8" t="str">
        <f>'Criaturas - Base de Dados'!B102</f>
        <v>Forja Ígnea</v>
      </c>
      <c r="C604" s="8" t="str">
        <f>'Criaturas - Base de Dados'!C102</f>
        <v>Fogo</v>
      </c>
      <c r="D604" s="8" t="str">
        <f>'Criaturas - Base de Dados'!D102</f>
        <v>Ifrit das Chamas</v>
      </c>
      <c r="E604" s="8" t="str">
        <f>'Sistema de Raridade e Evolução'!B4</f>
        <v>Prata</v>
      </c>
      <c r="F604" s="9">
        <f>ROUND(('Criaturas - Base de Dados'!H102*'Sistema de Raridade e Evolução'!E4)*1000,2)</f>
        <v>60000</v>
      </c>
      <c r="G604" s="8">
        <f>ROUND('Criaturas - Base de Dados'!I102*'Sistema de Raridade e Evolução'!E4,0)</f>
        <v>36</v>
      </c>
      <c r="H604" s="8">
        <f>ROUND('Criaturas - Base de Dados'!J102*'Sistema de Raridade e Evolução'!E4,0)</f>
        <v>30</v>
      </c>
      <c r="I604" s="8">
        <f>ROUND('Criaturas - Base de Dados'!K102*'Sistema de Raridade e Evolução'!E4,0)</f>
        <v>192</v>
      </c>
      <c r="J604" s="8">
        <f>'Sistema de Raridade e Evolução'!D4</f>
        <v>16</v>
      </c>
      <c r="K604" s="8" t="s">
        <v>10</v>
      </c>
      <c r="L604" s="9">
        <f t="shared" si="9"/>
        <v>142857.14000000001</v>
      </c>
    </row>
    <row r="605" spans="1:12" ht="14.25" hidden="1" customHeight="1" x14ac:dyDescent="0.3">
      <c r="A605" s="8">
        <v>604</v>
      </c>
      <c r="B605" s="8" t="str">
        <f>'Criaturas - Base de Dados'!B102</f>
        <v>Forja Ígnea</v>
      </c>
      <c r="C605" s="8" t="str">
        <f>'Criaturas - Base de Dados'!C102</f>
        <v>Fogo</v>
      </c>
      <c r="D605" s="8" t="str">
        <f>'Criaturas - Base de Dados'!D102</f>
        <v>Ifrit das Chamas</v>
      </c>
      <c r="E605" s="8" t="str">
        <f>'Sistema de Raridade e Evolução'!B5</f>
        <v>Ouro</v>
      </c>
      <c r="F605" s="9">
        <f>ROUND(('Criaturas - Base de Dados'!H102*'Sistema de Raridade e Evolução'!E5)*1000,2)</f>
        <v>180000</v>
      </c>
      <c r="G605" s="8">
        <f>ROUND('Criaturas - Base de Dados'!I102*'Sistema de Raridade e Evolução'!E5,0)</f>
        <v>108</v>
      </c>
      <c r="H605" s="8">
        <f>ROUND('Criaturas - Base de Dados'!J102*'Sistema de Raridade e Evolução'!E5,0)</f>
        <v>90</v>
      </c>
      <c r="I605" s="8">
        <f>ROUND('Criaturas - Base de Dados'!K102*'Sistema de Raridade e Evolução'!E5,0)</f>
        <v>576</v>
      </c>
      <c r="J605" s="8">
        <f>'Sistema de Raridade e Evolução'!D5</f>
        <v>31</v>
      </c>
      <c r="K605" s="8" t="s">
        <v>11</v>
      </c>
      <c r="L605" s="9">
        <f t="shared" si="9"/>
        <v>428571.43</v>
      </c>
    </row>
    <row r="606" spans="1:12" ht="14.25" hidden="1" customHeight="1" x14ac:dyDescent="0.3">
      <c r="A606" s="8">
        <v>605</v>
      </c>
      <c r="B606" s="8" t="str">
        <f>'Criaturas - Base de Dados'!B102</f>
        <v>Forja Ígnea</v>
      </c>
      <c r="C606" s="8" t="str">
        <f>'Criaturas - Base de Dados'!C102</f>
        <v>Fogo</v>
      </c>
      <c r="D606" s="8" t="str">
        <f>'Criaturas - Base de Dados'!D102</f>
        <v>Ifrit das Chamas</v>
      </c>
      <c r="E606" s="8" t="str">
        <f>'Sistema de Raridade e Evolução'!B6</f>
        <v>Platina</v>
      </c>
      <c r="F606" s="9">
        <f>ROUND(('Criaturas - Base de Dados'!H102*'Sistema de Raridade e Evolução'!E6)*1000,2)</f>
        <v>500000</v>
      </c>
      <c r="G606" s="8">
        <f>ROUND('Criaturas - Base de Dados'!I102*'Sistema de Raridade e Evolução'!E6,0)</f>
        <v>300</v>
      </c>
      <c r="H606" s="8">
        <f>ROUND('Criaturas - Base de Dados'!J102*'Sistema de Raridade e Evolução'!E6,0)</f>
        <v>250</v>
      </c>
      <c r="I606" s="8">
        <f>ROUND('Criaturas - Base de Dados'!K102*'Sistema de Raridade e Evolução'!E6,0)</f>
        <v>1600</v>
      </c>
      <c r="J606" s="8">
        <f>'Sistema de Raridade e Evolução'!D6</f>
        <v>56</v>
      </c>
      <c r="K606" s="8" t="s">
        <v>12</v>
      </c>
      <c r="L606" s="9">
        <f t="shared" si="9"/>
        <v>1190476.19</v>
      </c>
    </row>
    <row r="607" spans="1:12" ht="14.25" hidden="1" customHeight="1" x14ac:dyDescent="0.3">
      <c r="A607" s="8">
        <v>606</v>
      </c>
      <c r="B607" s="8" t="str">
        <f>'Criaturas - Base de Dados'!B102</f>
        <v>Forja Ígnea</v>
      </c>
      <c r="C607" s="8" t="str">
        <f>'Criaturas - Base de Dados'!C102</f>
        <v>Fogo</v>
      </c>
      <c r="D607" s="8" t="str">
        <f>'Criaturas - Base de Dados'!D102</f>
        <v>Ifrit das Chamas</v>
      </c>
      <c r="E607" s="8" t="str">
        <f>'Sistema de Raridade e Evolução'!B7</f>
        <v>Lendário</v>
      </c>
      <c r="F607" s="9">
        <f>ROUND(('Criaturas - Base de Dados'!H102*'Sistema de Raridade e Evolução'!E7)*1000,2)</f>
        <v>1500000</v>
      </c>
      <c r="G607" s="8">
        <f>ROUND('Criaturas - Base de Dados'!I102*'Sistema de Raridade e Evolução'!E7,0)</f>
        <v>900</v>
      </c>
      <c r="H607" s="8">
        <f>ROUND('Criaturas - Base de Dados'!J102*'Sistema de Raridade e Evolução'!E7,0)</f>
        <v>750</v>
      </c>
      <c r="I607" s="8">
        <f>ROUND('Criaturas - Base de Dados'!K102*'Sistema de Raridade e Evolução'!E7,0)</f>
        <v>4800</v>
      </c>
      <c r="J607" s="8">
        <f>'Sistema de Raridade e Evolução'!D7</f>
        <v>91</v>
      </c>
      <c r="K607" s="8" t="s">
        <v>925</v>
      </c>
      <c r="L607" s="9">
        <f t="shared" si="9"/>
        <v>3571428.57</v>
      </c>
    </row>
    <row r="608" spans="1:12" ht="14.25" customHeight="1" x14ac:dyDescent="0.3">
      <c r="A608" s="8">
        <v>607</v>
      </c>
      <c r="B608" s="8" t="str">
        <f>'Criaturas - Base de Dados'!B103</f>
        <v>Forja Ígnea</v>
      </c>
      <c r="C608" s="8" t="str">
        <f>'Criaturas - Base de Dados'!C103</f>
        <v>Fogo</v>
      </c>
      <c r="D608" s="8" t="str">
        <f>'Criaturas - Base de Dados'!D103</f>
        <v>Salamandra de Lava</v>
      </c>
      <c r="E608" s="8" t="str">
        <f>'Sistema de Raridade e Evolução'!B2</f>
        <v>Default</v>
      </c>
      <c r="F608" s="9" t="e">
        <f>ROUND(('Criaturas - Base de Dados'!H103*'Sistema de Raridade e Evolução'!E2)*1000,2)</f>
        <v>#VALUE!</v>
      </c>
      <c r="G608" s="8" t="e">
        <f>ROUND('Criaturas - Base de Dados'!I103*'Sistema de Raridade e Evolução'!E2,0)</f>
        <v>#VALUE!</v>
      </c>
      <c r="H608" s="8" t="e">
        <f>ROUND('Criaturas - Base de Dados'!J103*'Sistema de Raridade e Evolução'!E2,0)</f>
        <v>#VALUE!</v>
      </c>
      <c r="I608" s="8" t="e">
        <f>ROUND('Criaturas - Base de Dados'!K103*'Sistema de Raridade e Evolução'!E2,0)</f>
        <v>#VALUE!</v>
      </c>
      <c r="J608" s="8">
        <f>'Sistema de Raridade e Evolução'!D2</f>
        <v>1</v>
      </c>
      <c r="K608" s="8" t="s">
        <v>8</v>
      </c>
      <c r="L608" s="9" t="e">
        <f t="shared" si="9"/>
        <v>#VALUE!</v>
      </c>
    </row>
    <row r="609" spans="1:12" ht="14.25" hidden="1" customHeight="1" x14ac:dyDescent="0.3">
      <c r="A609" s="8">
        <v>608</v>
      </c>
      <c r="B609" s="8" t="str">
        <f>'Criaturas - Base de Dados'!B103</f>
        <v>Forja Ígnea</v>
      </c>
      <c r="C609" s="8" t="str">
        <f>'Criaturas - Base de Dados'!C103</f>
        <v>Fogo</v>
      </c>
      <c r="D609" s="8" t="str">
        <f>'Criaturas - Base de Dados'!D103</f>
        <v>Salamandra de Lava</v>
      </c>
      <c r="E609" s="8" t="str">
        <f>'Sistema de Raridade e Evolução'!B3</f>
        <v>Bronze</v>
      </c>
      <c r="F609" s="9">
        <f>ROUND(('Criaturas - Base de Dados'!H103*'Sistema de Raridade e Evolução'!E3)*1000,2)</f>
        <v>12000</v>
      </c>
      <c r="G609" s="8">
        <f>ROUND('Criaturas - Base de Dados'!I103*'Sistema de Raridade e Evolução'!E3,0)</f>
        <v>7</v>
      </c>
      <c r="H609" s="8">
        <f>ROUND('Criaturas - Base de Dados'!J103*'Sistema de Raridade e Evolução'!E3,0)</f>
        <v>6</v>
      </c>
      <c r="I609" s="8">
        <f>ROUND('Criaturas - Base de Dados'!K103*'Sistema de Raridade e Evolução'!E3,0)</f>
        <v>38</v>
      </c>
      <c r="J609" s="8">
        <f>'Sistema de Raridade e Evolução'!D3</f>
        <v>6</v>
      </c>
      <c r="K609" s="8" t="s">
        <v>9</v>
      </c>
      <c r="L609" s="9">
        <f t="shared" si="9"/>
        <v>28571.43</v>
      </c>
    </row>
    <row r="610" spans="1:12" ht="14.25" hidden="1" customHeight="1" x14ac:dyDescent="0.3">
      <c r="A610" s="8">
        <v>609</v>
      </c>
      <c r="B610" s="8" t="str">
        <f>'Criaturas - Base de Dados'!B103</f>
        <v>Forja Ígnea</v>
      </c>
      <c r="C610" s="8" t="str">
        <f>'Criaturas - Base de Dados'!C103</f>
        <v>Fogo</v>
      </c>
      <c r="D610" s="8" t="str">
        <f>'Criaturas - Base de Dados'!D103</f>
        <v>Salamandra de Lava</v>
      </c>
      <c r="E610" s="8" t="str">
        <f>'Sistema de Raridade e Evolução'!B4</f>
        <v>Prata</v>
      </c>
      <c r="F610" s="9">
        <f>ROUND(('Criaturas - Base de Dados'!H103*'Sistema de Raridade e Evolução'!E4)*1000,2)</f>
        <v>72000</v>
      </c>
      <c r="G610" s="8">
        <f>ROUND('Criaturas - Base de Dados'!I103*'Sistema de Raridade e Evolução'!E4,0)</f>
        <v>42</v>
      </c>
      <c r="H610" s="8">
        <f>ROUND('Criaturas - Base de Dados'!J103*'Sistema de Raridade e Evolução'!E4,0)</f>
        <v>36</v>
      </c>
      <c r="I610" s="8">
        <f>ROUND('Criaturas - Base de Dados'!K103*'Sistema de Raridade e Evolução'!E4,0)</f>
        <v>228</v>
      </c>
      <c r="J610" s="8">
        <f>'Sistema de Raridade e Evolução'!D4</f>
        <v>16</v>
      </c>
      <c r="K610" s="8" t="s">
        <v>10</v>
      </c>
      <c r="L610" s="9">
        <f t="shared" si="9"/>
        <v>171428.57</v>
      </c>
    </row>
    <row r="611" spans="1:12" ht="14.25" hidden="1" customHeight="1" x14ac:dyDescent="0.3">
      <c r="A611" s="8">
        <v>610</v>
      </c>
      <c r="B611" s="8" t="str">
        <f>'Criaturas - Base de Dados'!B103</f>
        <v>Forja Ígnea</v>
      </c>
      <c r="C611" s="8" t="str">
        <f>'Criaturas - Base de Dados'!C103</f>
        <v>Fogo</v>
      </c>
      <c r="D611" s="8" t="str">
        <f>'Criaturas - Base de Dados'!D103</f>
        <v>Salamandra de Lava</v>
      </c>
      <c r="E611" s="8" t="str">
        <f>'Sistema de Raridade e Evolução'!B5</f>
        <v>Ouro</v>
      </c>
      <c r="F611" s="9">
        <f>ROUND(('Criaturas - Base de Dados'!H103*'Sistema de Raridade e Evolução'!E5)*1000,2)</f>
        <v>216000</v>
      </c>
      <c r="G611" s="8">
        <f>ROUND('Criaturas - Base de Dados'!I103*'Sistema de Raridade e Evolução'!E5,0)</f>
        <v>126</v>
      </c>
      <c r="H611" s="8">
        <f>ROUND('Criaturas - Base de Dados'!J103*'Sistema de Raridade e Evolução'!E5,0)</f>
        <v>108</v>
      </c>
      <c r="I611" s="8">
        <f>ROUND('Criaturas - Base de Dados'!K103*'Sistema de Raridade e Evolução'!E5,0)</f>
        <v>684</v>
      </c>
      <c r="J611" s="8">
        <f>'Sistema de Raridade e Evolução'!D5</f>
        <v>31</v>
      </c>
      <c r="K611" s="8" t="s">
        <v>11</v>
      </c>
      <c r="L611" s="9">
        <f t="shared" si="9"/>
        <v>514285.71</v>
      </c>
    </row>
    <row r="612" spans="1:12" ht="14.25" hidden="1" customHeight="1" x14ac:dyDescent="0.3">
      <c r="A612" s="8">
        <v>611</v>
      </c>
      <c r="B612" s="8" t="str">
        <f>'Criaturas - Base de Dados'!B103</f>
        <v>Forja Ígnea</v>
      </c>
      <c r="C612" s="8" t="str">
        <f>'Criaturas - Base de Dados'!C103</f>
        <v>Fogo</v>
      </c>
      <c r="D612" s="8" t="str">
        <f>'Criaturas - Base de Dados'!D103</f>
        <v>Salamandra de Lava</v>
      </c>
      <c r="E612" s="8" t="str">
        <f>'Sistema de Raridade e Evolução'!B6</f>
        <v>Platina</v>
      </c>
      <c r="F612" s="9">
        <f>ROUND(('Criaturas - Base de Dados'!H103*'Sistema de Raridade e Evolução'!E6)*1000,2)</f>
        <v>600000</v>
      </c>
      <c r="G612" s="8">
        <f>ROUND('Criaturas - Base de Dados'!I103*'Sistema de Raridade e Evolução'!E6,0)</f>
        <v>350</v>
      </c>
      <c r="H612" s="8">
        <f>ROUND('Criaturas - Base de Dados'!J103*'Sistema de Raridade e Evolução'!E6,0)</f>
        <v>300</v>
      </c>
      <c r="I612" s="8">
        <f>ROUND('Criaturas - Base de Dados'!K103*'Sistema de Raridade e Evolução'!E6,0)</f>
        <v>1900</v>
      </c>
      <c r="J612" s="8">
        <f>'Sistema de Raridade e Evolução'!D6</f>
        <v>56</v>
      </c>
      <c r="K612" s="8" t="s">
        <v>12</v>
      </c>
      <c r="L612" s="9">
        <f t="shared" si="9"/>
        <v>1428571.43</v>
      </c>
    </row>
    <row r="613" spans="1:12" ht="14.25" hidden="1" customHeight="1" x14ac:dyDescent="0.3">
      <c r="A613" s="8">
        <v>612</v>
      </c>
      <c r="B613" s="8" t="str">
        <f>'Criaturas - Base de Dados'!B103</f>
        <v>Forja Ígnea</v>
      </c>
      <c r="C613" s="8" t="str">
        <f>'Criaturas - Base de Dados'!C103</f>
        <v>Fogo</v>
      </c>
      <c r="D613" s="8" t="str">
        <f>'Criaturas - Base de Dados'!D103</f>
        <v>Salamandra de Lava</v>
      </c>
      <c r="E613" s="8" t="str">
        <f>'Sistema de Raridade e Evolução'!B7</f>
        <v>Lendário</v>
      </c>
      <c r="F613" s="9">
        <f>ROUND(('Criaturas - Base de Dados'!H103*'Sistema de Raridade e Evolução'!E7)*1000,2)</f>
        <v>1800000</v>
      </c>
      <c r="G613" s="8">
        <f>ROUND('Criaturas - Base de Dados'!I103*'Sistema de Raridade e Evolução'!E7,0)</f>
        <v>1050</v>
      </c>
      <c r="H613" s="8">
        <f>ROUND('Criaturas - Base de Dados'!J103*'Sistema de Raridade e Evolução'!E7,0)</f>
        <v>900</v>
      </c>
      <c r="I613" s="8">
        <f>ROUND('Criaturas - Base de Dados'!K103*'Sistema de Raridade e Evolução'!E7,0)</f>
        <v>5700</v>
      </c>
      <c r="J613" s="8">
        <f>'Sistema de Raridade e Evolução'!D7</f>
        <v>91</v>
      </c>
      <c r="K613" s="8" t="s">
        <v>925</v>
      </c>
      <c r="L613" s="9">
        <f t="shared" si="9"/>
        <v>4285714.29</v>
      </c>
    </row>
    <row r="614" spans="1:12" ht="14.25" customHeight="1" x14ac:dyDescent="0.3">
      <c r="A614" s="8">
        <v>613</v>
      </c>
      <c r="B614" s="8" t="str">
        <f>'Criaturas - Base de Dados'!B104</f>
        <v>Forja Ígnea</v>
      </c>
      <c r="C614" s="8" t="str">
        <f>'Criaturas - Base de Dados'!C104</f>
        <v>Fogo</v>
      </c>
      <c r="D614" s="8" t="str">
        <f>'Criaturas - Base de Dados'!D104</f>
        <v>Touro de Fogo</v>
      </c>
      <c r="E614" s="8" t="str">
        <f>'Sistema de Raridade e Evolução'!B2</f>
        <v>Default</v>
      </c>
      <c r="F614" s="9" t="e">
        <f>ROUND(('Criaturas - Base de Dados'!H104*'Sistema de Raridade e Evolução'!E2)*1000,2)</f>
        <v>#VALUE!</v>
      </c>
      <c r="G614" s="8" t="e">
        <f>ROUND('Criaturas - Base de Dados'!I104*'Sistema de Raridade e Evolução'!E2,0)</f>
        <v>#VALUE!</v>
      </c>
      <c r="H614" s="8" t="e">
        <f>ROUND('Criaturas - Base de Dados'!J104*'Sistema de Raridade e Evolução'!E2,0)</f>
        <v>#VALUE!</v>
      </c>
      <c r="I614" s="8" t="e">
        <f>ROUND('Criaturas - Base de Dados'!K104*'Sistema de Raridade e Evolução'!E2,0)</f>
        <v>#VALUE!</v>
      </c>
      <c r="J614" s="8">
        <f>'Sistema de Raridade e Evolução'!D2</f>
        <v>1</v>
      </c>
      <c r="K614" s="8" t="s">
        <v>8</v>
      </c>
      <c r="L614" s="9" t="e">
        <f t="shared" si="9"/>
        <v>#VALUE!</v>
      </c>
    </row>
    <row r="615" spans="1:12" ht="14.25" hidden="1" customHeight="1" x14ac:dyDescent="0.3">
      <c r="A615" s="8">
        <v>614</v>
      </c>
      <c r="B615" s="8" t="str">
        <f>'Criaturas - Base de Dados'!B104</f>
        <v>Forja Ígnea</v>
      </c>
      <c r="C615" s="8" t="str">
        <f>'Criaturas - Base de Dados'!C104</f>
        <v>Fogo</v>
      </c>
      <c r="D615" s="8" t="str">
        <f>'Criaturas - Base de Dados'!D104</f>
        <v>Touro de Fogo</v>
      </c>
      <c r="E615" s="8" t="str">
        <f>'Sistema de Raridade e Evolução'!B3</f>
        <v>Bronze</v>
      </c>
      <c r="F615" s="9">
        <f>ROUND(('Criaturas - Base de Dados'!H104*'Sistema de Raridade e Evolução'!E3)*1000,2)</f>
        <v>14000</v>
      </c>
      <c r="G615" s="8">
        <f>ROUND('Criaturas - Base de Dados'!I104*'Sistema de Raridade e Evolução'!E3,0)</f>
        <v>8</v>
      </c>
      <c r="H615" s="8">
        <f>ROUND('Criaturas - Base de Dados'!J104*'Sistema de Raridade e Evolução'!E3,0)</f>
        <v>7</v>
      </c>
      <c r="I615" s="8">
        <f>ROUND('Criaturas - Base de Dados'!K104*'Sistema de Raridade e Evolução'!E3,0)</f>
        <v>45</v>
      </c>
      <c r="J615" s="8">
        <f>'Sistema de Raridade e Evolução'!D3</f>
        <v>6</v>
      </c>
      <c r="K615" s="8" t="s">
        <v>9</v>
      </c>
      <c r="L615" s="9">
        <f t="shared" si="9"/>
        <v>33333.33</v>
      </c>
    </row>
    <row r="616" spans="1:12" ht="14.25" hidden="1" customHeight="1" x14ac:dyDescent="0.3">
      <c r="A616" s="8">
        <v>615</v>
      </c>
      <c r="B616" s="8" t="str">
        <f>'Criaturas - Base de Dados'!B104</f>
        <v>Forja Ígnea</v>
      </c>
      <c r="C616" s="8" t="str">
        <f>'Criaturas - Base de Dados'!C104</f>
        <v>Fogo</v>
      </c>
      <c r="D616" s="8" t="str">
        <f>'Criaturas - Base de Dados'!D104</f>
        <v>Touro de Fogo</v>
      </c>
      <c r="E616" s="8" t="str">
        <f>'Sistema de Raridade e Evolução'!B4</f>
        <v>Prata</v>
      </c>
      <c r="F616" s="9">
        <f>ROUND(('Criaturas - Base de Dados'!H104*'Sistema de Raridade e Evolução'!E4)*1000,2)</f>
        <v>84000</v>
      </c>
      <c r="G616" s="8">
        <f>ROUND('Criaturas - Base de Dados'!I104*'Sistema de Raridade e Evolução'!E4,0)</f>
        <v>48</v>
      </c>
      <c r="H616" s="8">
        <f>ROUND('Criaturas - Base de Dados'!J104*'Sistema de Raridade e Evolução'!E4,0)</f>
        <v>42</v>
      </c>
      <c r="I616" s="8">
        <f>ROUND('Criaturas - Base de Dados'!K104*'Sistema de Raridade e Evolução'!E4,0)</f>
        <v>270</v>
      </c>
      <c r="J616" s="8">
        <f>'Sistema de Raridade e Evolução'!D4</f>
        <v>16</v>
      </c>
      <c r="K616" s="8" t="s">
        <v>10</v>
      </c>
      <c r="L616" s="9">
        <f t="shared" si="9"/>
        <v>200000</v>
      </c>
    </row>
    <row r="617" spans="1:12" ht="14.25" hidden="1" customHeight="1" x14ac:dyDescent="0.3">
      <c r="A617" s="8">
        <v>616</v>
      </c>
      <c r="B617" s="8" t="str">
        <f>'Criaturas - Base de Dados'!B104</f>
        <v>Forja Ígnea</v>
      </c>
      <c r="C617" s="8" t="str">
        <f>'Criaturas - Base de Dados'!C104</f>
        <v>Fogo</v>
      </c>
      <c r="D617" s="8" t="str">
        <f>'Criaturas - Base de Dados'!D104</f>
        <v>Touro de Fogo</v>
      </c>
      <c r="E617" s="8" t="str">
        <f>'Sistema de Raridade e Evolução'!B5</f>
        <v>Ouro</v>
      </c>
      <c r="F617" s="9">
        <f>ROUND(('Criaturas - Base de Dados'!H104*'Sistema de Raridade e Evolução'!E5)*1000,2)</f>
        <v>252000</v>
      </c>
      <c r="G617" s="8">
        <f>ROUND('Criaturas - Base de Dados'!I104*'Sistema de Raridade e Evolução'!E5,0)</f>
        <v>144</v>
      </c>
      <c r="H617" s="8">
        <f>ROUND('Criaturas - Base de Dados'!J104*'Sistema de Raridade e Evolução'!E5,0)</f>
        <v>126</v>
      </c>
      <c r="I617" s="8">
        <f>ROUND('Criaturas - Base de Dados'!K104*'Sistema de Raridade e Evolução'!E5,0)</f>
        <v>810</v>
      </c>
      <c r="J617" s="8">
        <f>'Sistema de Raridade e Evolução'!D5</f>
        <v>31</v>
      </c>
      <c r="K617" s="8" t="s">
        <v>11</v>
      </c>
      <c r="L617" s="9">
        <f t="shared" si="9"/>
        <v>600000</v>
      </c>
    </row>
    <row r="618" spans="1:12" ht="14.25" hidden="1" customHeight="1" x14ac:dyDescent="0.3">
      <c r="A618" s="8">
        <v>617</v>
      </c>
      <c r="B618" s="8" t="str">
        <f>'Criaturas - Base de Dados'!B104</f>
        <v>Forja Ígnea</v>
      </c>
      <c r="C618" s="8" t="str">
        <f>'Criaturas - Base de Dados'!C104</f>
        <v>Fogo</v>
      </c>
      <c r="D618" s="8" t="str">
        <f>'Criaturas - Base de Dados'!D104</f>
        <v>Touro de Fogo</v>
      </c>
      <c r="E618" s="8" t="str">
        <f>'Sistema de Raridade e Evolução'!B6</f>
        <v>Platina</v>
      </c>
      <c r="F618" s="9">
        <f>ROUND(('Criaturas - Base de Dados'!H104*'Sistema de Raridade e Evolução'!E6)*1000,2)</f>
        <v>700000</v>
      </c>
      <c r="G618" s="8">
        <f>ROUND('Criaturas - Base de Dados'!I104*'Sistema de Raridade e Evolução'!E6,0)</f>
        <v>400</v>
      </c>
      <c r="H618" s="8">
        <f>ROUND('Criaturas - Base de Dados'!J104*'Sistema de Raridade e Evolução'!E6,0)</f>
        <v>350</v>
      </c>
      <c r="I618" s="8">
        <f>ROUND('Criaturas - Base de Dados'!K104*'Sistema de Raridade e Evolução'!E6,0)</f>
        <v>2250</v>
      </c>
      <c r="J618" s="8">
        <f>'Sistema de Raridade e Evolução'!D6</f>
        <v>56</v>
      </c>
      <c r="K618" s="8" t="s">
        <v>12</v>
      </c>
      <c r="L618" s="9">
        <f t="shared" si="9"/>
        <v>1666666.67</v>
      </c>
    </row>
    <row r="619" spans="1:12" ht="14.25" hidden="1" customHeight="1" x14ac:dyDescent="0.3">
      <c r="A619" s="8">
        <v>618</v>
      </c>
      <c r="B619" s="8" t="str">
        <f>'Criaturas - Base de Dados'!B104</f>
        <v>Forja Ígnea</v>
      </c>
      <c r="C619" s="8" t="str">
        <f>'Criaturas - Base de Dados'!C104</f>
        <v>Fogo</v>
      </c>
      <c r="D619" s="8" t="str">
        <f>'Criaturas - Base de Dados'!D104</f>
        <v>Touro de Fogo</v>
      </c>
      <c r="E619" s="8" t="str">
        <f>'Sistema de Raridade e Evolução'!B7</f>
        <v>Lendário</v>
      </c>
      <c r="F619" s="9">
        <f>ROUND(('Criaturas - Base de Dados'!H104*'Sistema de Raridade e Evolução'!E7)*1000,2)</f>
        <v>2100000</v>
      </c>
      <c r="G619" s="8">
        <f>ROUND('Criaturas - Base de Dados'!I104*'Sistema de Raridade e Evolução'!E7,0)</f>
        <v>1200</v>
      </c>
      <c r="H619" s="8">
        <f>ROUND('Criaturas - Base de Dados'!J104*'Sistema de Raridade e Evolução'!E7,0)</f>
        <v>1050</v>
      </c>
      <c r="I619" s="8">
        <f>ROUND('Criaturas - Base de Dados'!K104*'Sistema de Raridade e Evolução'!E7,0)</f>
        <v>6750</v>
      </c>
      <c r="J619" s="8">
        <f>'Sistema de Raridade e Evolução'!D7</f>
        <v>91</v>
      </c>
      <c r="K619" s="8" t="s">
        <v>925</v>
      </c>
      <c r="L619" s="9">
        <f t="shared" si="9"/>
        <v>5000000</v>
      </c>
    </row>
    <row r="620" spans="1:12" ht="14.25" customHeight="1" x14ac:dyDescent="0.3">
      <c r="A620" s="8">
        <v>619</v>
      </c>
      <c r="B620" s="8" t="str">
        <f>'Criaturas - Base de Dados'!B105</f>
        <v>Forja Ígnea</v>
      </c>
      <c r="C620" s="8" t="str">
        <f>'Criaturas - Base de Dados'!C105</f>
        <v>Fogo</v>
      </c>
      <c r="D620" s="8" t="str">
        <f>'Criaturas - Base de Dados'!D105</f>
        <v>Corcel Flamejante</v>
      </c>
      <c r="E620" s="8" t="str">
        <f>'Sistema de Raridade e Evolução'!B2</f>
        <v>Default</v>
      </c>
      <c r="F620" s="9" t="e">
        <f>ROUND(('Criaturas - Base de Dados'!H105*'Sistema de Raridade e Evolução'!E2)*1000,2)</f>
        <v>#VALUE!</v>
      </c>
      <c r="G620" s="8" t="e">
        <f>ROUND('Criaturas - Base de Dados'!I105*'Sistema de Raridade e Evolução'!E2,0)</f>
        <v>#VALUE!</v>
      </c>
      <c r="H620" s="8" t="e">
        <f>ROUND('Criaturas - Base de Dados'!J105*'Sistema de Raridade e Evolução'!E2,0)</f>
        <v>#VALUE!</v>
      </c>
      <c r="I620" s="8" t="e">
        <f>ROUND('Criaturas - Base de Dados'!K105*'Sistema de Raridade e Evolução'!E2,0)</f>
        <v>#VALUE!</v>
      </c>
      <c r="J620" s="8">
        <f>'Sistema de Raridade e Evolução'!D2</f>
        <v>1</v>
      </c>
      <c r="K620" s="8" t="s">
        <v>8</v>
      </c>
      <c r="L620" s="9" t="e">
        <f t="shared" si="9"/>
        <v>#VALUE!</v>
      </c>
    </row>
    <row r="621" spans="1:12" ht="14.25" hidden="1" customHeight="1" x14ac:dyDescent="0.3">
      <c r="A621" s="8">
        <v>620</v>
      </c>
      <c r="B621" s="8" t="str">
        <f>'Criaturas - Base de Dados'!B105</f>
        <v>Forja Ígnea</v>
      </c>
      <c r="C621" s="8" t="str">
        <f>'Criaturas - Base de Dados'!C105</f>
        <v>Fogo</v>
      </c>
      <c r="D621" s="8" t="str">
        <f>'Criaturas - Base de Dados'!D105</f>
        <v>Corcel Flamejante</v>
      </c>
      <c r="E621" s="8" t="str">
        <f>'Sistema de Raridade e Evolução'!B3</f>
        <v>Bronze</v>
      </c>
      <c r="F621" s="9">
        <f>ROUND(('Criaturas - Base de Dados'!H105*'Sistema de Raridade e Evolução'!E3)*1000,2)</f>
        <v>16000</v>
      </c>
      <c r="G621" s="8">
        <f>ROUND('Criaturas - Base de Dados'!I105*'Sistema de Raridade e Evolução'!E3,0)</f>
        <v>10</v>
      </c>
      <c r="H621" s="8">
        <f>ROUND('Criaturas - Base de Dados'!J105*'Sistema de Raridade e Evolução'!E3,0)</f>
        <v>8</v>
      </c>
      <c r="I621" s="8">
        <f>ROUND('Criaturas - Base de Dados'!K105*'Sistema de Raridade e Evolução'!E3,0)</f>
        <v>51</v>
      </c>
      <c r="J621" s="8">
        <f>'Sistema de Raridade e Evolução'!D3</f>
        <v>6</v>
      </c>
      <c r="K621" s="8" t="s">
        <v>9</v>
      </c>
      <c r="L621" s="9">
        <f t="shared" si="9"/>
        <v>38095.24</v>
      </c>
    </row>
    <row r="622" spans="1:12" ht="14.25" hidden="1" customHeight="1" x14ac:dyDescent="0.3">
      <c r="A622" s="8">
        <v>621</v>
      </c>
      <c r="B622" s="8" t="str">
        <f>'Criaturas - Base de Dados'!B105</f>
        <v>Forja Ígnea</v>
      </c>
      <c r="C622" s="8" t="str">
        <f>'Criaturas - Base de Dados'!C105</f>
        <v>Fogo</v>
      </c>
      <c r="D622" s="8" t="str">
        <f>'Criaturas - Base de Dados'!D105</f>
        <v>Corcel Flamejante</v>
      </c>
      <c r="E622" s="8" t="str">
        <f>'Sistema de Raridade e Evolução'!B4</f>
        <v>Prata</v>
      </c>
      <c r="F622" s="9">
        <f>ROUND(('Criaturas - Base de Dados'!H105*'Sistema de Raridade e Evolução'!E4)*1000,2)</f>
        <v>96000</v>
      </c>
      <c r="G622" s="8">
        <f>ROUND('Criaturas - Base de Dados'!I105*'Sistema de Raridade e Evolução'!E4,0)</f>
        <v>60</v>
      </c>
      <c r="H622" s="8">
        <f>ROUND('Criaturas - Base de Dados'!J105*'Sistema de Raridade e Evolução'!E4,0)</f>
        <v>48</v>
      </c>
      <c r="I622" s="8">
        <f>ROUND('Criaturas - Base de Dados'!K105*'Sistema de Raridade e Evolução'!E4,0)</f>
        <v>306</v>
      </c>
      <c r="J622" s="8">
        <f>'Sistema de Raridade e Evolução'!D4</f>
        <v>16</v>
      </c>
      <c r="K622" s="8" t="s">
        <v>10</v>
      </c>
      <c r="L622" s="9">
        <f t="shared" si="9"/>
        <v>228571.43</v>
      </c>
    </row>
    <row r="623" spans="1:12" ht="14.25" hidden="1" customHeight="1" x14ac:dyDescent="0.3">
      <c r="A623" s="8">
        <v>622</v>
      </c>
      <c r="B623" s="8" t="str">
        <f>'Criaturas - Base de Dados'!B105</f>
        <v>Forja Ígnea</v>
      </c>
      <c r="C623" s="8" t="str">
        <f>'Criaturas - Base de Dados'!C105</f>
        <v>Fogo</v>
      </c>
      <c r="D623" s="8" t="str">
        <f>'Criaturas - Base de Dados'!D105</f>
        <v>Corcel Flamejante</v>
      </c>
      <c r="E623" s="8" t="str">
        <f>'Sistema de Raridade e Evolução'!B5</f>
        <v>Ouro</v>
      </c>
      <c r="F623" s="9">
        <f>ROUND(('Criaturas - Base de Dados'!H105*'Sistema de Raridade e Evolução'!E5)*1000,2)</f>
        <v>288000</v>
      </c>
      <c r="G623" s="8">
        <f>ROUND('Criaturas - Base de Dados'!I105*'Sistema de Raridade e Evolução'!E5,0)</f>
        <v>180</v>
      </c>
      <c r="H623" s="8">
        <f>ROUND('Criaturas - Base de Dados'!J105*'Sistema de Raridade e Evolução'!E5,0)</f>
        <v>144</v>
      </c>
      <c r="I623" s="8">
        <f>ROUND('Criaturas - Base de Dados'!K105*'Sistema de Raridade e Evolução'!E5,0)</f>
        <v>918</v>
      </c>
      <c r="J623" s="8">
        <f>'Sistema de Raridade e Evolução'!D5</f>
        <v>31</v>
      </c>
      <c r="K623" s="8" t="s">
        <v>11</v>
      </c>
      <c r="L623" s="9">
        <f t="shared" si="9"/>
        <v>685714.29</v>
      </c>
    </row>
    <row r="624" spans="1:12" ht="14.25" hidden="1" customHeight="1" x14ac:dyDescent="0.3">
      <c r="A624" s="8">
        <v>623</v>
      </c>
      <c r="B624" s="8" t="str">
        <f>'Criaturas - Base de Dados'!B105</f>
        <v>Forja Ígnea</v>
      </c>
      <c r="C624" s="8" t="str">
        <f>'Criaturas - Base de Dados'!C105</f>
        <v>Fogo</v>
      </c>
      <c r="D624" s="8" t="str">
        <f>'Criaturas - Base de Dados'!D105</f>
        <v>Corcel Flamejante</v>
      </c>
      <c r="E624" s="8" t="str">
        <f>'Sistema de Raridade e Evolução'!B6</f>
        <v>Platina</v>
      </c>
      <c r="F624" s="9">
        <f>ROUND(('Criaturas - Base de Dados'!H105*'Sistema de Raridade e Evolução'!E6)*1000,2)</f>
        <v>800000</v>
      </c>
      <c r="G624" s="8">
        <f>ROUND('Criaturas - Base de Dados'!I105*'Sistema de Raridade e Evolução'!E6,0)</f>
        <v>500</v>
      </c>
      <c r="H624" s="8">
        <f>ROUND('Criaturas - Base de Dados'!J105*'Sistema de Raridade e Evolução'!E6,0)</f>
        <v>400</v>
      </c>
      <c r="I624" s="8">
        <f>ROUND('Criaturas - Base de Dados'!K105*'Sistema de Raridade e Evolução'!E6,0)</f>
        <v>2550</v>
      </c>
      <c r="J624" s="8">
        <f>'Sistema de Raridade e Evolução'!D6</f>
        <v>56</v>
      </c>
      <c r="K624" s="8" t="s">
        <v>12</v>
      </c>
      <c r="L624" s="9">
        <f t="shared" si="9"/>
        <v>1904761.9</v>
      </c>
    </row>
    <row r="625" spans="1:12" ht="14.25" hidden="1" customHeight="1" x14ac:dyDescent="0.3">
      <c r="A625" s="8">
        <v>624</v>
      </c>
      <c r="B625" s="8" t="str">
        <f>'Criaturas - Base de Dados'!B105</f>
        <v>Forja Ígnea</v>
      </c>
      <c r="C625" s="8" t="str">
        <f>'Criaturas - Base de Dados'!C105</f>
        <v>Fogo</v>
      </c>
      <c r="D625" s="8" t="str">
        <f>'Criaturas - Base de Dados'!D105</f>
        <v>Corcel Flamejante</v>
      </c>
      <c r="E625" s="8" t="str">
        <f>'Sistema de Raridade e Evolução'!B7</f>
        <v>Lendário</v>
      </c>
      <c r="F625" s="9">
        <f>ROUND(('Criaturas - Base de Dados'!H105*'Sistema de Raridade e Evolução'!E7)*1000,2)</f>
        <v>2400000</v>
      </c>
      <c r="G625" s="8">
        <f>ROUND('Criaturas - Base de Dados'!I105*'Sistema de Raridade e Evolução'!E7,0)</f>
        <v>1500</v>
      </c>
      <c r="H625" s="8">
        <f>ROUND('Criaturas - Base de Dados'!J105*'Sistema de Raridade e Evolução'!E7,0)</f>
        <v>1200</v>
      </c>
      <c r="I625" s="8">
        <f>ROUND('Criaturas - Base de Dados'!K105*'Sistema de Raridade e Evolução'!E7,0)</f>
        <v>7650</v>
      </c>
      <c r="J625" s="8">
        <f>'Sistema de Raridade e Evolução'!D7</f>
        <v>91</v>
      </c>
      <c r="K625" s="8" t="s">
        <v>925</v>
      </c>
      <c r="L625" s="9">
        <f t="shared" si="9"/>
        <v>5714285.71</v>
      </c>
    </row>
    <row r="626" spans="1:12" ht="14.25" customHeight="1" x14ac:dyDescent="0.3">
      <c r="A626" s="8">
        <v>625</v>
      </c>
      <c r="B626" s="8" t="str">
        <f>'Criaturas - Base de Dados'!B106</f>
        <v>Forja Ígnea</v>
      </c>
      <c r="C626" s="8" t="str">
        <f>'Criaturas - Base de Dados'!C106</f>
        <v>Fogo</v>
      </c>
      <c r="D626" s="8" t="str">
        <f>'Criaturas - Base de Dados'!D106</f>
        <v>Dragão Vermelho Cadente</v>
      </c>
      <c r="E626" s="8" t="str">
        <f>'Sistema de Raridade e Evolução'!B2</f>
        <v>Default</v>
      </c>
      <c r="F626" s="9" t="e">
        <f>ROUND(('Criaturas - Base de Dados'!H106*'Sistema de Raridade e Evolução'!E2)*1000,2)</f>
        <v>#VALUE!</v>
      </c>
      <c r="G626" s="8" t="e">
        <f>ROUND('Criaturas - Base de Dados'!I106*'Sistema de Raridade e Evolução'!E2,0)</f>
        <v>#VALUE!</v>
      </c>
      <c r="H626" s="8" t="e">
        <f>ROUND('Criaturas - Base de Dados'!J106*'Sistema de Raridade e Evolução'!E2,0)</f>
        <v>#VALUE!</v>
      </c>
      <c r="I626" s="8" t="e">
        <f>ROUND('Criaturas - Base de Dados'!K106*'Sistema de Raridade e Evolução'!E2,0)</f>
        <v>#VALUE!</v>
      </c>
      <c r="J626" s="8">
        <f>'Sistema de Raridade e Evolução'!D2</f>
        <v>1</v>
      </c>
      <c r="K626" s="8" t="s">
        <v>8</v>
      </c>
      <c r="L626" s="9" t="e">
        <f t="shared" si="9"/>
        <v>#VALUE!</v>
      </c>
    </row>
    <row r="627" spans="1:12" ht="14.25" hidden="1" customHeight="1" x14ac:dyDescent="0.3">
      <c r="A627" s="8">
        <v>626</v>
      </c>
      <c r="B627" s="8" t="str">
        <f>'Criaturas - Base de Dados'!B106</f>
        <v>Forja Ígnea</v>
      </c>
      <c r="C627" s="8" t="str">
        <f>'Criaturas - Base de Dados'!C106</f>
        <v>Fogo</v>
      </c>
      <c r="D627" s="8" t="str">
        <f>'Criaturas - Base de Dados'!D106</f>
        <v>Dragão Vermelho Cadente</v>
      </c>
      <c r="E627" s="8" t="str">
        <f>'Sistema de Raridade e Evolução'!B3</f>
        <v>Bronze</v>
      </c>
      <c r="F627" s="9">
        <f>ROUND(('Criaturas - Base de Dados'!H106*'Sistema de Raridade e Evolução'!E3)*1000,2)</f>
        <v>16000</v>
      </c>
      <c r="G627" s="8">
        <f>ROUND('Criaturas - Base de Dados'!I106*'Sistema de Raridade e Evolução'!E3,0)</f>
        <v>10</v>
      </c>
      <c r="H627" s="8">
        <f>ROUND('Criaturas - Base de Dados'!J106*'Sistema de Raridade e Evolução'!E3,0)</f>
        <v>8</v>
      </c>
      <c r="I627" s="8">
        <f>ROUND('Criaturas - Base de Dados'!K106*'Sistema de Raridade e Evolução'!E3,0)</f>
        <v>51</v>
      </c>
      <c r="J627" s="8">
        <f>'Sistema de Raridade e Evolução'!D3</f>
        <v>6</v>
      </c>
      <c r="K627" s="8" t="s">
        <v>9</v>
      </c>
      <c r="L627" s="9">
        <f t="shared" si="9"/>
        <v>38095.24</v>
      </c>
    </row>
    <row r="628" spans="1:12" ht="14.25" hidden="1" customHeight="1" x14ac:dyDescent="0.3">
      <c r="A628" s="8">
        <v>627</v>
      </c>
      <c r="B628" s="8" t="str">
        <f>'Criaturas - Base de Dados'!B106</f>
        <v>Forja Ígnea</v>
      </c>
      <c r="C628" s="8" t="str">
        <f>'Criaturas - Base de Dados'!C106</f>
        <v>Fogo</v>
      </c>
      <c r="D628" s="8" t="str">
        <f>'Criaturas - Base de Dados'!D106</f>
        <v>Dragão Vermelho Cadente</v>
      </c>
      <c r="E628" s="8" t="str">
        <f>'Sistema de Raridade e Evolução'!B4</f>
        <v>Prata</v>
      </c>
      <c r="F628" s="9">
        <f>ROUND(('Criaturas - Base de Dados'!H106*'Sistema de Raridade e Evolução'!E4)*1000,2)</f>
        <v>96000</v>
      </c>
      <c r="G628" s="8">
        <f>ROUND('Criaturas - Base de Dados'!I106*'Sistema de Raridade e Evolução'!E4,0)</f>
        <v>60</v>
      </c>
      <c r="H628" s="8">
        <f>ROUND('Criaturas - Base de Dados'!J106*'Sistema de Raridade e Evolução'!E4,0)</f>
        <v>48</v>
      </c>
      <c r="I628" s="8">
        <f>ROUND('Criaturas - Base de Dados'!K106*'Sistema de Raridade e Evolução'!E4,0)</f>
        <v>306</v>
      </c>
      <c r="J628" s="8">
        <f>'Sistema de Raridade e Evolução'!D4</f>
        <v>16</v>
      </c>
      <c r="K628" s="8" t="s">
        <v>10</v>
      </c>
      <c r="L628" s="9">
        <f t="shared" si="9"/>
        <v>228571.43</v>
      </c>
    </row>
    <row r="629" spans="1:12" ht="14.25" hidden="1" customHeight="1" x14ac:dyDescent="0.3">
      <c r="A629" s="8">
        <v>628</v>
      </c>
      <c r="B629" s="8" t="str">
        <f>'Criaturas - Base de Dados'!B106</f>
        <v>Forja Ígnea</v>
      </c>
      <c r="C629" s="8" t="str">
        <f>'Criaturas - Base de Dados'!C106</f>
        <v>Fogo</v>
      </c>
      <c r="D629" s="8" t="str">
        <f>'Criaturas - Base de Dados'!D106</f>
        <v>Dragão Vermelho Cadente</v>
      </c>
      <c r="E629" s="8" t="str">
        <f>'Sistema de Raridade e Evolução'!B5</f>
        <v>Ouro</v>
      </c>
      <c r="F629" s="9">
        <f>ROUND(('Criaturas - Base de Dados'!H106*'Sistema de Raridade e Evolução'!E5)*1000,2)</f>
        <v>288000</v>
      </c>
      <c r="G629" s="8">
        <f>ROUND('Criaturas - Base de Dados'!I106*'Sistema de Raridade e Evolução'!E5,0)</f>
        <v>180</v>
      </c>
      <c r="H629" s="8">
        <f>ROUND('Criaturas - Base de Dados'!J106*'Sistema de Raridade e Evolução'!E5,0)</f>
        <v>144</v>
      </c>
      <c r="I629" s="8">
        <f>ROUND('Criaturas - Base de Dados'!K106*'Sistema de Raridade e Evolução'!E5,0)</f>
        <v>918</v>
      </c>
      <c r="J629" s="8">
        <f>'Sistema de Raridade e Evolução'!D5</f>
        <v>31</v>
      </c>
      <c r="K629" s="8" t="s">
        <v>11</v>
      </c>
      <c r="L629" s="9">
        <f t="shared" si="9"/>
        <v>685714.29</v>
      </c>
    </row>
    <row r="630" spans="1:12" ht="14.25" hidden="1" customHeight="1" x14ac:dyDescent="0.3">
      <c r="A630" s="8">
        <v>629</v>
      </c>
      <c r="B630" s="8" t="str">
        <f>'Criaturas - Base de Dados'!B106</f>
        <v>Forja Ígnea</v>
      </c>
      <c r="C630" s="8" t="str">
        <f>'Criaturas - Base de Dados'!C106</f>
        <v>Fogo</v>
      </c>
      <c r="D630" s="8" t="str">
        <f>'Criaturas - Base de Dados'!D106</f>
        <v>Dragão Vermelho Cadente</v>
      </c>
      <c r="E630" s="8" t="str">
        <f>'Sistema de Raridade e Evolução'!B6</f>
        <v>Platina</v>
      </c>
      <c r="F630" s="9">
        <f>ROUND(('Criaturas - Base de Dados'!H106*'Sistema de Raridade e Evolução'!E6)*1000,2)</f>
        <v>800000</v>
      </c>
      <c r="G630" s="8">
        <f>ROUND('Criaturas - Base de Dados'!I106*'Sistema de Raridade e Evolução'!E6,0)</f>
        <v>500</v>
      </c>
      <c r="H630" s="8">
        <f>ROUND('Criaturas - Base de Dados'!J106*'Sistema de Raridade e Evolução'!E6,0)</f>
        <v>400</v>
      </c>
      <c r="I630" s="8">
        <f>ROUND('Criaturas - Base de Dados'!K106*'Sistema de Raridade e Evolução'!E6,0)</f>
        <v>2550</v>
      </c>
      <c r="J630" s="8">
        <f>'Sistema de Raridade e Evolução'!D6</f>
        <v>56</v>
      </c>
      <c r="K630" s="8" t="s">
        <v>12</v>
      </c>
      <c r="L630" s="9">
        <f t="shared" si="9"/>
        <v>1904761.9</v>
      </c>
    </row>
    <row r="631" spans="1:12" ht="14.25" hidden="1" customHeight="1" x14ac:dyDescent="0.3">
      <c r="A631" s="8">
        <v>630</v>
      </c>
      <c r="B631" s="8" t="str">
        <f>'Criaturas - Base de Dados'!B106</f>
        <v>Forja Ígnea</v>
      </c>
      <c r="C631" s="8" t="str">
        <f>'Criaturas - Base de Dados'!C106</f>
        <v>Fogo</v>
      </c>
      <c r="D631" s="8" t="str">
        <f>'Criaturas - Base de Dados'!D106</f>
        <v>Dragão Vermelho Cadente</v>
      </c>
      <c r="E631" s="8" t="str">
        <f>'Sistema de Raridade e Evolução'!B7</f>
        <v>Lendário</v>
      </c>
      <c r="F631" s="9">
        <f>ROUND(('Criaturas - Base de Dados'!H106*'Sistema de Raridade e Evolução'!E7)*1000,2)</f>
        <v>2400000</v>
      </c>
      <c r="G631" s="8">
        <f>ROUND('Criaturas - Base de Dados'!I106*'Sistema de Raridade e Evolução'!E7,0)</f>
        <v>1500</v>
      </c>
      <c r="H631" s="8">
        <f>ROUND('Criaturas - Base de Dados'!J106*'Sistema de Raridade e Evolução'!E7,0)</f>
        <v>1200</v>
      </c>
      <c r="I631" s="8">
        <f>ROUND('Criaturas - Base de Dados'!K106*'Sistema de Raridade e Evolução'!E7,0)</f>
        <v>7650</v>
      </c>
      <c r="J631" s="8">
        <f>'Sistema de Raridade e Evolução'!D7</f>
        <v>91</v>
      </c>
      <c r="K631" s="8" t="s">
        <v>925</v>
      </c>
      <c r="L631" s="9">
        <f t="shared" si="9"/>
        <v>5714285.71</v>
      </c>
    </row>
    <row r="632" spans="1:12" ht="14.25" customHeight="1" x14ac:dyDescent="0.3">
      <c r="A632" s="8">
        <v>631</v>
      </c>
      <c r="B632" s="8" t="str">
        <f>'Criaturas - Base de Dados'!B107</f>
        <v>Forja Ígnea</v>
      </c>
      <c r="C632" s="8" t="str">
        <f>'Criaturas - Base de Dados'!C107</f>
        <v>Fogo</v>
      </c>
      <c r="D632" s="8" t="str">
        <f>'Criaturas - Base de Dados'!D107</f>
        <v>Dáemon Vulcânico</v>
      </c>
      <c r="E632" s="8" t="str">
        <f>'Sistema de Raridade e Evolução'!B2</f>
        <v>Default</v>
      </c>
      <c r="F632" s="9" t="e">
        <f>ROUND(('Criaturas - Base de Dados'!H107*'Sistema de Raridade e Evolução'!E2)*1000,2)</f>
        <v>#VALUE!</v>
      </c>
      <c r="G632" s="8" t="e">
        <f>ROUND('Criaturas - Base de Dados'!I107*'Sistema de Raridade e Evolução'!E2,0)</f>
        <v>#VALUE!</v>
      </c>
      <c r="H632" s="8" t="e">
        <f>ROUND('Criaturas - Base de Dados'!J107*'Sistema de Raridade e Evolução'!E2,0)</f>
        <v>#VALUE!</v>
      </c>
      <c r="I632" s="8" t="e">
        <f>ROUND('Criaturas - Base de Dados'!K107*'Sistema de Raridade e Evolução'!E2,0)</f>
        <v>#VALUE!</v>
      </c>
      <c r="J632" s="8">
        <f>'Sistema de Raridade e Evolução'!D2</f>
        <v>1</v>
      </c>
      <c r="K632" s="8" t="s">
        <v>8</v>
      </c>
      <c r="L632" s="9" t="e">
        <f t="shared" si="9"/>
        <v>#VALUE!</v>
      </c>
    </row>
    <row r="633" spans="1:12" ht="14.25" hidden="1" customHeight="1" x14ac:dyDescent="0.3">
      <c r="A633" s="8">
        <v>632</v>
      </c>
      <c r="B633" s="8" t="str">
        <f>'Criaturas - Base de Dados'!B107</f>
        <v>Forja Ígnea</v>
      </c>
      <c r="C633" s="8" t="str">
        <f>'Criaturas - Base de Dados'!C107</f>
        <v>Fogo</v>
      </c>
      <c r="D633" s="8" t="str">
        <f>'Criaturas - Base de Dados'!D107</f>
        <v>Dáemon Vulcânico</v>
      </c>
      <c r="E633" s="8" t="str">
        <f>'Sistema de Raridade e Evolução'!B3</f>
        <v>Bronze</v>
      </c>
      <c r="F633" s="9">
        <f>ROUND(('Criaturas - Base de Dados'!H107*'Sistema de Raridade e Evolução'!E3)*1000,2)</f>
        <v>18000</v>
      </c>
      <c r="G633" s="8">
        <f>ROUND('Criaturas - Base de Dados'!I107*'Sistema de Raridade e Evolução'!E3,0)</f>
        <v>11</v>
      </c>
      <c r="H633" s="8">
        <f>ROUND('Criaturas - Base de Dados'!J107*'Sistema de Raridade e Evolução'!E3,0)</f>
        <v>9</v>
      </c>
      <c r="I633" s="8">
        <f>ROUND('Criaturas - Base de Dados'!K107*'Sistema de Raridade e Evolução'!E3,0)</f>
        <v>58</v>
      </c>
      <c r="J633" s="8">
        <f>'Sistema de Raridade e Evolução'!D3</f>
        <v>6</v>
      </c>
      <c r="K633" s="8" t="s">
        <v>9</v>
      </c>
      <c r="L633" s="9">
        <f t="shared" si="9"/>
        <v>42857.14</v>
      </c>
    </row>
    <row r="634" spans="1:12" ht="14.25" hidden="1" customHeight="1" x14ac:dyDescent="0.3">
      <c r="A634" s="8">
        <v>633</v>
      </c>
      <c r="B634" s="8" t="str">
        <f>'Criaturas - Base de Dados'!B107</f>
        <v>Forja Ígnea</v>
      </c>
      <c r="C634" s="8" t="str">
        <f>'Criaturas - Base de Dados'!C107</f>
        <v>Fogo</v>
      </c>
      <c r="D634" s="8" t="str">
        <f>'Criaturas - Base de Dados'!D107</f>
        <v>Dáemon Vulcânico</v>
      </c>
      <c r="E634" s="8" t="str">
        <f>'Sistema de Raridade e Evolução'!B4</f>
        <v>Prata</v>
      </c>
      <c r="F634" s="9">
        <f>ROUND(('Criaturas - Base de Dados'!H107*'Sistema de Raridade e Evolução'!E4)*1000,2)</f>
        <v>108000</v>
      </c>
      <c r="G634" s="8">
        <f>ROUND('Criaturas - Base de Dados'!I107*'Sistema de Raridade e Evolução'!E4,0)</f>
        <v>66</v>
      </c>
      <c r="H634" s="8">
        <f>ROUND('Criaturas - Base de Dados'!J107*'Sistema de Raridade e Evolução'!E4,0)</f>
        <v>54</v>
      </c>
      <c r="I634" s="8">
        <f>ROUND('Criaturas - Base de Dados'!K107*'Sistema de Raridade e Evolução'!E4,0)</f>
        <v>348</v>
      </c>
      <c r="J634" s="8">
        <f>'Sistema de Raridade e Evolução'!D4</f>
        <v>16</v>
      </c>
      <c r="K634" s="8" t="s">
        <v>10</v>
      </c>
      <c r="L634" s="9">
        <f t="shared" si="9"/>
        <v>257142.86</v>
      </c>
    </row>
    <row r="635" spans="1:12" ht="14.25" hidden="1" customHeight="1" x14ac:dyDescent="0.3">
      <c r="A635" s="8">
        <v>634</v>
      </c>
      <c r="B635" s="8" t="str">
        <f>'Criaturas - Base de Dados'!B107</f>
        <v>Forja Ígnea</v>
      </c>
      <c r="C635" s="8" t="str">
        <f>'Criaturas - Base de Dados'!C107</f>
        <v>Fogo</v>
      </c>
      <c r="D635" s="8" t="str">
        <f>'Criaturas - Base de Dados'!D107</f>
        <v>Dáemon Vulcânico</v>
      </c>
      <c r="E635" s="8" t="str">
        <f>'Sistema de Raridade e Evolução'!B5</f>
        <v>Ouro</v>
      </c>
      <c r="F635" s="9">
        <f>ROUND(('Criaturas - Base de Dados'!H107*'Sistema de Raridade e Evolução'!E5)*1000,2)</f>
        <v>324000</v>
      </c>
      <c r="G635" s="8">
        <f>ROUND('Criaturas - Base de Dados'!I107*'Sistema de Raridade e Evolução'!E5,0)</f>
        <v>198</v>
      </c>
      <c r="H635" s="8">
        <f>ROUND('Criaturas - Base de Dados'!J107*'Sistema de Raridade e Evolução'!E5,0)</f>
        <v>162</v>
      </c>
      <c r="I635" s="8">
        <f>ROUND('Criaturas - Base de Dados'!K107*'Sistema de Raridade e Evolução'!E5,0)</f>
        <v>1044</v>
      </c>
      <c r="J635" s="8">
        <f>'Sistema de Raridade e Evolução'!D5</f>
        <v>31</v>
      </c>
      <c r="K635" s="8" t="s">
        <v>11</v>
      </c>
      <c r="L635" s="9">
        <f t="shared" si="9"/>
        <v>771428.57</v>
      </c>
    </row>
    <row r="636" spans="1:12" ht="14.25" hidden="1" customHeight="1" x14ac:dyDescent="0.3">
      <c r="A636" s="8">
        <v>635</v>
      </c>
      <c r="B636" s="8" t="str">
        <f>'Criaturas - Base de Dados'!B107</f>
        <v>Forja Ígnea</v>
      </c>
      <c r="C636" s="8" t="str">
        <f>'Criaturas - Base de Dados'!C107</f>
        <v>Fogo</v>
      </c>
      <c r="D636" s="8" t="str">
        <f>'Criaturas - Base de Dados'!D107</f>
        <v>Dáemon Vulcânico</v>
      </c>
      <c r="E636" s="8" t="str">
        <f>'Sistema de Raridade e Evolução'!B6</f>
        <v>Platina</v>
      </c>
      <c r="F636" s="9">
        <f>ROUND(('Criaturas - Base de Dados'!H107*'Sistema de Raridade e Evolução'!E6)*1000,2)</f>
        <v>900000</v>
      </c>
      <c r="G636" s="8">
        <f>ROUND('Criaturas - Base de Dados'!I107*'Sistema de Raridade e Evolução'!E6,0)</f>
        <v>550</v>
      </c>
      <c r="H636" s="8">
        <f>ROUND('Criaturas - Base de Dados'!J107*'Sistema de Raridade e Evolução'!E6,0)</f>
        <v>450</v>
      </c>
      <c r="I636" s="8">
        <f>ROUND('Criaturas - Base de Dados'!K107*'Sistema de Raridade e Evolução'!E6,0)</f>
        <v>2900</v>
      </c>
      <c r="J636" s="8">
        <f>'Sistema de Raridade e Evolução'!D6</f>
        <v>56</v>
      </c>
      <c r="K636" s="8" t="s">
        <v>12</v>
      </c>
      <c r="L636" s="9">
        <f t="shared" si="9"/>
        <v>2142857.14</v>
      </c>
    </row>
    <row r="637" spans="1:12" ht="14.25" hidden="1" customHeight="1" x14ac:dyDescent="0.3">
      <c r="A637" s="8">
        <v>636</v>
      </c>
      <c r="B637" s="8" t="str">
        <f>'Criaturas - Base de Dados'!B107</f>
        <v>Forja Ígnea</v>
      </c>
      <c r="C637" s="8" t="str">
        <f>'Criaturas - Base de Dados'!C107</f>
        <v>Fogo</v>
      </c>
      <c r="D637" s="8" t="str">
        <f>'Criaturas - Base de Dados'!D107</f>
        <v>Dáemon Vulcânico</v>
      </c>
      <c r="E637" s="8" t="str">
        <f>'Sistema de Raridade e Evolução'!B7</f>
        <v>Lendário</v>
      </c>
      <c r="F637" s="9">
        <f>ROUND(('Criaturas - Base de Dados'!H107*'Sistema de Raridade e Evolução'!E7)*1000,2)</f>
        <v>2700000</v>
      </c>
      <c r="G637" s="8">
        <f>ROUND('Criaturas - Base de Dados'!I107*'Sistema de Raridade e Evolução'!E7,0)</f>
        <v>1650</v>
      </c>
      <c r="H637" s="8">
        <f>ROUND('Criaturas - Base de Dados'!J107*'Sistema de Raridade e Evolução'!E7,0)</f>
        <v>1350</v>
      </c>
      <c r="I637" s="8">
        <f>ROUND('Criaturas - Base de Dados'!K107*'Sistema de Raridade e Evolução'!E7,0)</f>
        <v>8700</v>
      </c>
      <c r="J637" s="8">
        <f>'Sistema de Raridade e Evolução'!D7</f>
        <v>91</v>
      </c>
      <c r="K637" s="8" t="s">
        <v>925</v>
      </c>
      <c r="L637" s="9">
        <f t="shared" si="9"/>
        <v>6428571.4299999997</v>
      </c>
    </row>
    <row r="638" spans="1:12" ht="14.25" customHeight="1" x14ac:dyDescent="0.3">
      <c r="A638" s="8">
        <v>637</v>
      </c>
      <c r="B638" s="8" t="str">
        <f>'Criaturas - Base de Dados'!B108</f>
        <v>Forja Ígnea</v>
      </c>
      <c r="C638" s="8" t="str">
        <f>'Criaturas - Base de Dados'!C108</f>
        <v>Fogo</v>
      </c>
      <c r="D638" s="8" t="str">
        <f>'Criaturas - Base de Dados'!D108</f>
        <v>Dracaena Flamejante</v>
      </c>
      <c r="E638" s="8" t="str">
        <f>'Sistema de Raridade e Evolução'!B2</f>
        <v>Default</v>
      </c>
      <c r="F638" s="9" t="e">
        <f>ROUND(('Criaturas - Base de Dados'!H108*'Sistema de Raridade e Evolução'!E2)*1000,2)</f>
        <v>#VALUE!</v>
      </c>
      <c r="G638" s="8" t="e">
        <f>ROUND('Criaturas - Base de Dados'!I108*'Sistema de Raridade e Evolução'!E2,0)</f>
        <v>#VALUE!</v>
      </c>
      <c r="H638" s="8" t="e">
        <f>ROUND('Criaturas - Base de Dados'!J108*'Sistema de Raridade e Evolução'!E2,0)</f>
        <v>#VALUE!</v>
      </c>
      <c r="I638" s="8" t="e">
        <f>ROUND('Criaturas - Base de Dados'!K108*'Sistema de Raridade e Evolução'!E2,0)</f>
        <v>#VALUE!</v>
      </c>
      <c r="J638" s="8">
        <f>'Sistema de Raridade e Evolução'!D2</f>
        <v>1</v>
      </c>
      <c r="K638" s="8" t="s">
        <v>8</v>
      </c>
      <c r="L638" s="9" t="e">
        <f t="shared" si="9"/>
        <v>#VALUE!</v>
      </c>
    </row>
    <row r="639" spans="1:12" ht="14.25" hidden="1" customHeight="1" x14ac:dyDescent="0.3">
      <c r="A639" s="8">
        <v>638</v>
      </c>
      <c r="B639" s="8" t="str">
        <f>'Criaturas - Base de Dados'!B108</f>
        <v>Forja Ígnea</v>
      </c>
      <c r="C639" s="8" t="str">
        <f>'Criaturas - Base de Dados'!C108</f>
        <v>Fogo</v>
      </c>
      <c r="D639" s="8" t="str">
        <f>'Criaturas - Base de Dados'!D108</f>
        <v>Dracaena Flamejante</v>
      </c>
      <c r="E639" s="8" t="str">
        <f>'Sistema de Raridade e Evolução'!B3</f>
        <v>Bronze</v>
      </c>
      <c r="F639" s="9">
        <f>ROUND(('Criaturas - Base de Dados'!H108*'Sistema de Raridade e Evolução'!E3)*1000,2)</f>
        <v>20000</v>
      </c>
      <c r="G639" s="8">
        <f>ROUND('Criaturas - Base de Dados'!I108*'Sistema de Raridade e Evolução'!E3,0)</f>
        <v>12</v>
      </c>
      <c r="H639" s="8">
        <f>ROUND('Criaturas - Base de Dados'!J108*'Sistema de Raridade e Evolução'!E3,0)</f>
        <v>10</v>
      </c>
      <c r="I639" s="8">
        <f>ROUND('Criaturas - Base de Dados'!K108*'Sistema de Raridade e Evolução'!E3,0)</f>
        <v>64</v>
      </c>
      <c r="J639" s="8">
        <f>'Sistema de Raridade e Evolução'!D3</f>
        <v>6</v>
      </c>
      <c r="K639" s="8" t="s">
        <v>9</v>
      </c>
      <c r="L639" s="9">
        <f t="shared" si="9"/>
        <v>47619.05</v>
      </c>
    </row>
    <row r="640" spans="1:12" ht="14.25" hidden="1" customHeight="1" x14ac:dyDescent="0.3">
      <c r="A640" s="8">
        <v>639</v>
      </c>
      <c r="B640" s="8" t="str">
        <f>'Criaturas - Base de Dados'!B108</f>
        <v>Forja Ígnea</v>
      </c>
      <c r="C640" s="8" t="str">
        <f>'Criaturas - Base de Dados'!C108</f>
        <v>Fogo</v>
      </c>
      <c r="D640" s="8" t="str">
        <f>'Criaturas - Base de Dados'!D108</f>
        <v>Dracaena Flamejante</v>
      </c>
      <c r="E640" s="8" t="str">
        <f>'Sistema de Raridade e Evolução'!B4</f>
        <v>Prata</v>
      </c>
      <c r="F640" s="9">
        <f>ROUND(('Criaturas - Base de Dados'!H108*'Sistema de Raridade e Evolução'!E4)*1000,2)</f>
        <v>120000</v>
      </c>
      <c r="G640" s="8">
        <f>ROUND('Criaturas - Base de Dados'!I108*'Sistema de Raridade e Evolução'!E4,0)</f>
        <v>72</v>
      </c>
      <c r="H640" s="8">
        <f>ROUND('Criaturas - Base de Dados'!J108*'Sistema de Raridade e Evolução'!E4,0)</f>
        <v>60</v>
      </c>
      <c r="I640" s="8">
        <f>ROUND('Criaturas - Base de Dados'!K108*'Sistema de Raridade e Evolução'!E4,0)</f>
        <v>384</v>
      </c>
      <c r="J640" s="8">
        <f>'Sistema de Raridade e Evolução'!D4</f>
        <v>16</v>
      </c>
      <c r="K640" s="8" t="s">
        <v>10</v>
      </c>
      <c r="L640" s="9">
        <f t="shared" si="9"/>
        <v>285714.28999999998</v>
      </c>
    </row>
    <row r="641" spans="1:12" ht="14.25" hidden="1" customHeight="1" x14ac:dyDescent="0.3">
      <c r="A641" s="8">
        <v>640</v>
      </c>
      <c r="B641" s="8" t="str">
        <f>'Criaturas - Base de Dados'!B108</f>
        <v>Forja Ígnea</v>
      </c>
      <c r="C641" s="8" t="str">
        <f>'Criaturas - Base de Dados'!C108</f>
        <v>Fogo</v>
      </c>
      <c r="D641" s="8" t="str">
        <f>'Criaturas - Base de Dados'!D108</f>
        <v>Dracaena Flamejante</v>
      </c>
      <c r="E641" s="8" t="str">
        <f>'Sistema de Raridade e Evolução'!B5</f>
        <v>Ouro</v>
      </c>
      <c r="F641" s="9">
        <f>ROUND(('Criaturas - Base de Dados'!H108*'Sistema de Raridade e Evolução'!E5)*1000,2)</f>
        <v>360000</v>
      </c>
      <c r="G641" s="8">
        <f>ROUND('Criaturas - Base de Dados'!I108*'Sistema de Raridade e Evolução'!E5,0)</f>
        <v>216</v>
      </c>
      <c r="H641" s="8">
        <f>ROUND('Criaturas - Base de Dados'!J108*'Sistema de Raridade e Evolução'!E5,0)</f>
        <v>180</v>
      </c>
      <c r="I641" s="8">
        <f>ROUND('Criaturas - Base de Dados'!K108*'Sistema de Raridade e Evolução'!E5,0)</f>
        <v>1152</v>
      </c>
      <c r="J641" s="8">
        <f>'Sistema de Raridade e Evolução'!D5</f>
        <v>31</v>
      </c>
      <c r="K641" s="8" t="s">
        <v>11</v>
      </c>
      <c r="L641" s="9">
        <f t="shared" si="9"/>
        <v>857142.86</v>
      </c>
    </row>
    <row r="642" spans="1:12" ht="14.25" hidden="1" customHeight="1" x14ac:dyDescent="0.3">
      <c r="A642" s="8">
        <v>641</v>
      </c>
      <c r="B642" s="8" t="str">
        <f>'Criaturas - Base de Dados'!B108</f>
        <v>Forja Ígnea</v>
      </c>
      <c r="C642" s="8" t="str">
        <f>'Criaturas - Base de Dados'!C108</f>
        <v>Fogo</v>
      </c>
      <c r="D642" s="8" t="str">
        <f>'Criaturas - Base de Dados'!D108</f>
        <v>Dracaena Flamejante</v>
      </c>
      <c r="E642" s="8" t="str">
        <f>'Sistema de Raridade e Evolução'!B6</f>
        <v>Platina</v>
      </c>
      <c r="F642" s="9">
        <f>ROUND(('Criaturas - Base de Dados'!H108*'Sistema de Raridade e Evolução'!E6)*1000,2)</f>
        <v>1000000</v>
      </c>
      <c r="G642" s="8">
        <f>ROUND('Criaturas - Base de Dados'!I108*'Sistema de Raridade e Evolução'!E6,0)</f>
        <v>600</v>
      </c>
      <c r="H642" s="8">
        <f>ROUND('Criaturas - Base de Dados'!J108*'Sistema de Raridade e Evolução'!E6,0)</f>
        <v>500</v>
      </c>
      <c r="I642" s="8">
        <f>ROUND('Criaturas - Base de Dados'!K108*'Sistema de Raridade e Evolução'!E6,0)</f>
        <v>3200</v>
      </c>
      <c r="J642" s="8">
        <f>'Sistema de Raridade e Evolução'!D6</f>
        <v>56</v>
      </c>
      <c r="K642" s="8" t="s">
        <v>12</v>
      </c>
      <c r="L642" s="9">
        <f t="shared" ref="L642:L705" si="10">ROUND(F642*(2.5/1.05),2)</f>
        <v>2380952.38</v>
      </c>
    </row>
    <row r="643" spans="1:12" ht="14.25" hidden="1" customHeight="1" x14ac:dyDescent="0.3">
      <c r="A643" s="8">
        <v>642</v>
      </c>
      <c r="B643" s="8" t="str">
        <f>'Criaturas - Base de Dados'!B108</f>
        <v>Forja Ígnea</v>
      </c>
      <c r="C643" s="8" t="str">
        <f>'Criaturas - Base de Dados'!C108</f>
        <v>Fogo</v>
      </c>
      <c r="D643" s="8" t="str">
        <f>'Criaturas - Base de Dados'!D108</f>
        <v>Dracaena Flamejante</v>
      </c>
      <c r="E643" s="8" t="str">
        <f>'Sistema de Raridade e Evolução'!B7</f>
        <v>Lendário</v>
      </c>
      <c r="F643" s="9">
        <f>ROUND(('Criaturas - Base de Dados'!H108*'Sistema de Raridade e Evolução'!E7)*1000,2)</f>
        <v>3000000</v>
      </c>
      <c r="G643" s="8">
        <f>ROUND('Criaturas - Base de Dados'!I108*'Sistema de Raridade e Evolução'!E7,0)</f>
        <v>1800</v>
      </c>
      <c r="H643" s="8">
        <f>ROUND('Criaturas - Base de Dados'!J108*'Sistema de Raridade e Evolução'!E7,0)</f>
        <v>1500</v>
      </c>
      <c r="I643" s="8">
        <f>ROUND('Criaturas - Base de Dados'!K108*'Sistema de Raridade e Evolução'!E7,0)</f>
        <v>9600</v>
      </c>
      <c r="J643" s="8">
        <f>'Sistema de Raridade e Evolução'!D7</f>
        <v>91</v>
      </c>
      <c r="K643" s="8" t="s">
        <v>925</v>
      </c>
      <c r="L643" s="9">
        <f t="shared" si="10"/>
        <v>7142857.1399999997</v>
      </c>
    </row>
    <row r="644" spans="1:12" ht="14.25" customHeight="1" x14ac:dyDescent="0.3">
      <c r="A644" s="8">
        <v>643</v>
      </c>
      <c r="B644" s="8" t="str">
        <f>'Criaturas - Base de Dados'!B109</f>
        <v>Forja Ígnea</v>
      </c>
      <c r="C644" s="8" t="str">
        <f>'Criaturas - Base de Dados'!C109</f>
        <v>Fogo</v>
      </c>
      <c r="D644" s="8" t="str">
        <f>'Criaturas - Base de Dados'!D109</f>
        <v>Dragão Galês da Chama (Y Ddraig Goch)</v>
      </c>
      <c r="E644" s="8" t="str">
        <f>'Sistema de Raridade e Evolução'!B2</f>
        <v>Default</v>
      </c>
      <c r="F644" s="9" t="e">
        <f>ROUND(('Criaturas - Base de Dados'!H109*'Sistema de Raridade e Evolução'!E2)*1000,2)</f>
        <v>#VALUE!</v>
      </c>
      <c r="G644" s="8" t="e">
        <f>ROUND('Criaturas - Base de Dados'!I109*'Sistema de Raridade e Evolução'!E2,0)</f>
        <v>#VALUE!</v>
      </c>
      <c r="H644" s="8" t="e">
        <f>ROUND('Criaturas - Base de Dados'!J109*'Sistema de Raridade e Evolução'!E2,0)</f>
        <v>#VALUE!</v>
      </c>
      <c r="I644" s="8" t="e">
        <f>ROUND('Criaturas - Base de Dados'!K109*'Sistema de Raridade e Evolução'!E2,0)</f>
        <v>#VALUE!</v>
      </c>
      <c r="J644" s="8">
        <f>'Sistema de Raridade e Evolução'!D2</f>
        <v>1</v>
      </c>
      <c r="K644" s="8" t="s">
        <v>8</v>
      </c>
      <c r="L644" s="9" t="e">
        <f t="shared" si="10"/>
        <v>#VALUE!</v>
      </c>
    </row>
    <row r="645" spans="1:12" ht="14.25" hidden="1" customHeight="1" x14ac:dyDescent="0.3">
      <c r="A645" s="8">
        <v>644</v>
      </c>
      <c r="B645" s="8" t="str">
        <f>'Criaturas - Base de Dados'!B109</f>
        <v>Forja Ígnea</v>
      </c>
      <c r="C645" s="8" t="str">
        <f>'Criaturas - Base de Dados'!C109</f>
        <v>Fogo</v>
      </c>
      <c r="D645" s="8" t="str">
        <f>'Criaturas - Base de Dados'!D109</f>
        <v>Dragão Galês da Chama (Y Ddraig Goch)</v>
      </c>
      <c r="E645" s="8" t="str">
        <f>'Sistema de Raridade e Evolução'!B3</f>
        <v>Bronze</v>
      </c>
      <c r="F645" s="9">
        <f>ROUND(('Criaturas - Base de Dados'!H109*'Sistema de Raridade e Evolução'!E3)*1000,2)</f>
        <v>22000</v>
      </c>
      <c r="G645" s="8">
        <f>ROUND('Criaturas - Base de Dados'!I109*'Sistema de Raridade e Evolução'!E3,0)</f>
        <v>13</v>
      </c>
      <c r="H645" s="8">
        <f>ROUND('Criaturas - Base de Dados'!J109*'Sistema de Raridade e Evolução'!E3,0)</f>
        <v>11</v>
      </c>
      <c r="I645" s="8">
        <f>ROUND('Criaturas - Base de Dados'!K109*'Sistema de Raridade e Evolução'!E3,0)</f>
        <v>70</v>
      </c>
      <c r="J645" s="8">
        <f>'Sistema de Raridade e Evolução'!D3</f>
        <v>6</v>
      </c>
      <c r="K645" s="8" t="s">
        <v>9</v>
      </c>
      <c r="L645" s="9">
        <f t="shared" si="10"/>
        <v>52380.95</v>
      </c>
    </row>
    <row r="646" spans="1:12" ht="14.25" hidden="1" customHeight="1" x14ac:dyDescent="0.3">
      <c r="A646" s="8">
        <v>645</v>
      </c>
      <c r="B646" s="8" t="str">
        <f>'Criaturas - Base de Dados'!B109</f>
        <v>Forja Ígnea</v>
      </c>
      <c r="C646" s="8" t="str">
        <f>'Criaturas - Base de Dados'!C109</f>
        <v>Fogo</v>
      </c>
      <c r="D646" s="8" t="str">
        <f>'Criaturas - Base de Dados'!D109</f>
        <v>Dragão Galês da Chama (Y Ddraig Goch)</v>
      </c>
      <c r="E646" s="8" t="str">
        <f>'Sistema de Raridade e Evolução'!B4</f>
        <v>Prata</v>
      </c>
      <c r="F646" s="9">
        <f>ROUND(('Criaturas - Base de Dados'!H109*'Sistema de Raridade e Evolução'!E4)*1000,2)</f>
        <v>132000</v>
      </c>
      <c r="G646" s="8">
        <f>ROUND('Criaturas - Base de Dados'!I109*'Sistema de Raridade e Evolução'!E4,0)</f>
        <v>78</v>
      </c>
      <c r="H646" s="8">
        <f>ROUND('Criaturas - Base de Dados'!J109*'Sistema de Raridade e Evolução'!E4,0)</f>
        <v>66</v>
      </c>
      <c r="I646" s="8">
        <f>ROUND('Criaturas - Base de Dados'!K109*'Sistema de Raridade e Evolução'!E4,0)</f>
        <v>420</v>
      </c>
      <c r="J646" s="8">
        <f>'Sistema de Raridade e Evolução'!D4</f>
        <v>16</v>
      </c>
      <c r="K646" s="8" t="s">
        <v>10</v>
      </c>
      <c r="L646" s="9">
        <f t="shared" si="10"/>
        <v>314285.71000000002</v>
      </c>
    </row>
    <row r="647" spans="1:12" ht="14.25" hidden="1" customHeight="1" x14ac:dyDescent="0.3">
      <c r="A647" s="8">
        <v>646</v>
      </c>
      <c r="B647" s="8" t="str">
        <f>'Criaturas - Base de Dados'!B109</f>
        <v>Forja Ígnea</v>
      </c>
      <c r="C647" s="8" t="str">
        <f>'Criaturas - Base de Dados'!C109</f>
        <v>Fogo</v>
      </c>
      <c r="D647" s="8" t="str">
        <f>'Criaturas - Base de Dados'!D109</f>
        <v>Dragão Galês da Chama (Y Ddraig Goch)</v>
      </c>
      <c r="E647" s="8" t="str">
        <f>'Sistema de Raridade e Evolução'!B5</f>
        <v>Ouro</v>
      </c>
      <c r="F647" s="9">
        <f>ROUND(('Criaturas - Base de Dados'!H109*'Sistema de Raridade e Evolução'!E5)*1000,2)</f>
        <v>396000</v>
      </c>
      <c r="G647" s="8">
        <f>ROUND('Criaturas - Base de Dados'!I109*'Sistema de Raridade e Evolução'!E5,0)</f>
        <v>234</v>
      </c>
      <c r="H647" s="8">
        <f>ROUND('Criaturas - Base de Dados'!J109*'Sistema de Raridade e Evolução'!E5,0)</f>
        <v>198</v>
      </c>
      <c r="I647" s="8">
        <f>ROUND('Criaturas - Base de Dados'!K109*'Sistema de Raridade e Evolução'!E5,0)</f>
        <v>1260</v>
      </c>
      <c r="J647" s="8">
        <f>'Sistema de Raridade e Evolução'!D5</f>
        <v>31</v>
      </c>
      <c r="K647" s="8" t="s">
        <v>11</v>
      </c>
      <c r="L647" s="9">
        <f t="shared" si="10"/>
        <v>942857.14</v>
      </c>
    </row>
    <row r="648" spans="1:12" ht="14.25" hidden="1" customHeight="1" x14ac:dyDescent="0.3">
      <c r="A648" s="8">
        <v>647</v>
      </c>
      <c r="B648" s="8" t="str">
        <f>'Criaturas - Base de Dados'!B109</f>
        <v>Forja Ígnea</v>
      </c>
      <c r="C648" s="8" t="str">
        <f>'Criaturas - Base de Dados'!C109</f>
        <v>Fogo</v>
      </c>
      <c r="D648" s="8" t="str">
        <f>'Criaturas - Base de Dados'!D109</f>
        <v>Dragão Galês da Chama (Y Ddraig Goch)</v>
      </c>
      <c r="E648" s="8" t="str">
        <f>'Sistema de Raridade e Evolução'!B6</f>
        <v>Platina</v>
      </c>
      <c r="F648" s="9">
        <f>ROUND(('Criaturas - Base de Dados'!H109*'Sistema de Raridade e Evolução'!E6)*1000,2)</f>
        <v>1100000</v>
      </c>
      <c r="G648" s="8">
        <f>ROUND('Criaturas - Base de Dados'!I109*'Sistema de Raridade e Evolução'!E6,0)</f>
        <v>650</v>
      </c>
      <c r="H648" s="8">
        <f>ROUND('Criaturas - Base de Dados'!J109*'Sistema de Raridade e Evolução'!E6,0)</f>
        <v>550</v>
      </c>
      <c r="I648" s="8">
        <f>ROUND('Criaturas - Base de Dados'!K109*'Sistema de Raridade e Evolução'!E6,0)</f>
        <v>3500</v>
      </c>
      <c r="J648" s="8">
        <f>'Sistema de Raridade e Evolução'!D6</f>
        <v>56</v>
      </c>
      <c r="K648" s="8" t="s">
        <v>12</v>
      </c>
      <c r="L648" s="9">
        <f t="shared" si="10"/>
        <v>2619047.62</v>
      </c>
    </row>
    <row r="649" spans="1:12" ht="14.25" hidden="1" customHeight="1" x14ac:dyDescent="0.3">
      <c r="A649" s="8">
        <v>648</v>
      </c>
      <c r="B649" s="8" t="str">
        <f>'Criaturas - Base de Dados'!B109</f>
        <v>Forja Ígnea</v>
      </c>
      <c r="C649" s="8" t="str">
        <f>'Criaturas - Base de Dados'!C109</f>
        <v>Fogo</v>
      </c>
      <c r="D649" s="8" t="str">
        <f>'Criaturas - Base de Dados'!D109</f>
        <v>Dragão Galês da Chama (Y Ddraig Goch)</v>
      </c>
      <c r="E649" s="8" t="str">
        <f>'Sistema de Raridade e Evolução'!B7</f>
        <v>Lendário</v>
      </c>
      <c r="F649" s="9">
        <f>ROUND(('Criaturas - Base de Dados'!H109*'Sistema de Raridade e Evolução'!E7)*1000,2)</f>
        <v>3300000</v>
      </c>
      <c r="G649" s="8">
        <f>ROUND('Criaturas - Base de Dados'!I109*'Sistema de Raridade e Evolução'!E7,0)</f>
        <v>1950</v>
      </c>
      <c r="H649" s="8">
        <f>ROUND('Criaturas - Base de Dados'!J109*'Sistema de Raridade e Evolução'!E7,0)</f>
        <v>1650</v>
      </c>
      <c r="I649" s="8">
        <f>ROUND('Criaturas - Base de Dados'!K109*'Sistema de Raridade e Evolução'!E7,0)</f>
        <v>10500</v>
      </c>
      <c r="J649" s="8">
        <f>'Sistema de Raridade e Evolução'!D7</f>
        <v>91</v>
      </c>
      <c r="K649" s="8" t="s">
        <v>925</v>
      </c>
      <c r="L649" s="9">
        <f t="shared" si="10"/>
        <v>7857142.8600000003</v>
      </c>
    </row>
    <row r="650" spans="1:12" ht="14.25" customHeight="1" x14ac:dyDescent="0.3">
      <c r="A650" s="8">
        <v>649</v>
      </c>
      <c r="B650" s="8" t="str">
        <f>'Criaturas - Base de Dados'!B110</f>
        <v>Forja Ígnea</v>
      </c>
      <c r="C650" s="8" t="str">
        <f>'Criaturas - Base de Dados'!C110</f>
        <v>Fogo</v>
      </c>
      <c r="D650" s="8" t="str">
        <f>'Criaturas - Base de Dados'!D110</f>
        <v>Ave-Sol Flamejante</v>
      </c>
      <c r="E650" s="8" t="str">
        <f>'Sistema de Raridade e Evolução'!B2</f>
        <v>Default</v>
      </c>
      <c r="F650" s="9" t="e">
        <f>ROUND(('Criaturas - Base de Dados'!H110*'Sistema de Raridade e Evolução'!E2)*1000,2)</f>
        <v>#VALUE!</v>
      </c>
      <c r="G650" s="8" t="e">
        <f>ROUND('Criaturas - Base de Dados'!I110*'Sistema de Raridade e Evolução'!E2,0)</f>
        <v>#VALUE!</v>
      </c>
      <c r="H650" s="8" t="e">
        <f>ROUND('Criaturas - Base de Dados'!J110*'Sistema de Raridade e Evolução'!E2,0)</f>
        <v>#VALUE!</v>
      </c>
      <c r="I650" s="8" t="e">
        <f>ROUND('Criaturas - Base de Dados'!K110*'Sistema de Raridade e Evolução'!E2,0)</f>
        <v>#VALUE!</v>
      </c>
      <c r="J650" s="8">
        <f>'Sistema de Raridade e Evolução'!D2</f>
        <v>1</v>
      </c>
      <c r="K650" s="8" t="s">
        <v>8</v>
      </c>
      <c r="L650" s="9" t="e">
        <f t="shared" si="10"/>
        <v>#VALUE!</v>
      </c>
    </row>
    <row r="651" spans="1:12" ht="14.25" hidden="1" customHeight="1" x14ac:dyDescent="0.3">
      <c r="A651" s="8">
        <v>650</v>
      </c>
      <c r="B651" s="8" t="str">
        <f>'Criaturas - Base de Dados'!B110</f>
        <v>Forja Ígnea</v>
      </c>
      <c r="C651" s="8" t="str">
        <f>'Criaturas - Base de Dados'!C110</f>
        <v>Fogo</v>
      </c>
      <c r="D651" s="8" t="str">
        <f>'Criaturas - Base de Dados'!D110</f>
        <v>Ave-Sol Flamejante</v>
      </c>
      <c r="E651" s="8" t="str">
        <f>'Sistema de Raridade e Evolução'!B3</f>
        <v>Bronze</v>
      </c>
      <c r="F651" s="9">
        <f>ROUND(('Criaturas - Base de Dados'!H110*'Sistema de Raridade e Evolução'!E3)*1000,2)</f>
        <v>24000</v>
      </c>
      <c r="G651" s="8">
        <f>ROUND('Criaturas - Base de Dados'!I110*'Sistema de Raridade e Evolução'!E3,0)</f>
        <v>14</v>
      </c>
      <c r="H651" s="8">
        <f>ROUND('Criaturas - Base de Dados'!J110*'Sistema de Raridade e Evolução'!E3,0)</f>
        <v>12</v>
      </c>
      <c r="I651" s="8">
        <f>ROUND('Criaturas - Base de Dados'!K110*'Sistema de Raridade e Evolução'!E3,0)</f>
        <v>77</v>
      </c>
      <c r="J651" s="8">
        <f>'Sistema de Raridade e Evolução'!D3</f>
        <v>6</v>
      </c>
      <c r="K651" s="8" t="s">
        <v>9</v>
      </c>
      <c r="L651" s="9">
        <f t="shared" si="10"/>
        <v>57142.86</v>
      </c>
    </row>
    <row r="652" spans="1:12" ht="14.25" hidden="1" customHeight="1" x14ac:dyDescent="0.3">
      <c r="A652" s="8">
        <v>651</v>
      </c>
      <c r="B652" s="8" t="str">
        <f>'Criaturas - Base de Dados'!B110</f>
        <v>Forja Ígnea</v>
      </c>
      <c r="C652" s="8" t="str">
        <f>'Criaturas - Base de Dados'!C110</f>
        <v>Fogo</v>
      </c>
      <c r="D652" s="8" t="str">
        <f>'Criaturas - Base de Dados'!D110</f>
        <v>Ave-Sol Flamejante</v>
      </c>
      <c r="E652" s="8" t="str">
        <f>'Sistema de Raridade e Evolução'!B4</f>
        <v>Prata</v>
      </c>
      <c r="F652" s="9">
        <f>ROUND(('Criaturas - Base de Dados'!H110*'Sistema de Raridade e Evolução'!E4)*1000,2)</f>
        <v>144000</v>
      </c>
      <c r="G652" s="8">
        <f>ROUND('Criaturas - Base de Dados'!I110*'Sistema de Raridade e Evolução'!E4,0)</f>
        <v>84</v>
      </c>
      <c r="H652" s="8">
        <f>ROUND('Criaturas - Base de Dados'!J110*'Sistema de Raridade e Evolução'!E4,0)</f>
        <v>72</v>
      </c>
      <c r="I652" s="8">
        <f>ROUND('Criaturas - Base de Dados'!K110*'Sistema de Raridade e Evolução'!E4,0)</f>
        <v>462</v>
      </c>
      <c r="J652" s="8">
        <f>'Sistema de Raridade e Evolução'!D4</f>
        <v>16</v>
      </c>
      <c r="K652" s="8" t="s">
        <v>10</v>
      </c>
      <c r="L652" s="9">
        <f t="shared" si="10"/>
        <v>342857.14</v>
      </c>
    </row>
    <row r="653" spans="1:12" ht="14.25" hidden="1" customHeight="1" x14ac:dyDescent="0.3">
      <c r="A653" s="8">
        <v>652</v>
      </c>
      <c r="B653" s="8" t="str">
        <f>'Criaturas - Base de Dados'!B110</f>
        <v>Forja Ígnea</v>
      </c>
      <c r="C653" s="8" t="str">
        <f>'Criaturas - Base de Dados'!C110</f>
        <v>Fogo</v>
      </c>
      <c r="D653" s="8" t="str">
        <f>'Criaturas - Base de Dados'!D110</f>
        <v>Ave-Sol Flamejante</v>
      </c>
      <c r="E653" s="8" t="str">
        <f>'Sistema de Raridade e Evolução'!B5</f>
        <v>Ouro</v>
      </c>
      <c r="F653" s="9">
        <f>ROUND(('Criaturas - Base de Dados'!H110*'Sistema de Raridade e Evolução'!E5)*1000,2)</f>
        <v>432000</v>
      </c>
      <c r="G653" s="8">
        <f>ROUND('Criaturas - Base de Dados'!I110*'Sistema de Raridade e Evolução'!E5,0)</f>
        <v>252</v>
      </c>
      <c r="H653" s="8">
        <f>ROUND('Criaturas - Base de Dados'!J110*'Sistema de Raridade e Evolução'!E5,0)</f>
        <v>216</v>
      </c>
      <c r="I653" s="8">
        <f>ROUND('Criaturas - Base de Dados'!K110*'Sistema de Raridade e Evolução'!E5,0)</f>
        <v>1386</v>
      </c>
      <c r="J653" s="8">
        <f>'Sistema de Raridade e Evolução'!D5</f>
        <v>31</v>
      </c>
      <c r="K653" s="8" t="s">
        <v>11</v>
      </c>
      <c r="L653" s="9">
        <f t="shared" si="10"/>
        <v>1028571.43</v>
      </c>
    </row>
    <row r="654" spans="1:12" ht="14.25" hidden="1" customHeight="1" x14ac:dyDescent="0.3">
      <c r="A654" s="8">
        <v>653</v>
      </c>
      <c r="B654" s="8" t="str">
        <f>'Criaturas - Base de Dados'!B110</f>
        <v>Forja Ígnea</v>
      </c>
      <c r="C654" s="8" t="str">
        <f>'Criaturas - Base de Dados'!C110</f>
        <v>Fogo</v>
      </c>
      <c r="D654" s="8" t="str">
        <f>'Criaturas - Base de Dados'!D110</f>
        <v>Ave-Sol Flamejante</v>
      </c>
      <c r="E654" s="8" t="str">
        <f>'Sistema de Raridade e Evolução'!B6</f>
        <v>Platina</v>
      </c>
      <c r="F654" s="9">
        <f>ROUND(('Criaturas - Base de Dados'!H110*'Sistema de Raridade e Evolução'!E6)*1000,2)</f>
        <v>1200000</v>
      </c>
      <c r="G654" s="8">
        <f>ROUND('Criaturas - Base de Dados'!I110*'Sistema de Raridade e Evolução'!E6,0)</f>
        <v>700</v>
      </c>
      <c r="H654" s="8">
        <f>ROUND('Criaturas - Base de Dados'!J110*'Sistema de Raridade e Evolução'!E6,0)</f>
        <v>600</v>
      </c>
      <c r="I654" s="8">
        <f>ROUND('Criaturas - Base de Dados'!K110*'Sistema de Raridade e Evolução'!E6,0)</f>
        <v>3850</v>
      </c>
      <c r="J654" s="8">
        <f>'Sistema de Raridade e Evolução'!D6</f>
        <v>56</v>
      </c>
      <c r="K654" s="8" t="s">
        <v>12</v>
      </c>
      <c r="L654" s="9">
        <f t="shared" si="10"/>
        <v>2857142.86</v>
      </c>
    </row>
    <row r="655" spans="1:12" ht="14.25" hidden="1" customHeight="1" x14ac:dyDescent="0.3">
      <c r="A655" s="8">
        <v>654</v>
      </c>
      <c r="B655" s="8" t="str">
        <f>'Criaturas - Base de Dados'!B110</f>
        <v>Forja Ígnea</v>
      </c>
      <c r="C655" s="8" t="str">
        <f>'Criaturas - Base de Dados'!C110</f>
        <v>Fogo</v>
      </c>
      <c r="D655" s="8" t="str">
        <f>'Criaturas - Base de Dados'!D110</f>
        <v>Ave-Sol Flamejante</v>
      </c>
      <c r="E655" s="8" t="str">
        <f>'Sistema de Raridade e Evolução'!B7</f>
        <v>Lendário</v>
      </c>
      <c r="F655" s="9">
        <f>ROUND(('Criaturas - Base de Dados'!H110*'Sistema de Raridade e Evolução'!E7)*1000,2)</f>
        <v>3600000</v>
      </c>
      <c r="G655" s="8">
        <f>ROUND('Criaturas - Base de Dados'!I110*'Sistema de Raridade e Evolução'!E7,0)</f>
        <v>2100</v>
      </c>
      <c r="H655" s="8">
        <f>ROUND('Criaturas - Base de Dados'!J110*'Sistema de Raridade e Evolução'!E7,0)</f>
        <v>1800</v>
      </c>
      <c r="I655" s="8">
        <f>ROUND('Criaturas - Base de Dados'!K110*'Sistema de Raridade e Evolução'!E7,0)</f>
        <v>11550</v>
      </c>
      <c r="J655" s="8">
        <f>'Sistema de Raridade e Evolução'!D7</f>
        <v>91</v>
      </c>
      <c r="K655" s="8" t="s">
        <v>925</v>
      </c>
      <c r="L655" s="9">
        <f t="shared" si="10"/>
        <v>8571428.5700000003</v>
      </c>
    </row>
    <row r="656" spans="1:12" ht="14.25" customHeight="1" x14ac:dyDescent="0.3">
      <c r="A656" s="8">
        <v>655</v>
      </c>
      <c r="B656" s="8" t="str">
        <f>'Criaturas - Base de Dados'!B111</f>
        <v>Forja Ígnea</v>
      </c>
      <c r="C656" s="8" t="str">
        <f>'Criaturas - Base de Dados'!C111</f>
        <v>Fogo</v>
      </c>
      <c r="D656" s="8" t="str">
        <f>'Criaturas - Base de Dados'!D111</f>
        <v>Espírito da Forja</v>
      </c>
      <c r="E656" s="8" t="str">
        <f>'Sistema de Raridade e Evolução'!B2</f>
        <v>Default</v>
      </c>
      <c r="F656" s="9" t="e">
        <f>ROUND(('Criaturas - Base de Dados'!H111*'Sistema de Raridade e Evolução'!E2)*1000,2)</f>
        <v>#VALUE!</v>
      </c>
      <c r="G656" s="8" t="e">
        <f>ROUND('Criaturas - Base de Dados'!I111*'Sistema de Raridade e Evolução'!E2,0)</f>
        <v>#VALUE!</v>
      </c>
      <c r="H656" s="8" t="e">
        <f>ROUND('Criaturas - Base de Dados'!J111*'Sistema de Raridade e Evolução'!E2,0)</f>
        <v>#VALUE!</v>
      </c>
      <c r="I656" s="8" t="e">
        <f>ROUND('Criaturas - Base de Dados'!K111*'Sistema de Raridade e Evolução'!E2,0)</f>
        <v>#VALUE!</v>
      </c>
      <c r="J656" s="8">
        <f>'Sistema de Raridade e Evolução'!D2</f>
        <v>1</v>
      </c>
      <c r="K656" s="8" t="s">
        <v>8</v>
      </c>
      <c r="L656" s="9" t="e">
        <f t="shared" si="10"/>
        <v>#VALUE!</v>
      </c>
    </row>
    <row r="657" spans="1:12" ht="14.25" hidden="1" customHeight="1" x14ac:dyDescent="0.3">
      <c r="A657" s="8">
        <v>656</v>
      </c>
      <c r="B657" s="8" t="str">
        <f>'Criaturas - Base de Dados'!B111</f>
        <v>Forja Ígnea</v>
      </c>
      <c r="C657" s="8" t="str">
        <f>'Criaturas - Base de Dados'!C111</f>
        <v>Fogo</v>
      </c>
      <c r="D657" s="8" t="str">
        <f>'Criaturas - Base de Dados'!D111</f>
        <v>Espírito da Forja</v>
      </c>
      <c r="E657" s="8" t="str">
        <f>'Sistema de Raridade e Evolução'!B3</f>
        <v>Bronze</v>
      </c>
      <c r="F657" s="9">
        <f>ROUND(('Criaturas - Base de Dados'!H111*'Sistema de Raridade e Evolução'!E3)*1000,2)</f>
        <v>26000</v>
      </c>
      <c r="G657" s="8">
        <f>ROUND('Criaturas - Base de Dados'!I111*'Sistema de Raridade e Evolução'!E3,0)</f>
        <v>16</v>
      </c>
      <c r="H657" s="8">
        <f>ROUND('Criaturas - Base de Dados'!J111*'Sistema de Raridade e Evolução'!E3,0)</f>
        <v>13</v>
      </c>
      <c r="I657" s="8">
        <f>ROUND('Criaturas - Base de Dados'!K111*'Sistema de Raridade e Evolução'!E3,0)</f>
        <v>83</v>
      </c>
      <c r="J657" s="8">
        <f>'Sistema de Raridade e Evolução'!D3</f>
        <v>6</v>
      </c>
      <c r="K657" s="8" t="s">
        <v>9</v>
      </c>
      <c r="L657" s="9">
        <f t="shared" si="10"/>
        <v>61904.76</v>
      </c>
    </row>
    <row r="658" spans="1:12" ht="14.25" hidden="1" customHeight="1" x14ac:dyDescent="0.3">
      <c r="A658" s="8">
        <v>657</v>
      </c>
      <c r="B658" s="8" t="str">
        <f>'Criaturas - Base de Dados'!B111</f>
        <v>Forja Ígnea</v>
      </c>
      <c r="C658" s="8" t="str">
        <f>'Criaturas - Base de Dados'!C111</f>
        <v>Fogo</v>
      </c>
      <c r="D658" s="8" t="str">
        <f>'Criaturas - Base de Dados'!D111</f>
        <v>Espírito da Forja</v>
      </c>
      <c r="E658" s="8" t="str">
        <f>'Sistema de Raridade e Evolução'!B4</f>
        <v>Prata</v>
      </c>
      <c r="F658" s="9">
        <f>ROUND(('Criaturas - Base de Dados'!H111*'Sistema de Raridade e Evolução'!E4)*1000,2)</f>
        <v>156000</v>
      </c>
      <c r="G658" s="8">
        <f>ROUND('Criaturas - Base de Dados'!I111*'Sistema de Raridade e Evolução'!E4,0)</f>
        <v>96</v>
      </c>
      <c r="H658" s="8">
        <f>ROUND('Criaturas - Base de Dados'!J111*'Sistema de Raridade e Evolução'!E4,0)</f>
        <v>78</v>
      </c>
      <c r="I658" s="8">
        <f>ROUND('Criaturas - Base de Dados'!K111*'Sistema de Raridade e Evolução'!E4,0)</f>
        <v>498</v>
      </c>
      <c r="J658" s="8">
        <f>'Sistema de Raridade e Evolução'!D4</f>
        <v>16</v>
      </c>
      <c r="K658" s="8" t="s">
        <v>10</v>
      </c>
      <c r="L658" s="9">
        <f t="shared" si="10"/>
        <v>371428.57</v>
      </c>
    </row>
    <row r="659" spans="1:12" ht="14.25" hidden="1" customHeight="1" x14ac:dyDescent="0.3">
      <c r="A659" s="8">
        <v>658</v>
      </c>
      <c r="B659" s="8" t="str">
        <f>'Criaturas - Base de Dados'!B111</f>
        <v>Forja Ígnea</v>
      </c>
      <c r="C659" s="8" t="str">
        <f>'Criaturas - Base de Dados'!C111</f>
        <v>Fogo</v>
      </c>
      <c r="D659" s="8" t="str">
        <f>'Criaturas - Base de Dados'!D111</f>
        <v>Espírito da Forja</v>
      </c>
      <c r="E659" s="8" t="str">
        <f>'Sistema de Raridade e Evolução'!B5</f>
        <v>Ouro</v>
      </c>
      <c r="F659" s="9">
        <f>ROUND(('Criaturas - Base de Dados'!H111*'Sistema de Raridade e Evolução'!E5)*1000,2)</f>
        <v>468000</v>
      </c>
      <c r="G659" s="8">
        <f>ROUND('Criaturas - Base de Dados'!I111*'Sistema de Raridade e Evolução'!E5,0)</f>
        <v>288</v>
      </c>
      <c r="H659" s="8">
        <f>ROUND('Criaturas - Base de Dados'!J111*'Sistema de Raridade e Evolução'!E5,0)</f>
        <v>234</v>
      </c>
      <c r="I659" s="8">
        <f>ROUND('Criaturas - Base de Dados'!K111*'Sistema de Raridade e Evolução'!E5,0)</f>
        <v>1494</v>
      </c>
      <c r="J659" s="8">
        <f>'Sistema de Raridade e Evolução'!D5</f>
        <v>31</v>
      </c>
      <c r="K659" s="8" t="s">
        <v>11</v>
      </c>
      <c r="L659" s="9">
        <f t="shared" si="10"/>
        <v>1114285.71</v>
      </c>
    </row>
    <row r="660" spans="1:12" ht="14.25" hidden="1" customHeight="1" x14ac:dyDescent="0.3">
      <c r="A660" s="8">
        <v>659</v>
      </c>
      <c r="B660" s="8" t="str">
        <f>'Criaturas - Base de Dados'!B111</f>
        <v>Forja Ígnea</v>
      </c>
      <c r="C660" s="8" t="str">
        <f>'Criaturas - Base de Dados'!C111</f>
        <v>Fogo</v>
      </c>
      <c r="D660" s="8" t="str">
        <f>'Criaturas - Base de Dados'!D111</f>
        <v>Espírito da Forja</v>
      </c>
      <c r="E660" s="8" t="str">
        <f>'Sistema de Raridade e Evolução'!B6</f>
        <v>Platina</v>
      </c>
      <c r="F660" s="9">
        <f>ROUND(('Criaturas - Base de Dados'!H111*'Sistema de Raridade e Evolução'!E6)*1000,2)</f>
        <v>1300000</v>
      </c>
      <c r="G660" s="8">
        <f>ROUND('Criaturas - Base de Dados'!I111*'Sistema de Raridade e Evolução'!E6,0)</f>
        <v>800</v>
      </c>
      <c r="H660" s="8">
        <f>ROUND('Criaturas - Base de Dados'!J111*'Sistema de Raridade e Evolução'!E6,0)</f>
        <v>650</v>
      </c>
      <c r="I660" s="8">
        <f>ROUND('Criaturas - Base de Dados'!K111*'Sistema de Raridade e Evolução'!E6,0)</f>
        <v>4150</v>
      </c>
      <c r="J660" s="8">
        <f>'Sistema de Raridade e Evolução'!D6</f>
        <v>56</v>
      </c>
      <c r="K660" s="8" t="s">
        <v>12</v>
      </c>
      <c r="L660" s="9">
        <f t="shared" si="10"/>
        <v>3095238.1</v>
      </c>
    </row>
    <row r="661" spans="1:12" ht="14.25" hidden="1" customHeight="1" x14ac:dyDescent="0.3">
      <c r="A661" s="8">
        <v>660</v>
      </c>
      <c r="B661" s="8" t="str">
        <f>'Criaturas - Base de Dados'!B111</f>
        <v>Forja Ígnea</v>
      </c>
      <c r="C661" s="8" t="str">
        <f>'Criaturas - Base de Dados'!C111</f>
        <v>Fogo</v>
      </c>
      <c r="D661" s="8" t="str">
        <f>'Criaturas - Base de Dados'!D111</f>
        <v>Espírito da Forja</v>
      </c>
      <c r="E661" s="8" t="str">
        <f>'Sistema de Raridade e Evolução'!B7</f>
        <v>Lendário</v>
      </c>
      <c r="F661" s="9">
        <f>ROUND(('Criaturas - Base de Dados'!H111*'Sistema de Raridade e Evolução'!E7)*1000,2)</f>
        <v>3900000</v>
      </c>
      <c r="G661" s="8">
        <f>ROUND('Criaturas - Base de Dados'!I111*'Sistema de Raridade e Evolução'!E7,0)</f>
        <v>2400</v>
      </c>
      <c r="H661" s="8">
        <f>ROUND('Criaturas - Base de Dados'!J111*'Sistema de Raridade e Evolução'!E7,0)</f>
        <v>1950</v>
      </c>
      <c r="I661" s="8">
        <f>ROUND('Criaturas - Base de Dados'!K111*'Sistema de Raridade e Evolução'!E7,0)</f>
        <v>12450</v>
      </c>
      <c r="J661" s="8">
        <f>'Sistema de Raridade e Evolução'!D7</f>
        <v>91</v>
      </c>
      <c r="K661" s="8" t="s">
        <v>925</v>
      </c>
      <c r="L661" s="9">
        <f t="shared" si="10"/>
        <v>9285714.2899999991</v>
      </c>
    </row>
    <row r="662" spans="1:12" ht="14.25" customHeight="1" x14ac:dyDescent="0.3">
      <c r="A662" s="8">
        <v>661</v>
      </c>
      <c r="B662" s="8" t="str">
        <f>'Criaturas - Base de Dados'!B112</f>
        <v>Forja Ígnea</v>
      </c>
      <c r="C662" s="8" t="str">
        <f>'Criaturas - Base de Dados'!C112</f>
        <v>Fogo</v>
      </c>
      <c r="D662" s="8" t="str">
        <f>'Criaturas - Base de Dados'!D112</f>
        <v>Djinn Ardente</v>
      </c>
      <c r="E662" s="8" t="str">
        <f>'Sistema de Raridade e Evolução'!B2</f>
        <v>Default</v>
      </c>
      <c r="F662" s="9" t="e">
        <f>ROUND(('Criaturas - Base de Dados'!H112*'Sistema de Raridade e Evolução'!E2)*1000,2)</f>
        <v>#VALUE!</v>
      </c>
      <c r="G662" s="8" t="e">
        <f>ROUND('Criaturas - Base de Dados'!I112*'Sistema de Raridade e Evolução'!E2,0)</f>
        <v>#VALUE!</v>
      </c>
      <c r="H662" s="8" t="e">
        <f>ROUND('Criaturas - Base de Dados'!J112*'Sistema de Raridade e Evolução'!E2,0)</f>
        <v>#VALUE!</v>
      </c>
      <c r="I662" s="8" t="e">
        <f>ROUND('Criaturas - Base de Dados'!K112*'Sistema de Raridade e Evolução'!E2,0)</f>
        <v>#VALUE!</v>
      </c>
      <c r="J662" s="8">
        <f>'Sistema de Raridade e Evolução'!D2</f>
        <v>1</v>
      </c>
      <c r="K662" s="8" t="s">
        <v>8</v>
      </c>
      <c r="L662" s="9" t="e">
        <f t="shared" si="10"/>
        <v>#VALUE!</v>
      </c>
    </row>
    <row r="663" spans="1:12" ht="14.25" hidden="1" customHeight="1" x14ac:dyDescent="0.3">
      <c r="A663" s="8">
        <v>662</v>
      </c>
      <c r="B663" s="8" t="str">
        <f>'Criaturas - Base de Dados'!B112</f>
        <v>Forja Ígnea</v>
      </c>
      <c r="C663" s="8" t="str">
        <f>'Criaturas - Base de Dados'!C112</f>
        <v>Fogo</v>
      </c>
      <c r="D663" s="8" t="str">
        <f>'Criaturas - Base de Dados'!D112</f>
        <v>Djinn Ardente</v>
      </c>
      <c r="E663" s="8" t="str">
        <f>'Sistema de Raridade e Evolução'!B3</f>
        <v>Bronze</v>
      </c>
      <c r="F663" s="9">
        <f>ROUND(('Criaturas - Base de Dados'!H112*'Sistema de Raridade e Evolução'!E3)*1000,2)</f>
        <v>28000</v>
      </c>
      <c r="G663" s="8">
        <f>ROUND('Criaturas - Base de Dados'!I112*'Sistema de Raridade e Evolução'!E3,0)</f>
        <v>17</v>
      </c>
      <c r="H663" s="8">
        <f>ROUND('Criaturas - Base de Dados'!J112*'Sistema de Raridade e Evolução'!E3,0)</f>
        <v>14</v>
      </c>
      <c r="I663" s="8">
        <f>ROUND('Criaturas - Base de Dados'!K112*'Sistema de Raridade e Evolução'!E3,0)</f>
        <v>90</v>
      </c>
      <c r="J663" s="8">
        <f>'Sistema de Raridade e Evolução'!D3</f>
        <v>6</v>
      </c>
      <c r="K663" s="8" t="s">
        <v>9</v>
      </c>
      <c r="L663" s="9">
        <f t="shared" si="10"/>
        <v>66666.67</v>
      </c>
    </row>
    <row r="664" spans="1:12" ht="14.25" hidden="1" customHeight="1" x14ac:dyDescent="0.3">
      <c r="A664" s="8">
        <v>663</v>
      </c>
      <c r="B664" s="8" t="str">
        <f>'Criaturas - Base de Dados'!B112</f>
        <v>Forja Ígnea</v>
      </c>
      <c r="C664" s="8" t="str">
        <f>'Criaturas - Base de Dados'!C112</f>
        <v>Fogo</v>
      </c>
      <c r="D664" s="8" t="str">
        <f>'Criaturas - Base de Dados'!D112</f>
        <v>Djinn Ardente</v>
      </c>
      <c r="E664" s="8" t="str">
        <f>'Sistema de Raridade e Evolução'!B4</f>
        <v>Prata</v>
      </c>
      <c r="F664" s="9">
        <f>ROUND(('Criaturas - Base de Dados'!H112*'Sistema de Raridade e Evolução'!E4)*1000,2)</f>
        <v>168000</v>
      </c>
      <c r="G664" s="8">
        <f>ROUND('Criaturas - Base de Dados'!I112*'Sistema de Raridade e Evolução'!E4,0)</f>
        <v>102</v>
      </c>
      <c r="H664" s="8">
        <f>ROUND('Criaturas - Base de Dados'!J112*'Sistema de Raridade e Evolução'!E4,0)</f>
        <v>84</v>
      </c>
      <c r="I664" s="8">
        <f>ROUND('Criaturas - Base de Dados'!K112*'Sistema de Raridade e Evolução'!E4,0)</f>
        <v>540</v>
      </c>
      <c r="J664" s="8">
        <f>'Sistema de Raridade e Evolução'!D4</f>
        <v>16</v>
      </c>
      <c r="K664" s="8" t="s">
        <v>10</v>
      </c>
      <c r="L664" s="9">
        <f t="shared" si="10"/>
        <v>400000</v>
      </c>
    </row>
    <row r="665" spans="1:12" ht="14.25" hidden="1" customHeight="1" x14ac:dyDescent="0.3">
      <c r="A665" s="8">
        <v>664</v>
      </c>
      <c r="B665" s="8" t="str">
        <f>'Criaturas - Base de Dados'!B112</f>
        <v>Forja Ígnea</v>
      </c>
      <c r="C665" s="8" t="str">
        <f>'Criaturas - Base de Dados'!C112</f>
        <v>Fogo</v>
      </c>
      <c r="D665" s="8" t="str">
        <f>'Criaturas - Base de Dados'!D112</f>
        <v>Djinn Ardente</v>
      </c>
      <c r="E665" s="8" t="str">
        <f>'Sistema de Raridade e Evolução'!B5</f>
        <v>Ouro</v>
      </c>
      <c r="F665" s="9">
        <f>ROUND(('Criaturas - Base de Dados'!H112*'Sistema de Raridade e Evolução'!E5)*1000,2)</f>
        <v>504000</v>
      </c>
      <c r="G665" s="8">
        <f>ROUND('Criaturas - Base de Dados'!I112*'Sistema de Raridade e Evolução'!E5,0)</f>
        <v>306</v>
      </c>
      <c r="H665" s="8">
        <f>ROUND('Criaturas - Base de Dados'!J112*'Sistema de Raridade e Evolução'!E5,0)</f>
        <v>252</v>
      </c>
      <c r="I665" s="8">
        <f>ROUND('Criaturas - Base de Dados'!K112*'Sistema de Raridade e Evolução'!E5,0)</f>
        <v>1620</v>
      </c>
      <c r="J665" s="8">
        <f>'Sistema de Raridade e Evolução'!D5</f>
        <v>31</v>
      </c>
      <c r="K665" s="8" t="s">
        <v>11</v>
      </c>
      <c r="L665" s="9">
        <f t="shared" si="10"/>
        <v>1200000</v>
      </c>
    </row>
    <row r="666" spans="1:12" ht="14.25" hidden="1" customHeight="1" x14ac:dyDescent="0.3">
      <c r="A666" s="8">
        <v>665</v>
      </c>
      <c r="B666" s="8" t="str">
        <f>'Criaturas - Base de Dados'!B112</f>
        <v>Forja Ígnea</v>
      </c>
      <c r="C666" s="8" t="str">
        <f>'Criaturas - Base de Dados'!C112</f>
        <v>Fogo</v>
      </c>
      <c r="D666" s="8" t="str">
        <f>'Criaturas - Base de Dados'!D112</f>
        <v>Djinn Ardente</v>
      </c>
      <c r="E666" s="8" t="str">
        <f>'Sistema de Raridade e Evolução'!B6</f>
        <v>Platina</v>
      </c>
      <c r="F666" s="9">
        <f>ROUND(('Criaturas - Base de Dados'!H112*'Sistema de Raridade e Evolução'!E6)*1000,2)</f>
        <v>1400000</v>
      </c>
      <c r="G666" s="8">
        <f>ROUND('Criaturas - Base de Dados'!I112*'Sistema de Raridade e Evolução'!E6,0)</f>
        <v>850</v>
      </c>
      <c r="H666" s="8">
        <f>ROUND('Criaturas - Base de Dados'!J112*'Sistema de Raridade e Evolução'!E6,0)</f>
        <v>700</v>
      </c>
      <c r="I666" s="8">
        <f>ROUND('Criaturas - Base de Dados'!K112*'Sistema de Raridade e Evolução'!E6,0)</f>
        <v>4500</v>
      </c>
      <c r="J666" s="8">
        <f>'Sistema de Raridade e Evolução'!D6</f>
        <v>56</v>
      </c>
      <c r="K666" s="8" t="s">
        <v>12</v>
      </c>
      <c r="L666" s="9">
        <f t="shared" si="10"/>
        <v>3333333.33</v>
      </c>
    </row>
    <row r="667" spans="1:12" ht="14.25" hidden="1" customHeight="1" x14ac:dyDescent="0.3">
      <c r="A667" s="8">
        <v>666</v>
      </c>
      <c r="B667" s="8" t="str">
        <f>'Criaturas - Base de Dados'!B112</f>
        <v>Forja Ígnea</v>
      </c>
      <c r="C667" s="8" t="str">
        <f>'Criaturas - Base de Dados'!C112</f>
        <v>Fogo</v>
      </c>
      <c r="D667" s="8" t="str">
        <f>'Criaturas - Base de Dados'!D112</f>
        <v>Djinn Ardente</v>
      </c>
      <c r="E667" s="8" t="str">
        <f>'Sistema de Raridade e Evolução'!B7</f>
        <v>Lendário</v>
      </c>
      <c r="F667" s="9">
        <f>ROUND(('Criaturas - Base de Dados'!H112*'Sistema de Raridade e Evolução'!E7)*1000,2)</f>
        <v>4200000</v>
      </c>
      <c r="G667" s="8">
        <f>ROUND('Criaturas - Base de Dados'!I112*'Sistema de Raridade e Evolução'!E7,0)</f>
        <v>2550</v>
      </c>
      <c r="H667" s="8">
        <f>ROUND('Criaturas - Base de Dados'!J112*'Sistema de Raridade e Evolução'!E7,0)</f>
        <v>2100</v>
      </c>
      <c r="I667" s="8">
        <f>ROUND('Criaturas - Base de Dados'!K112*'Sistema de Raridade e Evolução'!E7,0)</f>
        <v>13500</v>
      </c>
      <c r="J667" s="8">
        <f>'Sistema de Raridade e Evolução'!D7</f>
        <v>91</v>
      </c>
      <c r="K667" s="8" t="s">
        <v>925</v>
      </c>
      <c r="L667" s="9">
        <f t="shared" si="10"/>
        <v>10000000</v>
      </c>
    </row>
    <row r="668" spans="1:12" ht="14.25" customHeight="1" x14ac:dyDescent="0.3">
      <c r="A668" s="8">
        <v>667</v>
      </c>
      <c r="B668" s="8" t="str">
        <f>'Criaturas - Base de Dados'!B113</f>
        <v>Forja Ígnea</v>
      </c>
      <c r="C668" s="8" t="str">
        <f>'Criaturas - Base de Dados'!C113</f>
        <v>Fogo</v>
      </c>
      <c r="D668" s="8" t="str">
        <f>'Criaturas - Base de Dados'!D113</f>
        <v>Cão-Diabo Flamejante (Church Grim)</v>
      </c>
      <c r="E668" s="8" t="str">
        <f>'Sistema de Raridade e Evolução'!B2</f>
        <v>Default</v>
      </c>
      <c r="F668" s="9" t="e">
        <f>ROUND(('Criaturas - Base de Dados'!H113*'Sistema de Raridade e Evolução'!E2)*1000,2)</f>
        <v>#VALUE!</v>
      </c>
      <c r="G668" s="8" t="e">
        <f>ROUND('Criaturas - Base de Dados'!I113*'Sistema de Raridade e Evolução'!E2,0)</f>
        <v>#VALUE!</v>
      </c>
      <c r="H668" s="8" t="e">
        <f>ROUND('Criaturas - Base de Dados'!J113*'Sistema de Raridade e Evolução'!E2,0)</f>
        <v>#VALUE!</v>
      </c>
      <c r="I668" s="8" t="e">
        <f>ROUND('Criaturas - Base de Dados'!K113*'Sistema de Raridade e Evolução'!E2,0)</f>
        <v>#VALUE!</v>
      </c>
      <c r="J668" s="8">
        <f>'Sistema de Raridade e Evolução'!D2</f>
        <v>1</v>
      </c>
      <c r="K668" s="8" t="s">
        <v>8</v>
      </c>
      <c r="L668" s="9" t="e">
        <f t="shared" si="10"/>
        <v>#VALUE!</v>
      </c>
    </row>
    <row r="669" spans="1:12" ht="14.25" hidden="1" customHeight="1" x14ac:dyDescent="0.3">
      <c r="A669" s="8">
        <v>668</v>
      </c>
      <c r="B669" s="8" t="str">
        <f>'Criaturas - Base de Dados'!B113</f>
        <v>Forja Ígnea</v>
      </c>
      <c r="C669" s="8" t="str">
        <f>'Criaturas - Base de Dados'!C113</f>
        <v>Fogo</v>
      </c>
      <c r="D669" s="8" t="str">
        <f>'Criaturas - Base de Dados'!D113</f>
        <v>Cão-Diabo Flamejante (Church Grim)</v>
      </c>
      <c r="E669" s="8" t="str">
        <f>'Sistema de Raridade e Evolução'!B3</f>
        <v>Bronze</v>
      </c>
      <c r="F669" s="9">
        <f>ROUND(('Criaturas - Base de Dados'!H113*'Sistema de Raridade e Evolução'!E3)*1000,2)</f>
        <v>30000</v>
      </c>
      <c r="G669" s="8">
        <f>ROUND('Criaturas - Base de Dados'!I113*'Sistema de Raridade e Evolução'!E3,0)</f>
        <v>18</v>
      </c>
      <c r="H669" s="8">
        <f>ROUND('Criaturas - Base de Dados'!J113*'Sistema de Raridade e Evolução'!E3,0)</f>
        <v>15</v>
      </c>
      <c r="I669" s="8">
        <f>ROUND('Criaturas - Base de Dados'!K113*'Sistema de Raridade e Evolução'!E3,0)</f>
        <v>96</v>
      </c>
      <c r="J669" s="8">
        <f>'Sistema de Raridade e Evolução'!D3</f>
        <v>6</v>
      </c>
      <c r="K669" s="8" t="s">
        <v>9</v>
      </c>
      <c r="L669" s="9">
        <f t="shared" si="10"/>
        <v>71428.570000000007</v>
      </c>
    </row>
    <row r="670" spans="1:12" ht="14.25" hidden="1" customHeight="1" x14ac:dyDescent="0.3">
      <c r="A670" s="8">
        <v>669</v>
      </c>
      <c r="B670" s="8" t="str">
        <f>'Criaturas - Base de Dados'!B113</f>
        <v>Forja Ígnea</v>
      </c>
      <c r="C670" s="8" t="str">
        <f>'Criaturas - Base de Dados'!C113</f>
        <v>Fogo</v>
      </c>
      <c r="D670" s="8" t="str">
        <f>'Criaturas - Base de Dados'!D113</f>
        <v>Cão-Diabo Flamejante (Church Grim)</v>
      </c>
      <c r="E670" s="8" t="str">
        <f>'Sistema de Raridade e Evolução'!B4</f>
        <v>Prata</v>
      </c>
      <c r="F670" s="9">
        <f>ROUND(('Criaturas - Base de Dados'!H113*'Sistema de Raridade e Evolução'!E4)*1000,2)</f>
        <v>180000</v>
      </c>
      <c r="G670" s="8">
        <f>ROUND('Criaturas - Base de Dados'!I113*'Sistema de Raridade e Evolução'!E4,0)</f>
        <v>108</v>
      </c>
      <c r="H670" s="8">
        <f>ROUND('Criaturas - Base de Dados'!J113*'Sistema de Raridade e Evolução'!E4,0)</f>
        <v>90</v>
      </c>
      <c r="I670" s="8">
        <f>ROUND('Criaturas - Base de Dados'!K113*'Sistema de Raridade e Evolução'!E4,0)</f>
        <v>576</v>
      </c>
      <c r="J670" s="8">
        <f>'Sistema de Raridade e Evolução'!D4</f>
        <v>16</v>
      </c>
      <c r="K670" s="8" t="s">
        <v>10</v>
      </c>
      <c r="L670" s="9">
        <f t="shared" si="10"/>
        <v>428571.43</v>
      </c>
    </row>
    <row r="671" spans="1:12" ht="14.25" hidden="1" customHeight="1" x14ac:dyDescent="0.3">
      <c r="A671" s="8">
        <v>670</v>
      </c>
      <c r="B671" s="8" t="str">
        <f>'Criaturas - Base de Dados'!B113</f>
        <v>Forja Ígnea</v>
      </c>
      <c r="C671" s="8" t="str">
        <f>'Criaturas - Base de Dados'!C113</f>
        <v>Fogo</v>
      </c>
      <c r="D671" s="8" t="str">
        <f>'Criaturas - Base de Dados'!D113</f>
        <v>Cão-Diabo Flamejante (Church Grim)</v>
      </c>
      <c r="E671" s="8" t="str">
        <f>'Sistema de Raridade e Evolução'!B5</f>
        <v>Ouro</v>
      </c>
      <c r="F671" s="9">
        <f>ROUND(('Criaturas - Base de Dados'!H113*'Sistema de Raridade e Evolução'!E5)*1000,2)</f>
        <v>540000</v>
      </c>
      <c r="G671" s="8">
        <f>ROUND('Criaturas - Base de Dados'!I113*'Sistema de Raridade e Evolução'!E5,0)</f>
        <v>324</v>
      </c>
      <c r="H671" s="8">
        <f>ROUND('Criaturas - Base de Dados'!J113*'Sistema de Raridade e Evolução'!E5,0)</f>
        <v>270</v>
      </c>
      <c r="I671" s="8">
        <f>ROUND('Criaturas - Base de Dados'!K113*'Sistema de Raridade e Evolução'!E5,0)</f>
        <v>1728</v>
      </c>
      <c r="J671" s="8">
        <f>'Sistema de Raridade e Evolução'!D5</f>
        <v>31</v>
      </c>
      <c r="K671" s="8" t="s">
        <v>11</v>
      </c>
      <c r="L671" s="9">
        <f t="shared" si="10"/>
        <v>1285714.29</v>
      </c>
    </row>
    <row r="672" spans="1:12" ht="14.25" hidden="1" customHeight="1" x14ac:dyDescent="0.3">
      <c r="A672" s="8">
        <v>671</v>
      </c>
      <c r="B672" s="8" t="str">
        <f>'Criaturas - Base de Dados'!B113</f>
        <v>Forja Ígnea</v>
      </c>
      <c r="C672" s="8" t="str">
        <f>'Criaturas - Base de Dados'!C113</f>
        <v>Fogo</v>
      </c>
      <c r="D672" s="8" t="str">
        <f>'Criaturas - Base de Dados'!D113</f>
        <v>Cão-Diabo Flamejante (Church Grim)</v>
      </c>
      <c r="E672" s="8" t="str">
        <f>'Sistema de Raridade e Evolução'!B6</f>
        <v>Platina</v>
      </c>
      <c r="F672" s="9">
        <f>ROUND(('Criaturas - Base de Dados'!H113*'Sistema de Raridade e Evolução'!E6)*1000,2)</f>
        <v>1500000</v>
      </c>
      <c r="G672" s="8">
        <f>ROUND('Criaturas - Base de Dados'!I113*'Sistema de Raridade e Evolução'!E6,0)</f>
        <v>900</v>
      </c>
      <c r="H672" s="8">
        <f>ROUND('Criaturas - Base de Dados'!J113*'Sistema de Raridade e Evolução'!E6,0)</f>
        <v>750</v>
      </c>
      <c r="I672" s="8">
        <f>ROUND('Criaturas - Base de Dados'!K113*'Sistema de Raridade e Evolução'!E6,0)</f>
        <v>4800</v>
      </c>
      <c r="J672" s="8">
        <f>'Sistema de Raridade e Evolução'!D6</f>
        <v>56</v>
      </c>
      <c r="K672" s="8" t="s">
        <v>12</v>
      </c>
      <c r="L672" s="9">
        <f t="shared" si="10"/>
        <v>3571428.57</v>
      </c>
    </row>
    <row r="673" spans="1:12" ht="14.25" hidden="1" customHeight="1" x14ac:dyDescent="0.3">
      <c r="A673" s="8">
        <v>672</v>
      </c>
      <c r="B673" s="8" t="str">
        <f>'Criaturas - Base de Dados'!B113</f>
        <v>Forja Ígnea</v>
      </c>
      <c r="C673" s="8" t="str">
        <f>'Criaturas - Base de Dados'!C113</f>
        <v>Fogo</v>
      </c>
      <c r="D673" s="8" t="str">
        <f>'Criaturas - Base de Dados'!D113</f>
        <v>Cão-Diabo Flamejante (Church Grim)</v>
      </c>
      <c r="E673" s="8" t="str">
        <f>'Sistema de Raridade e Evolução'!B7</f>
        <v>Lendário</v>
      </c>
      <c r="F673" s="9">
        <f>ROUND(('Criaturas - Base de Dados'!H113*'Sistema de Raridade e Evolução'!E7)*1000,2)</f>
        <v>4500000</v>
      </c>
      <c r="G673" s="8">
        <f>ROUND('Criaturas - Base de Dados'!I113*'Sistema de Raridade e Evolução'!E7,0)</f>
        <v>2700</v>
      </c>
      <c r="H673" s="8">
        <f>ROUND('Criaturas - Base de Dados'!J113*'Sistema de Raridade e Evolução'!E7,0)</f>
        <v>2250</v>
      </c>
      <c r="I673" s="8">
        <f>ROUND('Criaturas - Base de Dados'!K113*'Sistema de Raridade e Evolução'!E7,0)</f>
        <v>14400</v>
      </c>
      <c r="J673" s="8">
        <f>'Sistema de Raridade e Evolução'!D7</f>
        <v>91</v>
      </c>
      <c r="K673" s="8" t="s">
        <v>925</v>
      </c>
      <c r="L673" s="9">
        <f t="shared" si="10"/>
        <v>10714285.710000001</v>
      </c>
    </row>
    <row r="674" spans="1:12" ht="14.25" customHeight="1" x14ac:dyDescent="0.3">
      <c r="A674" s="8">
        <v>673</v>
      </c>
      <c r="B674" s="8" t="str">
        <f>'Criaturas - Base de Dados'!B114</f>
        <v>Forja Ígnea</v>
      </c>
      <c r="C674" s="8" t="str">
        <f>'Criaturas - Base de Dados'!C114</f>
        <v>Fogo</v>
      </c>
      <c r="D674" s="8" t="str">
        <f>'Criaturas - Base de Dados'!D114</f>
        <v>Basilisco de Fogo</v>
      </c>
      <c r="E674" s="8" t="str">
        <f>'Sistema de Raridade e Evolução'!B2</f>
        <v>Default</v>
      </c>
      <c r="F674" s="9" t="e">
        <f>ROUND(('Criaturas - Base de Dados'!H114*'Sistema de Raridade e Evolução'!E2)*1000,2)</f>
        <v>#VALUE!</v>
      </c>
      <c r="G674" s="8" t="e">
        <f>ROUND('Criaturas - Base de Dados'!I114*'Sistema de Raridade e Evolução'!E2,0)</f>
        <v>#VALUE!</v>
      </c>
      <c r="H674" s="8" t="e">
        <f>ROUND('Criaturas - Base de Dados'!J114*'Sistema de Raridade e Evolução'!E2,0)</f>
        <v>#VALUE!</v>
      </c>
      <c r="I674" s="8" t="e">
        <f>ROUND('Criaturas - Base de Dados'!K114*'Sistema de Raridade e Evolução'!E2,0)</f>
        <v>#VALUE!</v>
      </c>
      <c r="J674" s="8">
        <f>'Sistema de Raridade e Evolução'!D2</f>
        <v>1</v>
      </c>
      <c r="K674" s="8" t="s">
        <v>8</v>
      </c>
      <c r="L674" s="9" t="e">
        <f t="shared" si="10"/>
        <v>#VALUE!</v>
      </c>
    </row>
    <row r="675" spans="1:12" ht="14.25" hidden="1" customHeight="1" x14ac:dyDescent="0.3">
      <c r="A675" s="8">
        <v>674</v>
      </c>
      <c r="B675" s="8" t="str">
        <f>'Criaturas - Base de Dados'!B114</f>
        <v>Forja Ígnea</v>
      </c>
      <c r="C675" s="8" t="str">
        <f>'Criaturas - Base de Dados'!C114</f>
        <v>Fogo</v>
      </c>
      <c r="D675" s="8" t="str">
        <f>'Criaturas - Base de Dados'!D114</f>
        <v>Basilisco de Fogo</v>
      </c>
      <c r="E675" s="8" t="str">
        <f>'Sistema de Raridade e Evolução'!B3</f>
        <v>Bronze</v>
      </c>
      <c r="F675" s="9">
        <f>ROUND(('Criaturas - Base de Dados'!H114*'Sistema de Raridade e Evolução'!E3)*1000,2)</f>
        <v>34000</v>
      </c>
      <c r="G675" s="8">
        <f>ROUND('Criaturas - Base de Dados'!I114*'Sistema de Raridade e Evolução'!E3,0)</f>
        <v>20</v>
      </c>
      <c r="H675" s="8">
        <f>ROUND('Criaturas - Base de Dados'!J114*'Sistema de Raridade e Evolução'!E3,0)</f>
        <v>17</v>
      </c>
      <c r="I675" s="8">
        <f>ROUND('Criaturas - Base de Dados'!K114*'Sistema de Raridade e Evolução'!E3,0)</f>
        <v>109</v>
      </c>
      <c r="J675" s="8">
        <f>'Sistema de Raridade e Evolução'!D3</f>
        <v>6</v>
      </c>
      <c r="K675" s="8" t="s">
        <v>9</v>
      </c>
      <c r="L675" s="9">
        <f t="shared" si="10"/>
        <v>80952.38</v>
      </c>
    </row>
    <row r="676" spans="1:12" ht="14.25" hidden="1" customHeight="1" x14ac:dyDescent="0.3">
      <c r="A676" s="8">
        <v>675</v>
      </c>
      <c r="B676" s="8" t="str">
        <f>'Criaturas - Base de Dados'!B114</f>
        <v>Forja Ígnea</v>
      </c>
      <c r="C676" s="8" t="str">
        <f>'Criaturas - Base de Dados'!C114</f>
        <v>Fogo</v>
      </c>
      <c r="D676" s="8" t="str">
        <f>'Criaturas - Base de Dados'!D114</f>
        <v>Basilisco de Fogo</v>
      </c>
      <c r="E676" s="8" t="str">
        <f>'Sistema de Raridade e Evolução'!B4</f>
        <v>Prata</v>
      </c>
      <c r="F676" s="9">
        <f>ROUND(('Criaturas - Base de Dados'!H114*'Sistema de Raridade e Evolução'!E4)*1000,2)</f>
        <v>204000</v>
      </c>
      <c r="G676" s="8">
        <f>ROUND('Criaturas - Base de Dados'!I114*'Sistema de Raridade e Evolução'!E4,0)</f>
        <v>120</v>
      </c>
      <c r="H676" s="8">
        <f>ROUND('Criaturas - Base de Dados'!J114*'Sistema de Raridade e Evolução'!E4,0)</f>
        <v>102</v>
      </c>
      <c r="I676" s="8">
        <f>ROUND('Criaturas - Base de Dados'!K114*'Sistema de Raridade e Evolução'!E4,0)</f>
        <v>654</v>
      </c>
      <c r="J676" s="8">
        <f>'Sistema de Raridade e Evolução'!D4</f>
        <v>16</v>
      </c>
      <c r="K676" s="8" t="s">
        <v>10</v>
      </c>
      <c r="L676" s="9">
        <f t="shared" si="10"/>
        <v>485714.29</v>
      </c>
    </row>
    <row r="677" spans="1:12" ht="14.25" hidden="1" customHeight="1" x14ac:dyDescent="0.3">
      <c r="A677" s="8">
        <v>676</v>
      </c>
      <c r="B677" s="8" t="str">
        <f>'Criaturas - Base de Dados'!B114</f>
        <v>Forja Ígnea</v>
      </c>
      <c r="C677" s="8" t="str">
        <f>'Criaturas - Base de Dados'!C114</f>
        <v>Fogo</v>
      </c>
      <c r="D677" s="8" t="str">
        <f>'Criaturas - Base de Dados'!D114</f>
        <v>Basilisco de Fogo</v>
      </c>
      <c r="E677" s="8" t="str">
        <f>'Sistema de Raridade e Evolução'!B5</f>
        <v>Ouro</v>
      </c>
      <c r="F677" s="9">
        <f>ROUND(('Criaturas - Base de Dados'!H114*'Sistema de Raridade e Evolução'!E5)*1000,2)</f>
        <v>612000</v>
      </c>
      <c r="G677" s="8">
        <f>ROUND('Criaturas - Base de Dados'!I114*'Sistema de Raridade e Evolução'!E5,0)</f>
        <v>360</v>
      </c>
      <c r="H677" s="8">
        <f>ROUND('Criaturas - Base de Dados'!J114*'Sistema de Raridade e Evolução'!E5,0)</f>
        <v>306</v>
      </c>
      <c r="I677" s="8">
        <f>ROUND('Criaturas - Base de Dados'!K114*'Sistema de Raridade e Evolução'!E5,0)</f>
        <v>1962</v>
      </c>
      <c r="J677" s="8">
        <f>'Sistema de Raridade e Evolução'!D5</f>
        <v>31</v>
      </c>
      <c r="K677" s="8" t="s">
        <v>11</v>
      </c>
      <c r="L677" s="9">
        <f t="shared" si="10"/>
        <v>1457142.86</v>
      </c>
    </row>
    <row r="678" spans="1:12" ht="14.25" hidden="1" customHeight="1" x14ac:dyDescent="0.3">
      <c r="A678" s="8">
        <v>677</v>
      </c>
      <c r="B678" s="8" t="str">
        <f>'Criaturas - Base de Dados'!B114</f>
        <v>Forja Ígnea</v>
      </c>
      <c r="C678" s="8" t="str">
        <f>'Criaturas - Base de Dados'!C114</f>
        <v>Fogo</v>
      </c>
      <c r="D678" s="8" t="str">
        <f>'Criaturas - Base de Dados'!D114</f>
        <v>Basilisco de Fogo</v>
      </c>
      <c r="E678" s="8" t="str">
        <f>'Sistema de Raridade e Evolução'!B6</f>
        <v>Platina</v>
      </c>
      <c r="F678" s="9">
        <f>ROUND(('Criaturas - Base de Dados'!H114*'Sistema de Raridade e Evolução'!E6)*1000,2)</f>
        <v>1700000</v>
      </c>
      <c r="G678" s="8">
        <f>ROUND('Criaturas - Base de Dados'!I114*'Sistema de Raridade e Evolução'!E6,0)</f>
        <v>1000</v>
      </c>
      <c r="H678" s="8">
        <f>ROUND('Criaturas - Base de Dados'!J114*'Sistema de Raridade e Evolução'!E6,0)</f>
        <v>850</v>
      </c>
      <c r="I678" s="8">
        <f>ROUND('Criaturas - Base de Dados'!K114*'Sistema de Raridade e Evolução'!E6,0)</f>
        <v>5450</v>
      </c>
      <c r="J678" s="8">
        <f>'Sistema de Raridade e Evolução'!D6</f>
        <v>56</v>
      </c>
      <c r="K678" s="8" t="s">
        <v>12</v>
      </c>
      <c r="L678" s="9">
        <f t="shared" si="10"/>
        <v>4047619.05</v>
      </c>
    </row>
    <row r="679" spans="1:12" ht="14.25" hidden="1" customHeight="1" x14ac:dyDescent="0.3">
      <c r="A679" s="8">
        <v>678</v>
      </c>
      <c r="B679" s="8" t="str">
        <f>'Criaturas - Base de Dados'!B114</f>
        <v>Forja Ígnea</v>
      </c>
      <c r="C679" s="8" t="str">
        <f>'Criaturas - Base de Dados'!C114</f>
        <v>Fogo</v>
      </c>
      <c r="D679" s="8" t="str">
        <f>'Criaturas - Base de Dados'!D114</f>
        <v>Basilisco de Fogo</v>
      </c>
      <c r="E679" s="8" t="str">
        <f>'Sistema de Raridade e Evolução'!B7</f>
        <v>Lendário</v>
      </c>
      <c r="F679" s="9">
        <f>ROUND(('Criaturas - Base de Dados'!H114*'Sistema de Raridade e Evolução'!E7)*1000,2)</f>
        <v>5100000</v>
      </c>
      <c r="G679" s="8">
        <f>ROUND('Criaturas - Base de Dados'!I114*'Sistema de Raridade e Evolução'!E7,0)</f>
        <v>3000</v>
      </c>
      <c r="H679" s="8">
        <f>ROUND('Criaturas - Base de Dados'!J114*'Sistema de Raridade e Evolução'!E7,0)</f>
        <v>2550</v>
      </c>
      <c r="I679" s="8">
        <f>ROUND('Criaturas - Base de Dados'!K114*'Sistema de Raridade e Evolução'!E7,0)</f>
        <v>16350</v>
      </c>
      <c r="J679" s="8">
        <f>'Sistema de Raridade e Evolução'!D7</f>
        <v>91</v>
      </c>
      <c r="K679" s="8" t="s">
        <v>925</v>
      </c>
      <c r="L679" s="9">
        <f t="shared" si="10"/>
        <v>12142857.140000001</v>
      </c>
    </row>
    <row r="680" spans="1:12" ht="14.25" customHeight="1" x14ac:dyDescent="0.3">
      <c r="A680" s="8">
        <v>679</v>
      </c>
      <c r="B680" s="8" t="str">
        <f>'Criaturas - Base de Dados'!B115</f>
        <v>Forja Ígnea</v>
      </c>
      <c r="C680" s="8" t="str">
        <f>'Criaturas - Base de Dados'!C115</f>
        <v>Fogo</v>
      </c>
      <c r="D680" s="8" t="str">
        <f>'Criaturas - Base de Dados'!D115</f>
        <v>Chama Viva Ancestral</v>
      </c>
      <c r="E680" s="8" t="str">
        <f>'Sistema de Raridade e Evolução'!B2</f>
        <v>Default</v>
      </c>
      <c r="F680" s="9" t="e">
        <f>ROUND(('Criaturas - Base de Dados'!H115*'Sistema de Raridade e Evolução'!E2)*1000,2)</f>
        <v>#VALUE!</v>
      </c>
      <c r="G680" s="8" t="e">
        <f>ROUND('Criaturas - Base de Dados'!I115*'Sistema de Raridade e Evolução'!E2,0)</f>
        <v>#VALUE!</v>
      </c>
      <c r="H680" s="8" t="e">
        <f>ROUND('Criaturas - Base de Dados'!J115*'Sistema de Raridade e Evolução'!E2,0)</f>
        <v>#VALUE!</v>
      </c>
      <c r="I680" s="8" t="e">
        <f>ROUND('Criaturas - Base de Dados'!K115*'Sistema de Raridade e Evolução'!E2,0)</f>
        <v>#VALUE!</v>
      </c>
      <c r="J680" s="8">
        <f>'Sistema de Raridade e Evolução'!D2</f>
        <v>1</v>
      </c>
      <c r="K680" s="8" t="s">
        <v>8</v>
      </c>
      <c r="L680" s="9" t="e">
        <f t="shared" si="10"/>
        <v>#VALUE!</v>
      </c>
    </row>
    <row r="681" spans="1:12" ht="14.25" hidden="1" customHeight="1" x14ac:dyDescent="0.3">
      <c r="A681" s="8">
        <v>680</v>
      </c>
      <c r="B681" s="8" t="str">
        <f>'Criaturas - Base de Dados'!B115</f>
        <v>Forja Ígnea</v>
      </c>
      <c r="C681" s="8" t="str">
        <f>'Criaturas - Base de Dados'!C115</f>
        <v>Fogo</v>
      </c>
      <c r="D681" s="8" t="str">
        <f>'Criaturas - Base de Dados'!D115</f>
        <v>Chama Viva Ancestral</v>
      </c>
      <c r="E681" s="8" t="str">
        <f>'Sistema de Raridade e Evolução'!B3</f>
        <v>Bronze</v>
      </c>
      <c r="F681" s="9">
        <f>ROUND(('Criaturas - Base de Dados'!H115*'Sistema de Raridade e Evolução'!E3)*1000,2)</f>
        <v>36000</v>
      </c>
      <c r="G681" s="8">
        <f>ROUND('Criaturas - Base de Dados'!I115*'Sistema de Raridade e Evolução'!E3,0)</f>
        <v>22</v>
      </c>
      <c r="H681" s="8">
        <f>ROUND('Criaturas - Base de Dados'!J115*'Sistema de Raridade e Evolução'!E3,0)</f>
        <v>18</v>
      </c>
      <c r="I681" s="8">
        <f>ROUND('Criaturas - Base de Dados'!K115*'Sistema de Raridade e Evolução'!E3,0)</f>
        <v>115</v>
      </c>
      <c r="J681" s="8">
        <f>'Sistema de Raridade e Evolução'!D3</f>
        <v>6</v>
      </c>
      <c r="K681" s="8" t="s">
        <v>9</v>
      </c>
      <c r="L681" s="9">
        <f t="shared" si="10"/>
        <v>85714.29</v>
      </c>
    </row>
    <row r="682" spans="1:12" ht="14.25" hidden="1" customHeight="1" x14ac:dyDescent="0.3">
      <c r="A682" s="8">
        <v>681</v>
      </c>
      <c r="B682" s="8" t="str">
        <f>'Criaturas - Base de Dados'!B115</f>
        <v>Forja Ígnea</v>
      </c>
      <c r="C682" s="8" t="str">
        <f>'Criaturas - Base de Dados'!C115</f>
        <v>Fogo</v>
      </c>
      <c r="D682" s="8" t="str">
        <f>'Criaturas - Base de Dados'!D115</f>
        <v>Chama Viva Ancestral</v>
      </c>
      <c r="E682" s="8" t="str">
        <f>'Sistema de Raridade e Evolução'!B4</f>
        <v>Prata</v>
      </c>
      <c r="F682" s="9">
        <f>ROUND(('Criaturas - Base de Dados'!H115*'Sistema de Raridade e Evolução'!E4)*1000,2)</f>
        <v>216000</v>
      </c>
      <c r="G682" s="8">
        <f>ROUND('Criaturas - Base de Dados'!I115*'Sistema de Raridade e Evolução'!E4,0)</f>
        <v>132</v>
      </c>
      <c r="H682" s="8">
        <f>ROUND('Criaturas - Base de Dados'!J115*'Sistema de Raridade e Evolução'!E4,0)</f>
        <v>108</v>
      </c>
      <c r="I682" s="8">
        <f>ROUND('Criaturas - Base de Dados'!K115*'Sistema de Raridade e Evolução'!E4,0)</f>
        <v>690</v>
      </c>
      <c r="J682" s="8">
        <f>'Sistema de Raridade e Evolução'!D4</f>
        <v>16</v>
      </c>
      <c r="K682" s="8" t="s">
        <v>10</v>
      </c>
      <c r="L682" s="9">
        <f t="shared" si="10"/>
        <v>514285.71</v>
      </c>
    </row>
    <row r="683" spans="1:12" ht="14.25" hidden="1" customHeight="1" x14ac:dyDescent="0.3">
      <c r="A683" s="8">
        <v>682</v>
      </c>
      <c r="B683" s="8" t="str">
        <f>'Criaturas - Base de Dados'!B115</f>
        <v>Forja Ígnea</v>
      </c>
      <c r="C683" s="8" t="str">
        <f>'Criaturas - Base de Dados'!C115</f>
        <v>Fogo</v>
      </c>
      <c r="D683" s="8" t="str">
        <f>'Criaturas - Base de Dados'!D115</f>
        <v>Chama Viva Ancestral</v>
      </c>
      <c r="E683" s="8" t="str">
        <f>'Sistema de Raridade e Evolução'!B5</f>
        <v>Ouro</v>
      </c>
      <c r="F683" s="9">
        <f>ROUND(('Criaturas - Base de Dados'!H115*'Sistema de Raridade e Evolução'!E5)*1000,2)</f>
        <v>648000</v>
      </c>
      <c r="G683" s="8">
        <f>ROUND('Criaturas - Base de Dados'!I115*'Sistema de Raridade e Evolução'!E5,0)</f>
        <v>396</v>
      </c>
      <c r="H683" s="8">
        <f>ROUND('Criaturas - Base de Dados'!J115*'Sistema de Raridade e Evolução'!E5,0)</f>
        <v>324</v>
      </c>
      <c r="I683" s="8">
        <f>ROUND('Criaturas - Base de Dados'!K115*'Sistema de Raridade e Evolução'!E5,0)</f>
        <v>2070</v>
      </c>
      <c r="J683" s="8">
        <f>'Sistema de Raridade e Evolução'!D5</f>
        <v>31</v>
      </c>
      <c r="K683" s="8" t="s">
        <v>11</v>
      </c>
      <c r="L683" s="9">
        <f t="shared" si="10"/>
        <v>1542857.14</v>
      </c>
    </row>
    <row r="684" spans="1:12" ht="14.25" hidden="1" customHeight="1" x14ac:dyDescent="0.3">
      <c r="A684" s="8">
        <v>683</v>
      </c>
      <c r="B684" s="8" t="str">
        <f>'Criaturas - Base de Dados'!B115</f>
        <v>Forja Ígnea</v>
      </c>
      <c r="C684" s="8" t="str">
        <f>'Criaturas - Base de Dados'!C115</f>
        <v>Fogo</v>
      </c>
      <c r="D684" s="8" t="str">
        <f>'Criaturas - Base de Dados'!D115</f>
        <v>Chama Viva Ancestral</v>
      </c>
      <c r="E684" s="8" t="str">
        <f>'Sistema de Raridade e Evolução'!B6</f>
        <v>Platina</v>
      </c>
      <c r="F684" s="9">
        <f>ROUND(('Criaturas - Base de Dados'!H115*'Sistema de Raridade e Evolução'!E6)*1000,2)</f>
        <v>1800000</v>
      </c>
      <c r="G684" s="8">
        <f>ROUND('Criaturas - Base de Dados'!I115*'Sistema de Raridade e Evolução'!E6,0)</f>
        <v>1100</v>
      </c>
      <c r="H684" s="8">
        <f>ROUND('Criaturas - Base de Dados'!J115*'Sistema de Raridade e Evolução'!E6,0)</f>
        <v>900</v>
      </c>
      <c r="I684" s="8">
        <f>ROUND('Criaturas - Base de Dados'!K115*'Sistema de Raridade e Evolução'!E6,0)</f>
        <v>5750</v>
      </c>
      <c r="J684" s="8">
        <f>'Sistema de Raridade e Evolução'!D6</f>
        <v>56</v>
      </c>
      <c r="K684" s="8" t="s">
        <v>12</v>
      </c>
      <c r="L684" s="9">
        <f t="shared" si="10"/>
        <v>4285714.29</v>
      </c>
    </row>
    <row r="685" spans="1:12" ht="14.25" hidden="1" customHeight="1" x14ac:dyDescent="0.3">
      <c r="A685" s="8">
        <v>684</v>
      </c>
      <c r="B685" s="8" t="str">
        <f>'Criaturas - Base de Dados'!B115</f>
        <v>Forja Ígnea</v>
      </c>
      <c r="C685" s="8" t="str">
        <f>'Criaturas - Base de Dados'!C115</f>
        <v>Fogo</v>
      </c>
      <c r="D685" s="8" t="str">
        <f>'Criaturas - Base de Dados'!D115</f>
        <v>Chama Viva Ancestral</v>
      </c>
      <c r="E685" s="8" t="str">
        <f>'Sistema de Raridade e Evolução'!B7</f>
        <v>Lendário</v>
      </c>
      <c r="F685" s="9">
        <f>ROUND(('Criaturas - Base de Dados'!H115*'Sistema de Raridade e Evolução'!E7)*1000,2)</f>
        <v>5400000</v>
      </c>
      <c r="G685" s="8">
        <f>ROUND('Criaturas - Base de Dados'!I115*'Sistema de Raridade e Evolução'!E7,0)</f>
        <v>3300</v>
      </c>
      <c r="H685" s="8">
        <f>ROUND('Criaturas - Base de Dados'!J115*'Sistema de Raridade e Evolução'!E7,0)</f>
        <v>2700</v>
      </c>
      <c r="I685" s="8">
        <f>ROUND('Criaturas - Base de Dados'!K115*'Sistema de Raridade e Evolução'!E7,0)</f>
        <v>17250</v>
      </c>
      <c r="J685" s="8">
        <f>'Sistema de Raridade e Evolução'!D7</f>
        <v>91</v>
      </c>
      <c r="K685" s="8" t="s">
        <v>925</v>
      </c>
      <c r="L685" s="9">
        <f t="shared" si="10"/>
        <v>12857142.859999999</v>
      </c>
    </row>
    <row r="686" spans="1:12" ht="14.25" customHeight="1" x14ac:dyDescent="0.3">
      <c r="A686" s="8">
        <v>685</v>
      </c>
      <c r="B686" s="8" t="str">
        <f>'Criaturas - Base de Dados'!B116</f>
        <v>Forja Ígnea</v>
      </c>
      <c r="C686" s="8" t="str">
        <f>'Criaturas - Base de Dados'!C116</f>
        <v>Fogo</v>
      </c>
      <c r="D686" s="8" t="str">
        <f>'Criaturas - Base de Dados'!D116</f>
        <v>Fera Incandescente</v>
      </c>
      <c r="E686" s="8" t="str">
        <f>'Sistema de Raridade e Evolução'!B2</f>
        <v>Default</v>
      </c>
      <c r="F686" s="9" t="e">
        <f>ROUND(('Criaturas - Base de Dados'!H116*'Sistema de Raridade e Evolução'!E2)*1000,2)</f>
        <v>#VALUE!</v>
      </c>
      <c r="G686" s="8" t="e">
        <f>ROUND('Criaturas - Base de Dados'!I116*'Sistema de Raridade e Evolução'!E2,0)</f>
        <v>#VALUE!</v>
      </c>
      <c r="H686" s="8" t="e">
        <f>ROUND('Criaturas - Base de Dados'!J116*'Sistema de Raridade e Evolução'!E2,0)</f>
        <v>#VALUE!</v>
      </c>
      <c r="I686" s="8" t="e">
        <f>ROUND('Criaturas - Base de Dados'!K116*'Sistema de Raridade e Evolução'!E2,0)</f>
        <v>#VALUE!</v>
      </c>
      <c r="J686" s="8">
        <f>'Sistema de Raridade e Evolução'!D2</f>
        <v>1</v>
      </c>
      <c r="K686" s="8" t="s">
        <v>8</v>
      </c>
      <c r="L686" s="9" t="e">
        <f t="shared" si="10"/>
        <v>#VALUE!</v>
      </c>
    </row>
    <row r="687" spans="1:12" ht="14.25" hidden="1" customHeight="1" x14ac:dyDescent="0.3">
      <c r="A687" s="8">
        <v>686</v>
      </c>
      <c r="B687" s="8" t="str">
        <f>'Criaturas - Base de Dados'!B116</f>
        <v>Forja Ígnea</v>
      </c>
      <c r="C687" s="8" t="str">
        <f>'Criaturas - Base de Dados'!C116</f>
        <v>Fogo</v>
      </c>
      <c r="D687" s="8" t="str">
        <f>'Criaturas - Base de Dados'!D116</f>
        <v>Fera Incandescente</v>
      </c>
      <c r="E687" s="8" t="str">
        <f>'Sistema de Raridade e Evolução'!B3</f>
        <v>Bronze</v>
      </c>
      <c r="F687" s="9">
        <f>ROUND(('Criaturas - Base de Dados'!H116*'Sistema de Raridade e Evolução'!E3)*1000,2)</f>
        <v>38000</v>
      </c>
      <c r="G687" s="8">
        <f>ROUND('Criaturas - Base de Dados'!I116*'Sistema de Raridade e Evolução'!E3,0)</f>
        <v>23</v>
      </c>
      <c r="H687" s="8">
        <f>ROUND('Criaturas - Base de Dados'!J116*'Sistema de Raridade e Evolução'!E3,0)</f>
        <v>19</v>
      </c>
      <c r="I687" s="8">
        <f>ROUND('Criaturas - Base de Dados'!K116*'Sistema de Raridade e Evolução'!E3,0)</f>
        <v>122</v>
      </c>
      <c r="J687" s="8">
        <f>'Sistema de Raridade e Evolução'!D3</f>
        <v>6</v>
      </c>
      <c r="K687" s="8" t="s">
        <v>9</v>
      </c>
      <c r="L687" s="9">
        <f t="shared" si="10"/>
        <v>90476.19</v>
      </c>
    </row>
    <row r="688" spans="1:12" ht="14.25" hidden="1" customHeight="1" x14ac:dyDescent="0.3">
      <c r="A688" s="8">
        <v>687</v>
      </c>
      <c r="B688" s="8" t="str">
        <f>'Criaturas - Base de Dados'!B116</f>
        <v>Forja Ígnea</v>
      </c>
      <c r="C688" s="8" t="str">
        <f>'Criaturas - Base de Dados'!C116</f>
        <v>Fogo</v>
      </c>
      <c r="D688" s="8" t="str">
        <f>'Criaturas - Base de Dados'!D116</f>
        <v>Fera Incandescente</v>
      </c>
      <c r="E688" s="8" t="str">
        <f>'Sistema de Raridade e Evolução'!B4</f>
        <v>Prata</v>
      </c>
      <c r="F688" s="9">
        <f>ROUND(('Criaturas - Base de Dados'!H116*'Sistema de Raridade e Evolução'!E4)*1000,2)</f>
        <v>228000</v>
      </c>
      <c r="G688" s="8">
        <f>ROUND('Criaturas - Base de Dados'!I116*'Sistema de Raridade e Evolução'!E4,0)</f>
        <v>138</v>
      </c>
      <c r="H688" s="8">
        <f>ROUND('Criaturas - Base de Dados'!J116*'Sistema de Raridade e Evolução'!E4,0)</f>
        <v>114</v>
      </c>
      <c r="I688" s="8">
        <f>ROUND('Criaturas - Base de Dados'!K116*'Sistema de Raridade e Evolução'!E4,0)</f>
        <v>732</v>
      </c>
      <c r="J688" s="8">
        <f>'Sistema de Raridade e Evolução'!D4</f>
        <v>16</v>
      </c>
      <c r="K688" s="8" t="s">
        <v>10</v>
      </c>
      <c r="L688" s="9">
        <f t="shared" si="10"/>
        <v>542857.14</v>
      </c>
    </row>
    <row r="689" spans="1:12" ht="14.25" hidden="1" customHeight="1" x14ac:dyDescent="0.3">
      <c r="A689" s="8">
        <v>688</v>
      </c>
      <c r="B689" s="8" t="str">
        <f>'Criaturas - Base de Dados'!B116</f>
        <v>Forja Ígnea</v>
      </c>
      <c r="C689" s="8" t="str">
        <f>'Criaturas - Base de Dados'!C116</f>
        <v>Fogo</v>
      </c>
      <c r="D689" s="8" t="str">
        <f>'Criaturas - Base de Dados'!D116</f>
        <v>Fera Incandescente</v>
      </c>
      <c r="E689" s="8" t="str">
        <f>'Sistema de Raridade e Evolução'!B5</f>
        <v>Ouro</v>
      </c>
      <c r="F689" s="9">
        <f>ROUND(('Criaturas - Base de Dados'!H116*'Sistema de Raridade e Evolução'!E5)*1000,2)</f>
        <v>684000</v>
      </c>
      <c r="G689" s="8">
        <f>ROUND('Criaturas - Base de Dados'!I116*'Sistema de Raridade e Evolução'!E5,0)</f>
        <v>414</v>
      </c>
      <c r="H689" s="8">
        <f>ROUND('Criaturas - Base de Dados'!J116*'Sistema de Raridade e Evolução'!E5,0)</f>
        <v>342</v>
      </c>
      <c r="I689" s="8">
        <f>ROUND('Criaturas - Base de Dados'!K116*'Sistema de Raridade e Evolução'!E5,0)</f>
        <v>2196</v>
      </c>
      <c r="J689" s="8">
        <f>'Sistema de Raridade e Evolução'!D5</f>
        <v>31</v>
      </c>
      <c r="K689" s="8" t="s">
        <v>11</v>
      </c>
      <c r="L689" s="9">
        <f t="shared" si="10"/>
        <v>1628571.43</v>
      </c>
    </row>
    <row r="690" spans="1:12" ht="14.25" hidden="1" customHeight="1" x14ac:dyDescent="0.3">
      <c r="A690" s="8">
        <v>689</v>
      </c>
      <c r="B690" s="8" t="str">
        <f>'Criaturas - Base de Dados'!B116</f>
        <v>Forja Ígnea</v>
      </c>
      <c r="C690" s="8" t="str">
        <f>'Criaturas - Base de Dados'!C116</f>
        <v>Fogo</v>
      </c>
      <c r="D690" s="8" t="str">
        <f>'Criaturas - Base de Dados'!D116</f>
        <v>Fera Incandescente</v>
      </c>
      <c r="E690" s="8" t="str">
        <f>'Sistema de Raridade e Evolução'!B6</f>
        <v>Platina</v>
      </c>
      <c r="F690" s="9">
        <f>ROUND(('Criaturas - Base de Dados'!H116*'Sistema de Raridade e Evolução'!E6)*1000,2)</f>
        <v>1900000</v>
      </c>
      <c r="G690" s="8">
        <f>ROUND('Criaturas - Base de Dados'!I116*'Sistema de Raridade e Evolução'!E6,0)</f>
        <v>1150</v>
      </c>
      <c r="H690" s="8">
        <f>ROUND('Criaturas - Base de Dados'!J116*'Sistema de Raridade e Evolução'!E6,0)</f>
        <v>950</v>
      </c>
      <c r="I690" s="8">
        <f>ROUND('Criaturas - Base de Dados'!K116*'Sistema de Raridade e Evolução'!E6,0)</f>
        <v>6100</v>
      </c>
      <c r="J690" s="8">
        <f>'Sistema de Raridade e Evolução'!D6</f>
        <v>56</v>
      </c>
      <c r="K690" s="8" t="s">
        <v>12</v>
      </c>
      <c r="L690" s="9">
        <f t="shared" si="10"/>
        <v>4523809.5199999996</v>
      </c>
    </row>
    <row r="691" spans="1:12" ht="14.25" hidden="1" customHeight="1" x14ac:dyDescent="0.3">
      <c r="A691" s="8">
        <v>690</v>
      </c>
      <c r="B691" s="8" t="str">
        <f>'Criaturas - Base de Dados'!B116</f>
        <v>Forja Ígnea</v>
      </c>
      <c r="C691" s="8" t="str">
        <f>'Criaturas - Base de Dados'!C116</f>
        <v>Fogo</v>
      </c>
      <c r="D691" s="8" t="str">
        <f>'Criaturas - Base de Dados'!D116</f>
        <v>Fera Incandescente</v>
      </c>
      <c r="E691" s="8" t="str">
        <f>'Sistema de Raridade e Evolução'!B7</f>
        <v>Lendário</v>
      </c>
      <c r="F691" s="9">
        <f>ROUND(('Criaturas - Base de Dados'!H116*'Sistema de Raridade e Evolução'!E7)*1000,2)</f>
        <v>5700000</v>
      </c>
      <c r="G691" s="8">
        <f>ROUND('Criaturas - Base de Dados'!I116*'Sistema de Raridade e Evolução'!E7,0)</f>
        <v>3450</v>
      </c>
      <c r="H691" s="8">
        <f>ROUND('Criaturas - Base de Dados'!J116*'Sistema de Raridade e Evolução'!E7,0)</f>
        <v>2850</v>
      </c>
      <c r="I691" s="8">
        <f>ROUND('Criaturas - Base de Dados'!K116*'Sistema de Raridade e Evolução'!E7,0)</f>
        <v>18300</v>
      </c>
      <c r="J691" s="8">
        <f>'Sistema de Raridade e Evolução'!D7</f>
        <v>91</v>
      </c>
      <c r="K691" s="8" t="s">
        <v>925</v>
      </c>
      <c r="L691" s="9">
        <f t="shared" si="10"/>
        <v>13571428.57</v>
      </c>
    </row>
    <row r="692" spans="1:12" ht="14.25" customHeight="1" x14ac:dyDescent="0.3">
      <c r="A692" s="8">
        <v>691</v>
      </c>
      <c r="B692" s="8" t="str">
        <f>'Criaturas - Base de Dados'!B117</f>
        <v>Forja Ígnea</v>
      </c>
      <c r="C692" s="8" t="str">
        <f>'Criaturas - Base de Dados'!C117</f>
        <v>Fogo</v>
      </c>
      <c r="D692" s="8" t="str">
        <f>'Criaturas - Base de Dados'!D117</f>
        <v>Golem de Brasa</v>
      </c>
      <c r="E692" s="8" t="str">
        <f>'Sistema de Raridade e Evolução'!B2</f>
        <v>Default</v>
      </c>
      <c r="F692" s="9" t="e">
        <f>ROUND(('Criaturas - Base de Dados'!H117*'Sistema de Raridade e Evolução'!E2)*1000,2)</f>
        <v>#VALUE!</v>
      </c>
      <c r="G692" s="8" t="e">
        <f>ROUND('Criaturas - Base de Dados'!I117*'Sistema de Raridade e Evolução'!E2,0)</f>
        <v>#VALUE!</v>
      </c>
      <c r="H692" s="8" t="e">
        <f>ROUND('Criaturas - Base de Dados'!J117*'Sistema de Raridade e Evolução'!E2,0)</f>
        <v>#VALUE!</v>
      </c>
      <c r="I692" s="8" t="e">
        <f>ROUND('Criaturas - Base de Dados'!K117*'Sistema de Raridade e Evolução'!E2,0)</f>
        <v>#VALUE!</v>
      </c>
      <c r="J692" s="8">
        <f>'Sistema de Raridade e Evolução'!D2</f>
        <v>1</v>
      </c>
      <c r="K692" s="8" t="s">
        <v>8</v>
      </c>
      <c r="L692" s="9" t="e">
        <f t="shared" si="10"/>
        <v>#VALUE!</v>
      </c>
    </row>
    <row r="693" spans="1:12" ht="14.25" hidden="1" customHeight="1" x14ac:dyDescent="0.3">
      <c r="A693" s="8">
        <v>692</v>
      </c>
      <c r="B693" s="8" t="str">
        <f>'Criaturas - Base de Dados'!B117</f>
        <v>Forja Ígnea</v>
      </c>
      <c r="C693" s="8" t="str">
        <f>'Criaturas - Base de Dados'!C117</f>
        <v>Fogo</v>
      </c>
      <c r="D693" s="8" t="str">
        <f>'Criaturas - Base de Dados'!D117</f>
        <v>Golem de Brasa</v>
      </c>
      <c r="E693" s="8" t="str">
        <f>'Sistema de Raridade e Evolução'!B3</f>
        <v>Bronze</v>
      </c>
      <c r="F693" s="9">
        <f>ROUND(('Criaturas - Base de Dados'!H117*'Sistema de Raridade e Evolução'!E3)*1000,2)</f>
        <v>54000</v>
      </c>
      <c r="G693" s="8">
        <f>ROUND('Criaturas - Base de Dados'!I117*'Sistema de Raridade e Evolução'!E3,0)</f>
        <v>32</v>
      </c>
      <c r="H693" s="8">
        <f>ROUND('Criaturas - Base de Dados'!J117*'Sistema de Raridade e Evolução'!E3,0)</f>
        <v>27</v>
      </c>
      <c r="I693" s="8">
        <f>ROUND('Criaturas - Base de Dados'!K117*'Sistema de Raridade e Evolução'!E3,0)</f>
        <v>173</v>
      </c>
      <c r="J693" s="8">
        <f>'Sistema de Raridade e Evolução'!D3</f>
        <v>6</v>
      </c>
      <c r="K693" s="8" t="s">
        <v>9</v>
      </c>
      <c r="L693" s="9">
        <f t="shared" si="10"/>
        <v>128571.43</v>
      </c>
    </row>
    <row r="694" spans="1:12" ht="14.25" hidden="1" customHeight="1" x14ac:dyDescent="0.3">
      <c r="A694" s="8">
        <v>693</v>
      </c>
      <c r="B694" s="8" t="str">
        <f>'Criaturas - Base de Dados'!B117</f>
        <v>Forja Ígnea</v>
      </c>
      <c r="C694" s="8" t="str">
        <f>'Criaturas - Base de Dados'!C117</f>
        <v>Fogo</v>
      </c>
      <c r="D694" s="8" t="str">
        <f>'Criaturas - Base de Dados'!D117</f>
        <v>Golem de Brasa</v>
      </c>
      <c r="E694" s="8" t="str">
        <f>'Sistema de Raridade e Evolução'!B4</f>
        <v>Prata</v>
      </c>
      <c r="F694" s="9">
        <f>ROUND(('Criaturas - Base de Dados'!H117*'Sistema de Raridade e Evolução'!E4)*1000,2)</f>
        <v>324000</v>
      </c>
      <c r="G694" s="8">
        <f>ROUND('Criaturas - Base de Dados'!I117*'Sistema de Raridade e Evolução'!E4,0)</f>
        <v>192</v>
      </c>
      <c r="H694" s="8">
        <f>ROUND('Criaturas - Base de Dados'!J117*'Sistema de Raridade e Evolução'!E4,0)</f>
        <v>162</v>
      </c>
      <c r="I694" s="8">
        <f>ROUND('Criaturas - Base de Dados'!K117*'Sistema de Raridade e Evolução'!E4,0)</f>
        <v>1038</v>
      </c>
      <c r="J694" s="8">
        <f>'Sistema de Raridade e Evolução'!D4</f>
        <v>16</v>
      </c>
      <c r="K694" s="8" t="s">
        <v>10</v>
      </c>
      <c r="L694" s="9">
        <f t="shared" si="10"/>
        <v>771428.57</v>
      </c>
    </row>
    <row r="695" spans="1:12" ht="14.25" hidden="1" customHeight="1" x14ac:dyDescent="0.3">
      <c r="A695" s="8">
        <v>694</v>
      </c>
      <c r="B695" s="8" t="str">
        <f>'Criaturas - Base de Dados'!B117</f>
        <v>Forja Ígnea</v>
      </c>
      <c r="C695" s="8" t="str">
        <f>'Criaturas - Base de Dados'!C117</f>
        <v>Fogo</v>
      </c>
      <c r="D695" s="8" t="str">
        <f>'Criaturas - Base de Dados'!D117</f>
        <v>Golem de Brasa</v>
      </c>
      <c r="E695" s="8" t="str">
        <f>'Sistema de Raridade e Evolução'!B5</f>
        <v>Ouro</v>
      </c>
      <c r="F695" s="9">
        <f>ROUND(('Criaturas - Base de Dados'!H117*'Sistema de Raridade e Evolução'!E5)*1000,2)</f>
        <v>972000</v>
      </c>
      <c r="G695" s="8">
        <f>ROUND('Criaturas - Base de Dados'!I117*'Sistema de Raridade e Evolução'!E5,0)</f>
        <v>576</v>
      </c>
      <c r="H695" s="8">
        <f>ROUND('Criaturas - Base de Dados'!J117*'Sistema de Raridade e Evolução'!E5,0)</f>
        <v>486</v>
      </c>
      <c r="I695" s="8">
        <f>ROUND('Criaturas - Base de Dados'!K117*'Sistema de Raridade e Evolução'!E5,0)</f>
        <v>3114</v>
      </c>
      <c r="J695" s="8">
        <f>'Sistema de Raridade e Evolução'!D5</f>
        <v>31</v>
      </c>
      <c r="K695" s="8" t="s">
        <v>11</v>
      </c>
      <c r="L695" s="9">
        <f t="shared" si="10"/>
        <v>2314285.71</v>
      </c>
    </row>
    <row r="696" spans="1:12" ht="14.25" hidden="1" customHeight="1" x14ac:dyDescent="0.3">
      <c r="A696" s="8">
        <v>695</v>
      </c>
      <c r="B696" s="8" t="str">
        <f>'Criaturas - Base de Dados'!B117</f>
        <v>Forja Ígnea</v>
      </c>
      <c r="C696" s="8" t="str">
        <f>'Criaturas - Base de Dados'!C117</f>
        <v>Fogo</v>
      </c>
      <c r="D696" s="8" t="str">
        <f>'Criaturas - Base de Dados'!D117</f>
        <v>Golem de Brasa</v>
      </c>
      <c r="E696" s="8" t="str">
        <f>'Sistema de Raridade e Evolução'!B6</f>
        <v>Platina</v>
      </c>
      <c r="F696" s="9">
        <f>ROUND(('Criaturas - Base de Dados'!H117*'Sistema de Raridade e Evolução'!E6)*1000,2)</f>
        <v>2700000</v>
      </c>
      <c r="G696" s="8">
        <f>ROUND('Criaturas - Base de Dados'!I117*'Sistema de Raridade e Evolução'!E6,0)</f>
        <v>1600</v>
      </c>
      <c r="H696" s="8">
        <f>ROUND('Criaturas - Base de Dados'!J117*'Sistema de Raridade e Evolução'!E6,0)</f>
        <v>1350</v>
      </c>
      <c r="I696" s="8">
        <f>ROUND('Criaturas - Base de Dados'!K117*'Sistema de Raridade e Evolução'!E6,0)</f>
        <v>8650</v>
      </c>
      <c r="J696" s="8">
        <f>'Sistema de Raridade e Evolução'!D6</f>
        <v>56</v>
      </c>
      <c r="K696" s="8" t="s">
        <v>12</v>
      </c>
      <c r="L696" s="9">
        <f t="shared" si="10"/>
        <v>6428571.4299999997</v>
      </c>
    </row>
    <row r="697" spans="1:12" ht="14.25" hidden="1" customHeight="1" x14ac:dyDescent="0.3">
      <c r="A697" s="8">
        <v>696</v>
      </c>
      <c r="B697" s="8" t="str">
        <f>'Criaturas - Base de Dados'!B117</f>
        <v>Forja Ígnea</v>
      </c>
      <c r="C697" s="8" t="str">
        <f>'Criaturas - Base de Dados'!C117</f>
        <v>Fogo</v>
      </c>
      <c r="D697" s="8" t="str">
        <f>'Criaturas - Base de Dados'!D117</f>
        <v>Golem de Brasa</v>
      </c>
      <c r="E697" s="8" t="str">
        <f>'Sistema de Raridade e Evolução'!B7</f>
        <v>Lendário</v>
      </c>
      <c r="F697" s="9">
        <f>ROUND(('Criaturas - Base de Dados'!H117*'Sistema de Raridade e Evolução'!E7)*1000,2)</f>
        <v>8100000</v>
      </c>
      <c r="G697" s="8">
        <f>ROUND('Criaturas - Base de Dados'!I117*'Sistema de Raridade e Evolução'!E7,0)</f>
        <v>4800</v>
      </c>
      <c r="H697" s="8">
        <f>ROUND('Criaturas - Base de Dados'!J117*'Sistema de Raridade e Evolução'!E7,0)</f>
        <v>4050</v>
      </c>
      <c r="I697" s="8">
        <f>ROUND('Criaturas - Base de Dados'!K117*'Sistema de Raridade e Evolução'!E7,0)</f>
        <v>25950</v>
      </c>
      <c r="J697" s="8">
        <f>'Sistema de Raridade e Evolução'!D7</f>
        <v>91</v>
      </c>
      <c r="K697" s="8" t="s">
        <v>925</v>
      </c>
      <c r="L697" s="9">
        <f t="shared" si="10"/>
        <v>19285714.289999999</v>
      </c>
    </row>
    <row r="698" spans="1:12" ht="14.25" customHeight="1" x14ac:dyDescent="0.3">
      <c r="A698" s="8">
        <v>697</v>
      </c>
      <c r="B698" s="8" t="str">
        <f>'Criaturas - Base de Dados'!B118</f>
        <v>Forja Ígnea</v>
      </c>
      <c r="C698" s="8" t="str">
        <f>'Criaturas - Base de Dados'!C118</f>
        <v>Fogo</v>
      </c>
      <c r="D698" s="8" t="str">
        <f>'Criaturas - Base de Dados'!D118</f>
        <v>Serpente de Enxofre</v>
      </c>
      <c r="E698" s="8" t="str">
        <f>'Sistema de Raridade e Evolução'!B2</f>
        <v>Default</v>
      </c>
      <c r="F698" s="9" t="e">
        <f>ROUND(('Criaturas - Base de Dados'!H118*'Sistema de Raridade e Evolução'!E2)*1000,2)</f>
        <v>#VALUE!</v>
      </c>
      <c r="G698" s="8" t="e">
        <f>ROUND('Criaturas - Base de Dados'!I118*'Sistema de Raridade e Evolução'!E2,0)</f>
        <v>#VALUE!</v>
      </c>
      <c r="H698" s="8" t="e">
        <f>ROUND('Criaturas - Base de Dados'!J118*'Sistema de Raridade e Evolução'!E2,0)</f>
        <v>#VALUE!</v>
      </c>
      <c r="I698" s="8" t="e">
        <f>ROUND('Criaturas - Base de Dados'!K118*'Sistema de Raridade e Evolução'!E2,0)</f>
        <v>#VALUE!</v>
      </c>
      <c r="J698" s="8">
        <f>'Sistema de Raridade e Evolução'!D2</f>
        <v>1</v>
      </c>
      <c r="K698" s="8" t="s">
        <v>8</v>
      </c>
      <c r="L698" s="9" t="e">
        <f t="shared" si="10"/>
        <v>#VALUE!</v>
      </c>
    </row>
    <row r="699" spans="1:12" ht="14.25" hidden="1" customHeight="1" x14ac:dyDescent="0.3">
      <c r="A699" s="8">
        <v>698</v>
      </c>
      <c r="B699" s="8" t="str">
        <f>'Criaturas - Base de Dados'!B118</f>
        <v>Forja Ígnea</v>
      </c>
      <c r="C699" s="8" t="str">
        <f>'Criaturas - Base de Dados'!C118</f>
        <v>Fogo</v>
      </c>
      <c r="D699" s="8" t="str">
        <f>'Criaturas - Base de Dados'!D118</f>
        <v>Serpente de Enxofre</v>
      </c>
      <c r="E699" s="8" t="str">
        <f>'Sistema de Raridade e Evolução'!B3</f>
        <v>Bronze</v>
      </c>
      <c r="F699" s="9">
        <f>ROUND(('Criaturas - Base de Dados'!H118*'Sistema de Raridade e Evolução'!E3)*1000,2)</f>
        <v>48000</v>
      </c>
      <c r="G699" s="8">
        <f>ROUND('Criaturas - Base de Dados'!I118*'Sistema de Raridade e Evolução'!E3,0)</f>
        <v>29</v>
      </c>
      <c r="H699" s="8">
        <f>ROUND('Criaturas - Base de Dados'!J118*'Sistema de Raridade e Evolução'!E3,0)</f>
        <v>24</v>
      </c>
      <c r="I699" s="8">
        <f>ROUND('Criaturas - Base de Dados'!K118*'Sistema de Raridade e Evolução'!E3,0)</f>
        <v>154</v>
      </c>
      <c r="J699" s="8">
        <f>'Sistema de Raridade e Evolução'!D3</f>
        <v>6</v>
      </c>
      <c r="K699" s="8" t="s">
        <v>9</v>
      </c>
      <c r="L699" s="9">
        <f t="shared" si="10"/>
        <v>114285.71</v>
      </c>
    </row>
    <row r="700" spans="1:12" ht="14.25" hidden="1" customHeight="1" x14ac:dyDescent="0.3">
      <c r="A700" s="8">
        <v>699</v>
      </c>
      <c r="B700" s="8" t="str">
        <f>'Criaturas - Base de Dados'!B118</f>
        <v>Forja Ígnea</v>
      </c>
      <c r="C700" s="8" t="str">
        <f>'Criaturas - Base de Dados'!C118</f>
        <v>Fogo</v>
      </c>
      <c r="D700" s="8" t="str">
        <f>'Criaturas - Base de Dados'!D118</f>
        <v>Serpente de Enxofre</v>
      </c>
      <c r="E700" s="8" t="str">
        <f>'Sistema de Raridade e Evolução'!B4</f>
        <v>Prata</v>
      </c>
      <c r="F700" s="9">
        <f>ROUND(('Criaturas - Base de Dados'!H118*'Sistema de Raridade e Evolução'!E4)*1000,2)</f>
        <v>288000</v>
      </c>
      <c r="G700" s="8">
        <f>ROUND('Criaturas - Base de Dados'!I118*'Sistema de Raridade e Evolução'!E4,0)</f>
        <v>174</v>
      </c>
      <c r="H700" s="8">
        <f>ROUND('Criaturas - Base de Dados'!J118*'Sistema de Raridade e Evolução'!E4,0)</f>
        <v>144</v>
      </c>
      <c r="I700" s="8">
        <f>ROUND('Criaturas - Base de Dados'!K118*'Sistema de Raridade e Evolução'!E4,0)</f>
        <v>924</v>
      </c>
      <c r="J700" s="8">
        <f>'Sistema de Raridade e Evolução'!D4</f>
        <v>16</v>
      </c>
      <c r="K700" s="8" t="s">
        <v>10</v>
      </c>
      <c r="L700" s="9">
        <f t="shared" si="10"/>
        <v>685714.29</v>
      </c>
    </row>
    <row r="701" spans="1:12" ht="14.25" hidden="1" customHeight="1" x14ac:dyDescent="0.3">
      <c r="A701" s="8">
        <v>700</v>
      </c>
      <c r="B701" s="8" t="str">
        <f>'Criaturas - Base de Dados'!B118</f>
        <v>Forja Ígnea</v>
      </c>
      <c r="C701" s="8" t="str">
        <f>'Criaturas - Base de Dados'!C118</f>
        <v>Fogo</v>
      </c>
      <c r="D701" s="8" t="str">
        <f>'Criaturas - Base de Dados'!D118</f>
        <v>Serpente de Enxofre</v>
      </c>
      <c r="E701" s="8" t="str">
        <f>'Sistema de Raridade e Evolução'!B5</f>
        <v>Ouro</v>
      </c>
      <c r="F701" s="9">
        <f>ROUND(('Criaturas - Base de Dados'!H118*'Sistema de Raridade e Evolução'!E5)*1000,2)</f>
        <v>864000</v>
      </c>
      <c r="G701" s="8">
        <f>ROUND('Criaturas - Base de Dados'!I118*'Sistema de Raridade e Evolução'!E5,0)</f>
        <v>522</v>
      </c>
      <c r="H701" s="8">
        <f>ROUND('Criaturas - Base de Dados'!J118*'Sistema de Raridade e Evolução'!E5,0)</f>
        <v>432</v>
      </c>
      <c r="I701" s="8">
        <f>ROUND('Criaturas - Base de Dados'!K118*'Sistema de Raridade e Evolução'!E5,0)</f>
        <v>2772</v>
      </c>
      <c r="J701" s="8">
        <f>'Sistema de Raridade e Evolução'!D5</f>
        <v>31</v>
      </c>
      <c r="K701" s="8" t="s">
        <v>11</v>
      </c>
      <c r="L701" s="9">
        <f t="shared" si="10"/>
        <v>2057142.86</v>
      </c>
    </row>
    <row r="702" spans="1:12" ht="14.25" hidden="1" customHeight="1" x14ac:dyDescent="0.3">
      <c r="A702" s="8">
        <v>701</v>
      </c>
      <c r="B702" s="8" t="str">
        <f>'Criaturas - Base de Dados'!B118</f>
        <v>Forja Ígnea</v>
      </c>
      <c r="C702" s="8" t="str">
        <f>'Criaturas - Base de Dados'!C118</f>
        <v>Fogo</v>
      </c>
      <c r="D702" s="8" t="str">
        <f>'Criaturas - Base de Dados'!D118</f>
        <v>Serpente de Enxofre</v>
      </c>
      <c r="E702" s="8" t="str">
        <f>'Sistema de Raridade e Evolução'!B6</f>
        <v>Platina</v>
      </c>
      <c r="F702" s="9">
        <f>ROUND(('Criaturas - Base de Dados'!H118*'Sistema de Raridade e Evolução'!E6)*1000,2)</f>
        <v>2400000</v>
      </c>
      <c r="G702" s="8">
        <f>ROUND('Criaturas - Base de Dados'!I118*'Sistema de Raridade e Evolução'!E6,0)</f>
        <v>1450</v>
      </c>
      <c r="H702" s="8">
        <f>ROUND('Criaturas - Base de Dados'!J118*'Sistema de Raridade e Evolução'!E6,0)</f>
        <v>1200</v>
      </c>
      <c r="I702" s="8">
        <f>ROUND('Criaturas - Base de Dados'!K118*'Sistema de Raridade e Evolução'!E6,0)</f>
        <v>7700</v>
      </c>
      <c r="J702" s="8">
        <f>'Sistema de Raridade e Evolução'!D6</f>
        <v>56</v>
      </c>
      <c r="K702" s="8" t="s">
        <v>12</v>
      </c>
      <c r="L702" s="9">
        <f t="shared" si="10"/>
        <v>5714285.71</v>
      </c>
    </row>
    <row r="703" spans="1:12" ht="14.25" hidden="1" customHeight="1" x14ac:dyDescent="0.3">
      <c r="A703" s="8">
        <v>702</v>
      </c>
      <c r="B703" s="8" t="str">
        <f>'Criaturas - Base de Dados'!B118</f>
        <v>Forja Ígnea</v>
      </c>
      <c r="C703" s="8" t="str">
        <f>'Criaturas - Base de Dados'!C118</f>
        <v>Fogo</v>
      </c>
      <c r="D703" s="8" t="str">
        <f>'Criaturas - Base de Dados'!D118</f>
        <v>Serpente de Enxofre</v>
      </c>
      <c r="E703" s="8" t="str">
        <f>'Sistema de Raridade e Evolução'!B7</f>
        <v>Lendário</v>
      </c>
      <c r="F703" s="9">
        <f>ROUND(('Criaturas - Base de Dados'!H118*'Sistema de Raridade e Evolução'!E7)*1000,2)</f>
        <v>7200000</v>
      </c>
      <c r="G703" s="8">
        <f>ROUND('Criaturas - Base de Dados'!I118*'Sistema de Raridade e Evolução'!E7,0)</f>
        <v>4350</v>
      </c>
      <c r="H703" s="8">
        <f>ROUND('Criaturas - Base de Dados'!J118*'Sistema de Raridade e Evolução'!E7,0)</f>
        <v>3600</v>
      </c>
      <c r="I703" s="8">
        <f>ROUND('Criaturas - Base de Dados'!K118*'Sistema de Raridade e Evolução'!E7,0)</f>
        <v>23100</v>
      </c>
      <c r="J703" s="8">
        <f>'Sistema de Raridade e Evolução'!D7</f>
        <v>91</v>
      </c>
      <c r="K703" s="8" t="s">
        <v>925</v>
      </c>
      <c r="L703" s="9">
        <f t="shared" si="10"/>
        <v>17142857.140000001</v>
      </c>
    </row>
    <row r="704" spans="1:12" ht="14.25" customHeight="1" x14ac:dyDescent="0.3">
      <c r="A704" s="8">
        <v>703</v>
      </c>
      <c r="B704" s="8" t="str">
        <f>'Criaturas - Base de Dados'!B119</f>
        <v>Forja Ígnea</v>
      </c>
      <c r="C704" s="8" t="str">
        <f>'Criaturas - Base de Dados'!C119</f>
        <v>Fogo</v>
      </c>
      <c r="D704" s="8" t="str">
        <f>'Criaturas - Base de Dados'!D119</f>
        <v>Wyrm Escaldante</v>
      </c>
      <c r="E704" s="8" t="str">
        <f>'Sistema de Raridade e Evolução'!B2</f>
        <v>Default</v>
      </c>
      <c r="F704" s="9" t="e">
        <f>ROUND(('Criaturas - Base de Dados'!H119*'Sistema de Raridade e Evolução'!E2)*1000,2)</f>
        <v>#VALUE!</v>
      </c>
      <c r="G704" s="8" t="e">
        <f>ROUND('Criaturas - Base de Dados'!I119*'Sistema de Raridade e Evolução'!E2,0)</f>
        <v>#VALUE!</v>
      </c>
      <c r="H704" s="8" t="e">
        <f>ROUND('Criaturas - Base de Dados'!J119*'Sistema de Raridade e Evolução'!E2,0)</f>
        <v>#VALUE!</v>
      </c>
      <c r="I704" s="8" t="e">
        <f>ROUND('Criaturas - Base de Dados'!K119*'Sistema de Raridade e Evolução'!E2,0)</f>
        <v>#VALUE!</v>
      </c>
      <c r="J704" s="8">
        <f>'Sistema de Raridade e Evolução'!D2</f>
        <v>1</v>
      </c>
      <c r="K704" s="8" t="s">
        <v>8</v>
      </c>
      <c r="L704" s="9" t="e">
        <f t="shared" si="10"/>
        <v>#VALUE!</v>
      </c>
    </row>
    <row r="705" spans="1:12" ht="14.25" hidden="1" customHeight="1" x14ac:dyDescent="0.3">
      <c r="A705" s="8">
        <v>704</v>
      </c>
      <c r="B705" s="8" t="str">
        <f>'Criaturas - Base de Dados'!B119</f>
        <v>Forja Ígnea</v>
      </c>
      <c r="C705" s="8" t="str">
        <f>'Criaturas - Base de Dados'!C119</f>
        <v>Fogo</v>
      </c>
      <c r="D705" s="8" t="str">
        <f>'Criaturas - Base de Dados'!D119</f>
        <v>Wyrm Escaldante</v>
      </c>
      <c r="E705" s="8" t="str">
        <f>'Sistema de Raridade e Evolução'!B3</f>
        <v>Bronze</v>
      </c>
      <c r="F705" s="9">
        <f>ROUND(('Criaturas - Base de Dados'!H119*'Sistema de Raridade e Evolução'!E3)*1000,2)</f>
        <v>50000</v>
      </c>
      <c r="G705" s="8">
        <f>ROUND('Criaturas - Base de Dados'!I119*'Sistema de Raridade e Evolução'!E3,0)</f>
        <v>30</v>
      </c>
      <c r="H705" s="8">
        <f>ROUND('Criaturas - Base de Dados'!J119*'Sistema de Raridade e Evolução'!E3,0)</f>
        <v>25</v>
      </c>
      <c r="I705" s="8">
        <f>ROUND('Criaturas - Base de Dados'!K119*'Sistema de Raridade e Evolução'!E3,0)</f>
        <v>160</v>
      </c>
      <c r="J705" s="8">
        <f>'Sistema de Raridade e Evolução'!D3</f>
        <v>6</v>
      </c>
      <c r="K705" s="8" t="s">
        <v>9</v>
      </c>
      <c r="L705" s="9">
        <f t="shared" si="10"/>
        <v>119047.62</v>
      </c>
    </row>
    <row r="706" spans="1:12" ht="14.25" hidden="1" customHeight="1" x14ac:dyDescent="0.3">
      <c r="A706" s="8">
        <v>705</v>
      </c>
      <c r="B706" s="8" t="str">
        <f>'Criaturas - Base de Dados'!B119</f>
        <v>Forja Ígnea</v>
      </c>
      <c r="C706" s="8" t="str">
        <f>'Criaturas - Base de Dados'!C119</f>
        <v>Fogo</v>
      </c>
      <c r="D706" s="8" t="str">
        <f>'Criaturas - Base de Dados'!D119</f>
        <v>Wyrm Escaldante</v>
      </c>
      <c r="E706" s="8" t="str">
        <f>'Sistema de Raridade e Evolução'!B4</f>
        <v>Prata</v>
      </c>
      <c r="F706" s="9">
        <f>ROUND(('Criaturas - Base de Dados'!H119*'Sistema de Raridade e Evolução'!E4)*1000,2)</f>
        <v>300000</v>
      </c>
      <c r="G706" s="8">
        <f>ROUND('Criaturas - Base de Dados'!I119*'Sistema de Raridade e Evolução'!E4,0)</f>
        <v>180</v>
      </c>
      <c r="H706" s="8">
        <f>ROUND('Criaturas - Base de Dados'!J119*'Sistema de Raridade e Evolução'!E4,0)</f>
        <v>150</v>
      </c>
      <c r="I706" s="8">
        <f>ROUND('Criaturas - Base de Dados'!K119*'Sistema de Raridade e Evolução'!E4,0)</f>
        <v>960</v>
      </c>
      <c r="J706" s="8">
        <f>'Sistema de Raridade e Evolução'!D4</f>
        <v>16</v>
      </c>
      <c r="K706" s="8" t="s">
        <v>10</v>
      </c>
      <c r="L706" s="9">
        <f t="shared" ref="L706:L769" si="11">ROUND(F706*(2.5/1.05),2)</f>
        <v>714285.71</v>
      </c>
    </row>
    <row r="707" spans="1:12" ht="14.25" hidden="1" customHeight="1" x14ac:dyDescent="0.3">
      <c r="A707" s="8">
        <v>706</v>
      </c>
      <c r="B707" s="8" t="str">
        <f>'Criaturas - Base de Dados'!B119</f>
        <v>Forja Ígnea</v>
      </c>
      <c r="C707" s="8" t="str">
        <f>'Criaturas - Base de Dados'!C119</f>
        <v>Fogo</v>
      </c>
      <c r="D707" s="8" t="str">
        <f>'Criaturas - Base de Dados'!D119</f>
        <v>Wyrm Escaldante</v>
      </c>
      <c r="E707" s="8" t="str">
        <f>'Sistema de Raridade e Evolução'!B5</f>
        <v>Ouro</v>
      </c>
      <c r="F707" s="9">
        <f>ROUND(('Criaturas - Base de Dados'!H119*'Sistema de Raridade e Evolução'!E5)*1000,2)</f>
        <v>900000</v>
      </c>
      <c r="G707" s="8">
        <f>ROUND('Criaturas - Base de Dados'!I119*'Sistema de Raridade e Evolução'!E5,0)</f>
        <v>540</v>
      </c>
      <c r="H707" s="8">
        <f>ROUND('Criaturas - Base de Dados'!J119*'Sistema de Raridade e Evolução'!E5,0)</f>
        <v>450</v>
      </c>
      <c r="I707" s="8">
        <f>ROUND('Criaturas - Base de Dados'!K119*'Sistema de Raridade e Evolução'!E5,0)</f>
        <v>2880</v>
      </c>
      <c r="J707" s="8">
        <f>'Sistema de Raridade e Evolução'!D5</f>
        <v>31</v>
      </c>
      <c r="K707" s="8" t="s">
        <v>11</v>
      </c>
      <c r="L707" s="9">
        <f t="shared" si="11"/>
        <v>2142857.14</v>
      </c>
    </row>
    <row r="708" spans="1:12" ht="14.25" hidden="1" customHeight="1" x14ac:dyDescent="0.3">
      <c r="A708" s="8">
        <v>707</v>
      </c>
      <c r="B708" s="8" t="str">
        <f>'Criaturas - Base de Dados'!B119</f>
        <v>Forja Ígnea</v>
      </c>
      <c r="C708" s="8" t="str">
        <f>'Criaturas - Base de Dados'!C119</f>
        <v>Fogo</v>
      </c>
      <c r="D708" s="8" t="str">
        <f>'Criaturas - Base de Dados'!D119</f>
        <v>Wyrm Escaldante</v>
      </c>
      <c r="E708" s="8" t="str">
        <f>'Sistema de Raridade e Evolução'!B6</f>
        <v>Platina</v>
      </c>
      <c r="F708" s="9">
        <f>ROUND(('Criaturas - Base de Dados'!H119*'Sistema de Raridade e Evolução'!E6)*1000,2)</f>
        <v>2500000</v>
      </c>
      <c r="G708" s="8">
        <f>ROUND('Criaturas - Base de Dados'!I119*'Sistema de Raridade e Evolução'!E6,0)</f>
        <v>1500</v>
      </c>
      <c r="H708" s="8">
        <f>ROUND('Criaturas - Base de Dados'!J119*'Sistema de Raridade e Evolução'!E6,0)</f>
        <v>1250</v>
      </c>
      <c r="I708" s="8">
        <f>ROUND('Criaturas - Base de Dados'!K119*'Sistema de Raridade e Evolução'!E6,0)</f>
        <v>8000</v>
      </c>
      <c r="J708" s="8">
        <f>'Sistema de Raridade e Evolução'!D6</f>
        <v>56</v>
      </c>
      <c r="K708" s="8" t="s">
        <v>12</v>
      </c>
      <c r="L708" s="9">
        <f t="shared" si="11"/>
        <v>5952380.9500000002</v>
      </c>
    </row>
    <row r="709" spans="1:12" ht="14.25" hidden="1" customHeight="1" x14ac:dyDescent="0.3">
      <c r="A709" s="8">
        <v>708</v>
      </c>
      <c r="B709" s="8" t="str">
        <f>'Criaturas - Base de Dados'!B119</f>
        <v>Forja Ígnea</v>
      </c>
      <c r="C709" s="8" t="str">
        <f>'Criaturas - Base de Dados'!C119</f>
        <v>Fogo</v>
      </c>
      <c r="D709" s="8" t="str">
        <f>'Criaturas - Base de Dados'!D119</f>
        <v>Wyrm Escaldante</v>
      </c>
      <c r="E709" s="8" t="str">
        <f>'Sistema de Raridade e Evolução'!B7</f>
        <v>Lendário</v>
      </c>
      <c r="F709" s="9">
        <f>ROUND(('Criaturas - Base de Dados'!H119*'Sistema de Raridade e Evolução'!E7)*1000,2)</f>
        <v>7500000</v>
      </c>
      <c r="G709" s="8">
        <f>ROUND('Criaturas - Base de Dados'!I119*'Sistema de Raridade e Evolução'!E7,0)</f>
        <v>4500</v>
      </c>
      <c r="H709" s="8">
        <f>ROUND('Criaturas - Base de Dados'!J119*'Sistema de Raridade e Evolução'!E7,0)</f>
        <v>3750</v>
      </c>
      <c r="I709" s="8">
        <f>ROUND('Criaturas - Base de Dados'!K119*'Sistema de Raridade e Evolução'!E7,0)</f>
        <v>24000</v>
      </c>
      <c r="J709" s="8">
        <f>'Sistema de Raridade e Evolução'!D7</f>
        <v>91</v>
      </c>
      <c r="K709" s="8" t="s">
        <v>925</v>
      </c>
      <c r="L709" s="9">
        <f t="shared" si="11"/>
        <v>17857142.859999999</v>
      </c>
    </row>
    <row r="710" spans="1:12" ht="14.25" customHeight="1" x14ac:dyDescent="0.3">
      <c r="A710" s="8">
        <v>709</v>
      </c>
      <c r="B710" s="8" t="str">
        <f>'Criaturas - Base de Dados'!B120</f>
        <v>Forja Ígnea</v>
      </c>
      <c r="C710" s="8" t="str">
        <f>'Criaturas - Base de Dados'!C120</f>
        <v>Fogo</v>
      </c>
      <c r="D710" s="8" t="str">
        <f>'Criaturas - Base de Dados'!D120</f>
        <v>Corvo em Chamas</v>
      </c>
      <c r="E710" s="8" t="str">
        <f>'Sistema de Raridade e Evolução'!B2</f>
        <v>Default</v>
      </c>
      <c r="F710" s="9" t="e">
        <f>ROUND(('Criaturas - Base de Dados'!H120*'Sistema de Raridade e Evolução'!E2)*1000,2)</f>
        <v>#VALUE!</v>
      </c>
      <c r="G710" s="8" t="e">
        <f>ROUND('Criaturas - Base de Dados'!I120*'Sistema de Raridade e Evolução'!E2,0)</f>
        <v>#VALUE!</v>
      </c>
      <c r="H710" s="8" t="e">
        <f>ROUND('Criaturas - Base de Dados'!J120*'Sistema de Raridade e Evolução'!E2,0)</f>
        <v>#VALUE!</v>
      </c>
      <c r="I710" s="8" t="e">
        <f>ROUND('Criaturas - Base de Dados'!K120*'Sistema de Raridade e Evolução'!E2,0)</f>
        <v>#VALUE!</v>
      </c>
      <c r="J710" s="8">
        <f>'Sistema de Raridade e Evolução'!D2</f>
        <v>1</v>
      </c>
      <c r="K710" s="8" t="s">
        <v>8</v>
      </c>
      <c r="L710" s="9" t="e">
        <f t="shared" si="11"/>
        <v>#VALUE!</v>
      </c>
    </row>
    <row r="711" spans="1:12" ht="14.25" hidden="1" customHeight="1" x14ac:dyDescent="0.3">
      <c r="A711" s="8">
        <v>710</v>
      </c>
      <c r="B711" s="8" t="str">
        <f>'Criaturas - Base de Dados'!B120</f>
        <v>Forja Ígnea</v>
      </c>
      <c r="C711" s="8" t="str">
        <f>'Criaturas - Base de Dados'!C120</f>
        <v>Fogo</v>
      </c>
      <c r="D711" s="8" t="str">
        <f>'Criaturas - Base de Dados'!D120</f>
        <v>Corvo em Chamas</v>
      </c>
      <c r="E711" s="8" t="str">
        <f>'Sistema de Raridade e Evolução'!B3</f>
        <v>Bronze</v>
      </c>
      <c r="F711" s="9">
        <f>ROUND(('Criaturas - Base de Dados'!H120*'Sistema de Raridade e Evolução'!E3)*1000,2)</f>
        <v>69000</v>
      </c>
      <c r="G711" s="8">
        <f>ROUND('Criaturas - Base de Dados'!I120*'Sistema de Raridade e Evolução'!E3,0)</f>
        <v>41</v>
      </c>
      <c r="H711" s="8">
        <f>ROUND('Criaturas - Base de Dados'!J120*'Sistema de Raridade e Evolução'!E3,0)</f>
        <v>34</v>
      </c>
      <c r="I711" s="8">
        <f>ROUND('Criaturas - Base de Dados'!K120*'Sistema de Raridade e Evolução'!E3,0)</f>
        <v>221</v>
      </c>
      <c r="J711" s="8">
        <f>'Sistema de Raridade e Evolução'!D3</f>
        <v>6</v>
      </c>
      <c r="K711" s="8" t="s">
        <v>9</v>
      </c>
      <c r="L711" s="9">
        <f t="shared" si="11"/>
        <v>164285.71</v>
      </c>
    </row>
    <row r="712" spans="1:12" ht="14.25" hidden="1" customHeight="1" x14ac:dyDescent="0.3">
      <c r="A712" s="8">
        <v>711</v>
      </c>
      <c r="B712" s="8" t="str">
        <f>'Criaturas - Base de Dados'!B120</f>
        <v>Forja Ígnea</v>
      </c>
      <c r="C712" s="8" t="str">
        <f>'Criaturas - Base de Dados'!C120</f>
        <v>Fogo</v>
      </c>
      <c r="D712" s="8" t="str">
        <f>'Criaturas - Base de Dados'!D120</f>
        <v>Corvo em Chamas</v>
      </c>
      <c r="E712" s="8" t="str">
        <f>'Sistema de Raridade e Evolução'!B4</f>
        <v>Prata</v>
      </c>
      <c r="F712" s="9">
        <f>ROUND(('Criaturas - Base de Dados'!H120*'Sistema de Raridade e Evolução'!E4)*1000,2)</f>
        <v>414000</v>
      </c>
      <c r="G712" s="8">
        <f>ROUND('Criaturas - Base de Dados'!I120*'Sistema de Raridade e Evolução'!E4,0)</f>
        <v>246</v>
      </c>
      <c r="H712" s="8">
        <f>ROUND('Criaturas - Base de Dados'!J120*'Sistema de Raridade e Evolução'!E4,0)</f>
        <v>204</v>
      </c>
      <c r="I712" s="8">
        <f>ROUND('Criaturas - Base de Dados'!K120*'Sistema de Raridade e Evolução'!E4,0)</f>
        <v>1326</v>
      </c>
      <c r="J712" s="8">
        <f>'Sistema de Raridade e Evolução'!D4</f>
        <v>16</v>
      </c>
      <c r="K712" s="8" t="s">
        <v>10</v>
      </c>
      <c r="L712" s="9">
        <f t="shared" si="11"/>
        <v>985714.29</v>
      </c>
    </row>
    <row r="713" spans="1:12" ht="14.25" hidden="1" customHeight="1" x14ac:dyDescent="0.3">
      <c r="A713" s="8">
        <v>712</v>
      </c>
      <c r="B713" s="8" t="str">
        <f>'Criaturas - Base de Dados'!B120</f>
        <v>Forja Ígnea</v>
      </c>
      <c r="C713" s="8" t="str">
        <f>'Criaturas - Base de Dados'!C120</f>
        <v>Fogo</v>
      </c>
      <c r="D713" s="8" t="str">
        <f>'Criaturas - Base de Dados'!D120</f>
        <v>Corvo em Chamas</v>
      </c>
      <c r="E713" s="8" t="str">
        <f>'Sistema de Raridade e Evolução'!B5</f>
        <v>Ouro</v>
      </c>
      <c r="F713" s="9">
        <f>ROUND(('Criaturas - Base de Dados'!H120*'Sistema de Raridade e Evolução'!E5)*1000,2)</f>
        <v>1242000</v>
      </c>
      <c r="G713" s="8">
        <f>ROUND('Criaturas - Base de Dados'!I120*'Sistema de Raridade e Evolução'!E5,0)</f>
        <v>738</v>
      </c>
      <c r="H713" s="8">
        <f>ROUND('Criaturas - Base de Dados'!J120*'Sistema de Raridade e Evolução'!E5,0)</f>
        <v>612</v>
      </c>
      <c r="I713" s="8">
        <f>ROUND('Criaturas - Base de Dados'!K120*'Sistema de Raridade e Evolução'!E5,0)</f>
        <v>3978</v>
      </c>
      <c r="J713" s="8">
        <f>'Sistema de Raridade e Evolução'!D5</f>
        <v>31</v>
      </c>
      <c r="K713" s="8" t="s">
        <v>11</v>
      </c>
      <c r="L713" s="9">
        <f t="shared" si="11"/>
        <v>2957142.86</v>
      </c>
    </row>
    <row r="714" spans="1:12" ht="14.25" hidden="1" customHeight="1" x14ac:dyDescent="0.3">
      <c r="A714" s="8">
        <v>713</v>
      </c>
      <c r="B714" s="8" t="str">
        <f>'Criaturas - Base de Dados'!B120</f>
        <v>Forja Ígnea</v>
      </c>
      <c r="C714" s="8" t="str">
        <f>'Criaturas - Base de Dados'!C120</f>
        <v>Fogo</v>
      </c>
      <c r="D714" s="8" t="str">
        <f>'Criaturas - Base de Dados'!D120</f>
        <v>Corvo em Chamas</v>
      </c>
      <c r="E714" s="8" t="str">
        <f>'Sistema de Raridade e Evolução'!B6</f>
        <v>Platina</v>
      </c>
      <c r="F714" s="9">
        <f>ROUND(('Criaturas - Base de Dados'!H120*'Sistema de Raridade e Evolução'!E6)*1000,2)</f>
        <v>3450000</v>
      </c>
      <c r="G714" s="8">
        <f>ROUND('Criaturas - Base de Dados'!I120*'Sistema de Raridade e Evolução'!E6,0)</f>
        <v>2050</v>
      </c>
      <c r="H714" s="8">
        <f>ROUND('Criaturas - Base de Dados'!J120*'Sistema de Raridade e Evolução'!E6,0)</f>
        <v>1700</v>
      </c>
      <c r="I714" s="8">
        <f>ROUND('Criaturas - Base de Dados'!K120*'Sistema de Raridade e Evolução'!E6,0)</f>
        <v>11050</v>
      </c>
      <c r="J714" s="8">
        <f>'Sistema de Raridade e Evolução'!D6</f>
        <v>56</v>
      </c>
      <c r="K714" s="8" t="s">
        <v>12</v>
      </c>
      <c r="L714" s="9">
        <f t="shared" si="11"/>
        <v>8214285.71</v>
      </c>
    </row>
    <row r="715" spans="1:12" ht="14.25" hidden="1" customHeight="1" x14ac:dyDescent="0.3">
      <c r="A715" s="8">
        <v>714</v>
      </c>
      <c r="B715" s="8" t="str">
        <f>'Criaturas - Base de Dados'!B120</f>
        <v>Forja Ígnea</v>
      </c>
      <c r="C715" s="8" t="str">
        <f>'Criaturas - Base de Dados'!C120</f>
        <v>Fogo</v>
      </c>
      <c r="D715" s="8" t="str">
        <f>'Criaturas - Base de Dados'!D120</f>
        <v>Corvo em Chamas</v>
      </c>
      <c r="E715" s="8" t="str">
        <f>'Sistema de Raridade e Evolução'!B7</f>
        <v>Lendário</v>
      </c>
      <c r="F715" s="9">
        <f>ROUND(('Criaturas - Base de Dados'!H120*'Sistema de Raridade e Evolução'!E7)*1000,2)</f>
        <v>10350000</v>
      </c>
      <c r="G715" s="8">
        <f>ROUND('Criaturas - Base de Dados'!I120*'Sistema de Raridade e Evolução'!E7,0)</f>
        <v>6150</v>
      </c>
      <c r="H715" s="8">
        <f>ROUND('Criaturas - Base de Dados'!J120*'Sistema de Raridade e Evolução'!E7,0)</f>
        <v>5100</v>
      </c>
      <c r="I715" s="8">
        <f>ROUND('Criaturas - Base de Dados'!K120*'Sistema de Raridade e Evolução'!E7,0)</f>
        <v>33150</v>
      </c>
      <c r="J715" s="8">
        <f>'Sistema de Raridade e Evolução'!D7</f>
        <v>91</v>
      </c>
      <c r="K715" s="8" t="s">
        <v>925</v>
      </c>
      <c r="L715" s="9">
        <f t="shared" si="11"/>
        <v>24642857.140000001</v>
      </c>
    </row>
    <row r="716" spans="1:12" ht="14.25" customHeight="1" x14ac:dyDescent="0.3">
      <c r="A716" s="8">
        <v>715</v>
      </c>
      <c r="B716" s="8" t="str">
        <f>'Criaturas - Base de Dados'!B121</f>
        <v>Forja Ígnea</v>
      </c>
      <c r="C716" s="8" t="str">
        <f>'Criaturas - Base de Dados'!C121</f>
        <v>Fogo</v>
      </c>
      <c r="D716" s="8" t="str">
        <f>'Criaturas - Base de Dados'!D121</f>
        <v>Fagulha Ancestral</v>
      </c>
      <c r="E716" s="8" t="str">
        <f>'Sistema de Raridade e Evolução'!B2</f>
        <v>Default</v>
      </c>
      <c r="F716" s="9" t="e">
        <f>ROUND(('Criaturas - Base de Dados'!H121*'Sistema de Raridade e Evolução'!E2)*1000,2)</f>
        <v>#VALUE!</v>
      </c>
      <c r="G716" s="8" t="e">
        <f>ROUND('Criaturas - Base de Dados'!I121*'Sistema de Raridade e Evolução'!E2,0)</f>
        <v>#VALUE!</v>
      </c>
      <c r="H716" s="8" t="e">
        <f>ROUND('Criaturas - Base de Dados'!J121*'Sistema de Raridade e Evolução'!E2,0)</f>
        <v>#VALUE!</v>
      </c>
      <c r="I716" s="8" t="e">
        <f>ROUND('Criaturas - Base de Dados'!K121*'Sistema de Raridade e Evolução'!E2,0)</f>
        <v>#VALUE!</v>
      </c>
      <c r="J716" s="8">
        <f>'Sistema de Raridade e Evolução'!D2</f>
        <v>1</v>
      </c>
      <c r="K716" s="8" t="s">
        <v>8</v>
      </c>
      <c r="L716" s="9" t="e">
        <f t="shared" si="11"/>
        <v>#VALUE!</v>
      </c>
    </row>
    <row r="717" spans="1:12" ht="14.25" hidden="1" customHeight="1" x14ac:dyDescent="0.3">
      <c r="A717" s="8">
        <v>716</v>
      </c>
      <c r="B717" s="8" t="str">
        <f>'Criaturas - Base de Dados'!B121</f>
        <v>Forja Ígnea</v>
      </c>
      <c r="C717" s="8" t="str">
        <f>'Criaturas - Base de Dados'!C121</f>
        <v>Fogo</v>
      </c>
      <c r="D717" s="8" t="str">
        <f>'Criaturas - Base de Dados'!D121</f>
        <v>Fagulha Ancestral</v>
      </c>
      <c r="E717" s="8" t="str">
        <f>'Sistema de Raridade e Evolução'!B3</f>
        <v>Bronze</v>
      </c>
      <c r="F717" s="9">
        <f>ROUND(('Criaturas - Base de Dados'!H121*'Sistema de Raridade e Evolução'!E3)*1000,2)</f>
        <v>71000</v>
      </c>
      <c r="G717" s="8">
        <f>ROUND('Criaturas - Base de Dados'!I121*'Sistema de Raridade e Evolução'!E3,0)</f>
        <v>43</v>
      </c>
      <c r="H717" s="8">
        <f>ROUND('Criaturas - Base de Dados'!J121*'Sistema de Raridade e Evolução'!E3,0)</f>
        <v>36</v>
      </c>
      <c r="I717" s="8">
        <f>ROUND('Criaturas - Base de Dados'!K121*'Sistema de Raridade e Evolução'!E3,0)</f>
        <v>227</v>
      </c>
      <c r="J717" s="8">
        <f>'Sistema de Raridade e Evolução'!D3</f>
        <v>6</v>
      </c>
      <c r="K717" s="8" t="s">
        <v>9</v>
      </c>
      <c r="L717" s="9">
        <f t="shared" si="11"/>
        <v>169047.62</v>
      </c>
    </row>
    <row r="718" spans="1:12" ht="14.25" hidden="1" customHeight="1" x14ac:dyDescent="0.3">
      <c r="A718" s="8">
        <v>717</v>
      </c>
      <c r="B718" s="8" t="str">
        <f>'Criaturas - Base de Dados'!B121</f>
        <v>Forja Ígnea</v>
      </c>
      <c r="C718" s="8" t="str">
        <f>'Criaturas - Base de Dados'!C121</f>
        <v>Fogo</v>
      </c>
      <c r="D718" s="8" t="str">
        <f>'Criaturas - Base de Dados'!D121</f>
        <v>Fagulha Ancestral</v>
      </c>
      <c r="E718" s="8" t="str">
        <f>'Sistema de Raridade e Evolução'!B4</f>
        <v>Prata</v>
      </c>
      <c r="F718" s="9">
        <f>ROUND(('Criaturas - Base de Dados'!H121*'Sistema de Raridade e Evolução'!E4)*1000,2)</f>
        <v>426000</v>
      </c>
      <c r="G718" s="8">
        <f>ROUND('Criaturas - Base de Dados'!I121*'Sistema de Raridade e Evolução'!E4,0)</f>
        <v>258</v>
      </c>
      <c r="H718" s="8">
        <f>ROUND('Criaturas - Base de Dados'!J121*'Sistema de Raridade e Evolução'!E4,0)</f>
        <v>216</v>
      </c>
      <c r="I718" s="8">
        <f>ROUND('Criaturas - Base de Dados'!K121*'Sistema de Raridade e Evolução'!E4,0)</f>
        <v>1362</v>
      </c>
      <c r="J718" s="8">
        <f>'Sistema de Raridade e Evolução'!D4</f>
        <v>16</v>
      </c>
      <c r="K718" s="8" t="s">
        <v>10</v>
      </c>
      <c r="L718" s="9">
        <f t="shared" si="11"/>
        <v>1014285.71</v>
      </c>
    </row>
    <row r="719" spans="1:12" ht="14.25" hidden="1" customHeight="1" x14ac:dyDescent="0.3">
      <c r="A719" s="8">
        <v>718</v>
      </c>
      <c r="B719" s="8" t="str">
        <f>'Criaturas - Base de Dados'!B121</f>
        <v>Forja Ígnea</v>
      </c>
      <c r="C719" s="8" t="str">
        <f>'Criaturas - Base de Dados'!C121</f>
        <v>Fogo</v>
      </c>
      <c r="D719" s="8" t="str">
        <f>'Criaturas - Base de Dados'!D121</f>
        <v>Fagulha Ancestral</v>
      </c>
      <c r="E719" s="8" t="str">
        <f>'Sistema de Raridade e Evolução'!B5</f>
        <v>Ouro</v>
      </c>
      <c r="F719" s="9">
        <f>ROUND(('Criaturas - Base de Dados'!H121*'Sistema de Raridade e Evolução'!E5)*1000,2)</f>
        <v>1278000</v>
      </c>
      <c r="G719" s="8">
        <f>ROUND('Criaturas - Base de Dados'!I121*'Sistema de Raridade e Evolução'!E5,0)</f>
        <v>774</v>
      </c>
      <c r="H719" s="8">
        <f>ROUND('Criaturas - Base de Dados'!J121*'Sistema de Raridade e Evolução'!E5,0)</f>
        <v>648</v>
      </c>
      <c r="I719" s="8">
        <f>ROUND('Criaturas - Base de Dados'!K121*'Sistema de Raridade e Evolução'!E5,0)</f>
        <v>4086</v>
      </c>
      <c r="J719" s="8">
        <f>'Sistema de Raridade e Evolução'!D5</f>
        <v>31</v>
      </c>
      <c r="K719" s="8" t="s">
        <v>11</v>
      </c>
      <c r="L719" s="9">
        <f t="shared" si="11"/>
        <v>3042857.14</v>
      </c>
    </row>
    <row r="720" spans="1:12" ht="14.25" hidden="1" customHeight="1" x14ac:dyDescent="0.3">
      <c r="A720" s="8">
        <v>719</v>
      </c>
      <c r="B720" s="8" t="str">
        <f>'Criaturas - Base de Dados'!B121</f>
        <v>Forja Ígnea</v>
      </c>
      <c r="C720" s="8" t="str">
        <f>'Criaturas - Base de Dados'!C121</f>
        <v>Fogo</v>
      </c>
      <c r="D720" s="8" t="str">
        <f>'Criaturas - Base de Dados'!D121</f>
        <v>Fagulha Ancestral</v>
      </c>
      <c r="E720" s="8" t="str">
        <f>'Sistema de Raridade e Evolução'!B6</f>
        <v>Platina</v>
      </c>
      <c r="F720" s="9">
        <f>ROUND(('Criaturas - Base de Dados'!H121*'Sistema de Raridade e Evolução'!E6)*1000,2)</f>
        <v>3550000</v>
      </c>
      <c r="G720" s="8">
        <f>ROUND('Criaturas - Base de Dados'!I121*'Sistema de Raridade e Evolução'!E6,0)</f>
        <v>2150</v>
      </c>
      <c r="H720" s="8">
        <f>ROUND('Criaturas - Base de Dados'!J121*'Sistema de Raridade e Evolução'!E6,0)</f>
        <v>1800</v>
      </c>
      <c r="I720" s="8">
        <f>ROUND('Criaturas - Base de Dados'!K121*'Sistema de Raridade e Evolução'!E6,0)</f>
        <v>11350</v>
      </c>
      <c r="J720" s="8">
        <f>'Sistema de Raridade e Evolução'!D6</f>
        <v>56</v>
      </c>
      <c r="K720" s="8" t="s">
        <v>12</v>
      </c>
      <c r="L720" s="9">
        <f t="shared" si="11"/>
        <v>8452380.9499999993</v>
      </c>
    </row>
    <row r="721" spans="1:12" ht="14.25" hidden="1" customHeight="1" x14ac:dyDescent="0.3">
      <c r="A721" s="8">
        <v>720</v>
      </c>
      <c r="B721" s="8" t="str">
        <f>'Criaturas - Base de Dados'!B121</f>
        <v>Forja Ígnea</v>
      </c>
      <c r="C721" s="8" t="str">
        <f>'Criaturas - Base de Dados'!C121</f>
        <v>Fogo</v>
      </c>
      <c r="D721" s="8" t="str">
        <f>'Criaturas - Base de Dados'!D121</f>
        <v>Fagulha Ancestral</v>
      </c>
      <c r="E721" s="8" t="str">
        <f>'Sistema de Raridade e Evolução'!B7</f>
        <v>Lendário</v>
      </c>
      <c r="F721" s="9">
        <f>ROUND(('Criaturas - Base de Dados'!H121*'Sistema de Raridade e Evolução'!E7)*1000,2)</f>
        <v>10650000</v>
      </c>
      <c r="G721" s="8">
        <f>ROUND('Criaturas - Base de Dados'!I121*'Sistema de Raridade e Evolução'!E7,0)</f>
        <v>6450</v>
      </c>
      <c r="H721" s="8">
        <f>ROUND('Criaturas - Base de Dados'!J121*'Sistema de Raridade e Evolução'!E7,0)</f>
        <v>5400</v>
      </c>
      <c r="I721" s="8">
        <f>ROUND('Criaturas - Base de Dados'!K121*'Sistema de Raridade e Evolução'!E7,0)</f>
        <v>34050</v>
      </c>
      <c r="J721" s="8">
        <f>'Sistema de Raridade e Evolução'!D7</f>
        <v>91</v>
      </c>
      <c r="K721" s="8" t="s">
        <v>925</v>
      </c>
      <c r="L721" s="9">
        <f t="shared" si="11"/>
        <v>25357142.859999999</v>
      </c>
    </row>
    <row r="722" spans="1:12" ht="14.25" customHeight="1" x14ac:dyDescent="0.3">
      <c r="A722" s="8">
        <v>721</v>
      </c>
      <c r="B722" s="8" t="str">
        <f>'Criaturas - Base de Dados'!B122</f>
        <v>Tempestade Rúnica</v>
      </c>
      <c r="C722" s="8" t="str">
        <f>'Criaturas - Base de Dados'!C122</f>
        <v>Trovão</v>
      </c>
      <c r="D722" s="8" t="str">
        <f>'Criaturas - Base de Dados'!D122</f>
        <v>Thunderbird Ancestral</v>
      </c>
      <c r="E722" s="8" t="str">
        <f>'Sistema de Raridade e Evolução'!B2</f>
        <v>Default</v>
      </c>
      <c r="F722" s="9" t="e">
        <f>ROUND(('Criaturas - Base de Dados'!H122*'Sistema de Raridade e Evolução'!E2)*1000,2)</f>
        <v>#VALUE!</v>
      </c>
      <c r="G722" s="8" t="e">
        <f>ROUND('Criaturas - Base de Dados'!I122*'Sistema de Raridade e Evolução'!E2,0)</f>
        <v>#VALUE!</v>
      </c>
      <c r="H722" s="8" t="e">
        <f>ROUND('Criaturas - Base de Dados'!J122*'Sistema de Raridade e Evolução'!E2,0)</f>
        <v>#VALUE!</v>
      </c>
      <c r="I722" s="8" t="e">
        <f>ROUND('Criaturas - Base de Dados'!K122*'Sistema de Raridade e Evolução'!E2,0)</f>
        <v>#VALUE!</v>
      </c>
      <c r="J722" s="8">
        <f>'Sistema de Raridade e Evolução'!D2</f>
        <v>1</v>
      </c>
      <c r="K722" s="8" t="s">
        <v>8</v>
      </c>
      <c r="L722" s="9" t="e">
        <f t="shared" si="11"/>
        <v>#VALUE!</v>
      </c>
    </row>
    <row r="723" spans="1:12" ht="14.25" hidden="1" customHeight="1" x14ac:dyDescent="0.3">
      <c r="A723" s="8">
        <v>722</v>
      </c>
      <c r="B723" s="8" t="str">
        <f>'Criaturas - Base de Dados'!B122</f>
        <v>Tempestade Rúnica</v>
      </c>
      <c r="C723" s="8" t="str">
        <f>'Criaturas - Base de Dados'!C122</f>
        <v>Trovão</v>
      </c>
      <c r="D723" s="8" t="str">
        <f>'Criaturas - Base de Dados'!D122</f>
        <v>Thunderbird Ancestral</v>
      </c>
      <c r="E723" s="8" t="str">
        <f>'Sistema de Raridade e Evolução'!B3</f>
        <v>Bronze</v>
      </c>
      <c r="F723" s="9">
        <f>ROUND(('Criaturas - Base de Dados'!H122*'Sistema de Raridade e Evolução'!E3)*1000,2)</f>
        <v>10000</v>
      </c>
      <c r="G723" s="8">
        <f>ROUND('Criaturas - Base de Dados'!I122*'Sistema de Raridade e Evolução'!E3,0)</f>
        <v>6</v>
      </c>
      <c r="H723" s="8">
        <f>ROUND('Criaturas - Base de Dados'!J122*'Sistema de Raridade e Evolução'!E3,0)</f>
        <v>5</v>
      </c>
      <c r="I723" s="8">
        <f>ROUND('Criaturas - Base de Dados'!K122*'Sistema de Raridade e Evolução'!E3,0)</f>
        <v>32</v>
      </c>
      <c r="J723" s="8">
        <f>'Sistema de Raridade e Evolução'!D3</f>
        <v>6</v>
      </c>
      <c r="K723" s="8" t="s">
        <v>9</v>
      </c>
      <c r="L723" s="9">
        <f t="shared" si="11"/>
        <v>23809.52</v>
      </c>
    </row>
    <row r="724" spans="1:12" ht="14.25" hidden="1" customHeight="1" x14ac:dyDescent="0.3">
      <c r="A724" s="8">
        <v>723</v>
      </c>
      <c r="B724" s="8" t="str">
        <f>'Criaturas - Base de Dados'!B122</f>
        <v>Tempestade Rúnica</v>
      </c>
      <c r="C724" s="8" t="str">
        <f>'Criaturas - Base de Dados'!C122</f>
        <v>Trovão</v>
      </c>
      <c r="D724" s="8" t="str">
        <f>'Criaturas - Base de Dados'!D122</f>
        <v>Thunderbird Ancestral</v>
      </c>
      <c r="E724" s="8" t="str">
        <f>'Sistema de Raridade e Evolução'!B4</f>
        <v>Prata</v>
      </c>
      <c r="F724" s="9">
        <f>ROUND(('Criaturas - Base de Dados'!H122*'Sistema de Raridade e Evolução'!E4)*1000,2)</f>
        <v>60000</v>
      </c>
      <c r="G724" s="8">
        <f>ROUND('Criaturas - Base de Dados'!I122*'Sistema de Raridade e Evolução'!E4,0)</f>
        <v>36</v>
      </c>
      <c r="H724" s="8">
        <f>ROUND('Criaturas - Base de Dados'!J122*'Sistema de Raridade e Evolução'!E4,0)</f>
        <v>30</v>
      </c>
      <c r="I724" s="8">
        <f>ROUND('Criaturas - Base de Dados'!K122*'Sistema de Raridade e Evolução'!E4,0)</f>
        <v>192</v>
      </c>
      <c r="J724" s="8">
        <f>'Sistema de Raridade e Evolução'!D4</f>
        <v>16</v>
      </c>
      <c r="K724" s="8" t="s">
        <v>10</v>
      </c>
      <c r="L724" s="9">
        <f t="shared" si="11"/>
        <v>142857.14000000001</v>
      </c>
    </row>
    <row r="725" spans="1:12" ht="14.25" hidden="1" customHeight="1" x14ac:dyDescent="0.3">
      <c r="A725" s="8">
        <v>724</v>
      </c>
      <c r="B725" s="8" t="str">
        <f>'Criaturas - Base de Dados'!B122</f>
        <v>Tempestade Rúnica</v>
      </c>
      <c r="C725" s="8" t="str">
        <f>'Criaturas - Base de Dados'!C122</f>
        <v>Trovão</v>
      </c>
      <c r="D725" s="8" t="str">
        <f>'Criaturas - Base de Dados'!D122</f>
        <v>Thunderbird Ancestral</v>
      </c>
      <c r="E725" s="8" t="str">
        <f>'Sistema de Raridade e Evolução'!B5</f>
        <v>Ouro</v>
      </c>
      <c r="F725" s="9">
        <f>ROUND(('Criaturas - Base de Dados'!H122*'Sistema de Raridade e Evolução'!E5)*1000,2)</f>
        <v>180000</v>
      </c>
      <c r="G725" s="8">
        <f>ROUND('Criaturas - Base de Dados'!I122*'Sistema de Raridade e Evolução'!E5,0)</f>
        <v>108</v>
      </c>
      <c r="H725" s="8">
        <f>ROUND('Criaturas - Base de Dados'!J122*'Sistema de Raridade e Evolução'!E5,0)</f>
        <v>90</v>
      </c>
      <c r="I725" s="8">
        <f>ROUND('Criaturas - Base de Dados'!K122*'Sistema de Raridade e Evolução'!E5,0)</f>
        <v>576</v>
      </c>
      <c r="J725" s="8">
        <f>'Sistema de Raridade e Evolução'!D5</f>
        <v>31</v>
      </c>
      <c r="K725" s="8" t="s">
        <v>11</v>
      </c>
      <c r="L725" s="9">
        <f t="shared" si="11"/>
        <v>428571.43</v>
      </c>
    </row>
    <row r="726" spans="1:12" ht="14.25" hidden="1" customHeight="1" x14ac:dyDescent="0.3">
      <c r="A726" s="8">
        <v>725</v>
      </c>
      <c r="B726" s="8" t="str">
        <f>'Criaturas - Base de Dados'!B122</f>
        <v>Tempestade Rúnica</v>
      </c>
      <c r="C726" s="8" t="str">
        <f>'Criaturas - Base de Dados'!C122</f>
        <v>Trovão</v>
      </c>
      <c r="D726" s="8" t="str">
        <f>'Criaturas - Base de Dados'!D122</f>
        <v>Thunderbird Ancestral</v>
      </c>
      <c r="E726" s="8" t="str">
        <f>'Sistema de Raridade e Evolução'!B6</f>
        <v>Platina</v>
      </c>
      <c r="F726" s="9">
        <f>ROUND(('Criaturas - Base de Dados'!H122*'Sistema de Raridade e Evolução'!E6)*1000,2)</f>
        <v>500000</v>
      </c>
      <c r="G726" s="8">
        <f>ROUND('Criaturas - Base de Dados'!I122*'Sistema de Raridade e Evolução'!E6,0)</f>
        <v>300</v>
      </c>
      <c r="H726" s="8">
        <f>ROUND('Criaturas - Base de Dados'!J122*'Sistema de Raridade e Evolução'!E6,0)</f>
        <v>250</v>
      </c>
      <c r="I726" s="8">
        <f>ROUND('Criaturas - Base de Dados'!K122*'Sistema de Raridade e Evolução'!E6,0)</f>
        <v>1600</v>
      </c>
      <c r="J726" s="8">
        <f>'Sistema de Raridade e Evolução'!D6</f>
        <v>56</v>
      </c>
      <c r="K726" s="8" t="s">
        <v>12</v>
      </c>
      <c r="L726" s="9">
        <f t="shared" si="11"/>
        <v>1190476.19</v>
      </c>
    </row>
    <row r="727" spans="1:12" ht="14.25" hidden="1" customHeight="1" x14ac:dyDescent="0.3">
      <c r="A727" s="8">
        <v>726</v>
      </c>
      <c r="B727" s="8" t="str">
        <f>'Criaturas - Base de Dados'!B122</f>
        <v>Tempestade Rúnica</v>
      </c>
      <c r="C727" s="8" t="str">
        <f>'Criaturas - Base de Dados'!C122</f>
        <v>Trovão</v>
      </c>
      <c r="D727" s="8" t="str">
        <f>'Criaturas - Base de Dados'!D122</f>
        <v>Thunderbird Ancestral</v>
      </c>
      <c r="E727" s="8" t="str">
        <f>'Sistema de Raridade e Evolução'!B7</f>
        <v>Lendário</v>
      </c>
      <c r="F727" s="9">
        <f>ROUND(('Criaturas - Base de Dados'!H122*'Sistema de Raridade e Evolução'!E7)*1000,2)</f>
        <v>1500000</v>
      </c>
      <c r="G727" s="8">
        <f>ROUND('Criaturas - Base de Dados'!I122*'Sistema de Raridade e Evolução'!E7,0)</f>
        <v>900</v>
      </c>
      <c r="H727" s="8">
        <f>ROUND('Criaturas - Base de Dados'!J122*'Sistema de Raridade e Evolução'!E7,0)</f>
        <v>750</v>
      </c>
      <c r="I727" s="8">
        <f>ROUND('Criaturas - Base de Dados'!K122*'Sistema de Raridade e Evolução'!E7,0)</f>
        <v>4800</v>
      </c>
      <c r="J727" s="8">
        <f>'Sistema de Raridade e Evolução'!D7</f>
        <v>91</v>
      </c>
      <c r="K727" s="8" t="s">
        <v>925</v>
      </c>
      <c r="L727" s="9">
        <f t="shared" si="11"/>
        <v>3571428.57</v>
      </c>
    </row>
    <row r="728" spans="1:12" ht="14.25" customHeight="1" x14ac:dyDescent="0.3">
      <c r="A728" s="8">
        <v>727</v>
      </c>
      <c r="B728" s="8" t="str">
        <f>'Criaturas - Base de Dados'!B123</f>
        <v>Tempestade Rúnica</v>
      </c>
      <c r="C728" s="8" t="str">
        <f>'Criaturas - Base de Dados'!C123</f>
        <v>Trovão</v>
      </c>
      <c r="D728" s="8" t="str">
        <f>'Criaturas - Base de Dados'!D123</f>
        <v>Raiju do Relâmpago</v>
      </c>
      <c r="E728" s="8" t="str">
        <f>'Sistema de Raridade e Evolução'!B2</f>
        <v>Default</v>
      </c>
      <c r="F728" s="9" t="e">
        <f>ROUND(('Criaturas - Base de Dados'!H123*'Sistema de Raridade e Evolução'!E2)*1000,2)</f>
        <v>#VALUE!</v>
      </c>
      <c r="G728" s="8" t="e">
        <f>ROUND('Criaturas - Base de Dados'!I123*'Sistema de Raridade e Evolução'!E2,0)</f>
        <v>#VALUE!</v>
      </c>
      <c r="H728" s="8" t="e">
        <f>ROUND('Criaturas - Base de Dados'!J123*'Sistema de Raridade e Evolução'!E2,0)</f>
        <v>#VALUE!</v>
      </c>
      <c r="I728" s="8" t="e">
        <f>ROUND('Criaturas - Base de Dados'!K123*'Sistema de Raridade e Evolução'!E2,0)</f>
        <v>#VALUE!</v>
      </c>
      <c r="J728" s="8">
        <f>'Sistema de Raridade e Evolução'!D2</f>
        <v>1</v>
      </c>
      <c r="K728" s="8" t="s">
        <v>8</v>
      </c>
      <c r="L728" s="9" t="e">
        <f t="shared" si="11"/>
        <v>#VALUE!</v>
      </c>
    </row>
    <row r="729" spans="1:12" ht="14.25" hidden="1" customHeight="1" x14ac:dyDescent="0.3">
      <c r="A729" s="8">
        <v>728</v>
      </c>
      <c r="B729" s="8" t="str">
        <f>'Criaturas - Base de Dados'!B123</f>
        <v>Tempestade Rúnica</v>
      </c>
      <c r="C729" s="8" t="str">
        <f>'Criaturas - Base de Dados'!C123</f>
        <v>Trovão</v>
      </c>
      <c r="D729" s="8" t="str">
        <f>'Criaturas - Base de Dados'!D123</f>
        <v>Raiju do Relâmpago</v>
      </c>
      <c r="E729" s="8" t="str">
        <f>'Sistema de Raridade e Evolução'!B3</f>
        <v>Bronze</v>
      </c>
      <c r="F729" s="9">
        <f>ROUND(('Criaturas - Base de Dados'!H123*'Sistema de Raridade e Evolução'!E3)*1000,2)</f>
        <v>12000</v>
      </c>
      <c r="G729" s="8">
        <f>ROUND('Criaturas - Base de Dados'!I123*'Sistema de Raridade e Evolução'!E3,0)</f>
        <v>7</v>
      </c>
      <c r="H729" s="8">
        <f>ROUND('Criaturas - Base de Dados'!J123*'Sistema de Raridade e Evolução'!E3,0)</f>
        <v>6</v>
      </c>
      <c r="I729" s="8">
        <f>ROUND('Criaturas - Base de Dados'!K123*'Sistema de Raridade e Evolução'!E3,0)</f>
        <v>38</v>
      </c>
      <c r="J729" s="8">
        <f>'Sistema de Raridade e Evolução'!D3</f>
        <v>6</v>
      </c>
      <c r="K729" s="8" t="s">
        <v>9</v>
      </c>
      <c r="L729" s="9">
        <f t="shared" si="11"/>
        <v>28571.43</v>
      </c>
    </row>
    <row r="730" spans="1:12" ht="14.25" hidden="1" customHeight="1" x14ac:dyDescent="0.3">
      <c r="A730" s="8">
        <v>729</v>
      </c>
      <c r="B730" s="8" t="str">
        <f>'Criaturas - Base de Dados'!B123</f>
        <v>Tempestade Rúnica</v>
      </c>
      <c r="C730" s="8" t="str">
        <f>'Criaturas - Base de Dados'!C123</f>
        <v>Trovão</v>
      </c>
      <c r="D730" s="8" t="str">
        <f>'Criaturas - Base de Dados'!D123</f>
        <v>Raiju do Relâmpago</v>
      </c>
      <c r="E730" s="8" t="str">
        <f>'Sistema de Raridade e Evolução'!B4</f>
        <v>Prata</v>
      </c>
      <c r="F730" s="9">
        <f>ROUND(('Criaturas - Base de Dados'!H123*'Sistema de Raridade e Evolução'!E4)*1000,2)</f>
        <v>72000</v>
      </c>
      <c r="G730" s="8">
        <f>ROUND('Criaturas - Base de Dados'!I123*'Sistema de Raridade e Evolução'!E4,0)</f>
        <v>42</v>
      </c>
      <c r="H730" s="8">
        <f>ROUND('Criaturas - Base de Dados'!J123*'Sistema de Raridade e Evolução'!E4,0)</f>
        <v>36</v>
      </c>
      <c r="I730" s="8">
        <f>ROUND('Criaturas - Base de Dados'!K123*'Sistema de Raridade e Evolução'!E4,0)</f>
        <v>228</v>
      </c>
      <c r="J730" s="8">
        <f>'Sistema de Raridade e Evolução'!D4</f>
        <v>16</v>
      </c>
      <c r="K730" s="8" t="s">
        <v>10</v>
      </c>
      <c r="L730" s="9">
        <f t="shared" si="11"/>
        <v>171428.57</v>
      </c>
    </row>
    <row r="731" spans="1:12" ht="14.25" hidden="1" customHeight="1" x14ac:dyDescent="0.3">
      <c r="A731" s="8">
        <v>730</v>
      </c>
      <c r="B731" s="8" t="str">
        <f>'Criaturas - Base de Dados'!B123</f>
        <v>Tempestade Rúnica</v>
      </c>
      <c r="C731" s="8" t="str">
        <f>'Criaturas - Base de Dados'!C123</f>
        <v>Trovão</v>
      </c>
      <c r="D731" s="8" t="str">
        <f>'Criaturas - Base de Dados'!D123</f>
        <v>Raiju do Relâmpago</v>
      </c>
      <c r="E731" s="8" t="str">
        <f>'Sistema de Raridade e Evolução'!B5</f>
        <v>Ouro</v>
      </c>
      <c r="F731" s="9">
        <f>ROUND(('Criaturas - Base de Dados'!H123*'Sistema de Raridade e Evolução'!E5)*1000,2)</f>
        <v>216000</v>
      </c>
      <c r="G731" s="8">
        <f>ROUND('Criaturas - Base de Dados'!I123*'Sistema de Raridade e Evolução'!E5,0)</f>
        <v>126</v>
      </c>
      <c r="H731" s="8">
        <f>ROUND('Criaturas - Base de Dados'!J123*'Sistema de Raridade e Evolução'!E5,0)</f>
        <v>108</v>
      </c>
      <c r="I731" s="8">
        <f>ROUND('Criaturas - Base de Dados'!K123*'Sistema de Raridade e Evolução'!E5,0)</f>
        <v>684</v>
      </c>
      <c r="J731" s="8">
        <f>'Sistema de Raridade e Evolução'!D5</f>
        <v>31</v>
      </c>
      <c r="K731" s="8" t="s">
        <v>11</v>
      </c>
      <c r="L731" s="9">
        <f t="shared" si="11"/>
        <v>514285.71</v>
      </c>
    </row>
    <row r="732" spans="1:12" ht="14.25" hidden="1" customHeight="1" x14ac:dyDescent="0.3">
      <c r="A732" s="8">
        <v>731</v>
      </c>
      <c r="B732" s="8" t="str">
        <f>'Criaturas - Base de Dados'!B123</f>
        <v>Tempestade Rúnica</v>
      </c>
      <c r="C732" s="8" t="str">
        <f>'Criaturas - Base de Dados'!C123</f>
        <v>Trovão</v>
      </c>
      <c r="D732" s="8" t="str">
        <f>'Criaturas - Base de Dados'!D123</f>
        <v>Raiju do Relâmpago</v>
      </c>
      <c r="E732" s="8" t="str">
        <f>'Sistema de Raridade e Evolução'!B6</f>
        <v>Platina</v>
      </c>
      <c r="F732" s="9">
        <f>ROUND(('Criaturas - Base de Dados'!H123*'Sistema de Raridade e Evolução'!E6)*1000,2)</f>
        <v>600000</v>
      </c>
      <c r="G732" s="8">
        <f>ROUND('Criaturas - Base de Dados'!I123*'Sistema de Raridade e Evolução'!E6,0)</f>
        <v>350</v>
      </c>
      <c r="H732" s="8">
        <f>ROUND('Criaturas - Base de Dados'!J123*'Sistema de Raridade e Evolução'!E6,0)</f>
        <v>300</v>
      </c>
      <c r="I732" s="8">
        <f>ROUND('Criaturas - Base de Dados'!K123*'Sistema de Raridade e Evolução'!E6,0)</f>
        <v>1900</v>
      </c>
      <c r="J732" s="8">
        <f>'Sistema de Raridade e Evolução'!D6</f>
        <v>56</v>
      </c>
      <c r="K732" s="8" t="s">
        <v>12</v>
      </c>
      <c r="L732" s="9">
        <f t="shared" si="11"/>
        <v>1428571.43</v>
      </c>
    </row>
    <row r="733" spans="1:12" ht="14.25" hidden="1" customHeight="1" x14ac:dyDescent="0.3">
      <c r="A733" s="8">
        <v>732</v>
      </c>
      <c r="B733" s="8" t="str">
        <f>'Criaturas - Base de Dados'!B123</f>
        <v>Tempestade Rúnica</v>
      </c>
      <c r="C733" s="8" t="str">
        <f>'Criaturas - Base de Dados'!C123</f>
        <v>Trovão</v>
      </c>
      <c r="D733" s="8" t="str">
        <f>'Criaturas - Base de Dados'!D123</f>
        <v>Raiju do Relâmpago</v>
      </c>
      <c r="E733" s="8" t="str">
        <f>'Sistema de Raridade e Evolução'!B7</f>
        <v>Lendário</v>
      </c>
      <c r="F733" s="9">
        <f>ROUND(('Criaturas - Base de Dados'!H123*'Sistema de Raridade e Evolução'!E7)*1000,2)</f>
        <v>1800000</v>
      </c>
      <c r="G733" s="8">
        <f>ROUND('Criaturas - Base de Dados'!I123*'Sistema de Raridade e Evolução'!E7,0)</f>
        <v>1050</v>
      </c>
      <c r="H733" s="8">
        <f>ROUND('Criaturas - Base de Dados'!J123*'Sistema de Raridade e Evolução'!E7,0)</f>
        <v>900</v>
      </c>
      <c r="I733" s="8">
        <f>ROUND('Criaturas - Base de Dados'!K123*'Sistema de Raridade e Evolução'!E7,0)</f>
        <v>5700</v>
      </c>
      <c r="J733" s="8">
        <f>'Sistema de Raridade e Evolução'!D7</f>
        <v>91</v>
      </c>
      <c r="K733" s="8" t="s">
        <v>925</v>
      </c>
      <c r="L733" s="9">
        <f t="shared" si="11"/>
        <v>4285714.29</v>
      </c>
    </row>
    <row r="734" spans="1:12" ht="14.25" customHeight="1" x14ac:dyDescent="0.3">
      <c r="A734" s="8">
        <v>733</v>
      </c>
      <c r="B734" s="8" t="str">
        <f>'Criaturas - Base de Dados'!B124</f>
        <v>Tempestade Rúnica</v>
      </c>
      <c r="C734" s="8" t="str">
        <f>'Criaturas - Base de Dados'!C124</f>
        <v>Trovão</v>
      </c>
      <c r="D734" s="8" t="str">
        <f>'Criaturas - Base de Dados'!D124</f>
        <v>Ave-Relâmpago Andina</v>
      </c>
      <c r="E734" s="8" t="str">
        <f>'Sistema de Raridade e Evolução'!B2</f>
        <v>Default</v>
      </c>
      <c r="F734" s="9" t="e">
        <f>ROUND(('Criaturas - Base de Dados'!H124*'Sistema de Raridade e Evolução'!E2)*1000,2)</f>
        <v>#VALUE!</v>
      </c>
      <c r="G734" s="8" t="e">
        <f>ROUND('Criaturas - Base de Dados'!I124*'Sistema de Raridade e Evolução'!E2,0)</f>
        <v>#VALUE!</v>
      </c>
      <c r="H734" s="8" t="e">
        <f>ROUND('Criaturas - Base de Dados'!J124*'Sistema de Raridade e Evolução'!E2,0)</f>
        <v>#VALUE!</v>
      </c>
      <c r="I734" s="8" t="e">
        <f>ROUND('Criaturas - Base de Dados'!K124*'Sistema de Raridade e Evolução'!E2,0)</f>
        <v>#VALUE!</v>
      </c>
      <c r="J734" s="8">
        <f>'Sistema de Raridade e Evolução'!D2</f>
        <v>1</v>
      </c>
      <c r="K734" s="8" t="s">
        <v>8</v>
      </c>
      <c r="L734" s="9" t="e">
        <f t="shared" si="11"/>
        <v>#VALUE!</v>
      </c>
    </row>
    <row r="735" spans="1:12" ht="14.25" hidden="1" customHeight="1" x14ac:dyDescent="0.3">
      <c r="A735" s="8">
        <v>734</v>
      </c>
      <c r="B735" s="8" t="str">
        <f>'Criaturas - Base de Dados'!B124</f>
        <v>Tempestade Rúnica</v>
      </c>
      <c r="C735" s="8" t="str">
        <f>'Criaturas - Base de Dados'!C124</f>
        <v>Trovão</v>
      </c>
      <c r="D735" s="8" t="str">
        <f>'Criaturas - Base de Dados'!D124</f>
        <v>Ave-Relâmpago Andina</v>
      </c>
      <c r="E735" s="8" t="str">
        <f>'Sistema de Raridade e Evolução'!B3</f>
        <v>Bronze</v>
      </c>
      <c r="F735" s="9">
        <f>ROUND(('Criaturas - Base de Dados'!H124*'Sistema de Raridade e Evolução'!E3)*1000,2)</f>
        <v>14000</v>
      </c>
      <c r="G735" s="8">
        <f>ROUND('Criaturas - Base de Dados'!I124*'Sistema de Raridade e Evolução'!E3,0)</f>
        <v>8</v>
      </c>
      <c r="H735" s="8">
        <f>ROUND('Criaturas - Base de Dados'!J124*'Sistema de Raridade e Evolução'!E3,0)</f>
        <v>7</v>
      </c>
      <c r="I735" s="8">
        <f>ROUND('Criaturas - Base de Dados'!K124*'Sistema de Raridade e Evolução'!E3,0)</f>
        <v>45</v>
      </c>
      <c r="J735" s="8">
        <f>'Sistema de Raridade e Evolução'!D3</f>
        <v>6</v>
      </c>
      <c r="K735" s="8" t="s">
        <v>9</v>
      </c>
      <c r="L735" s="9">
        <f t="shared" si="11"/>
        <v>33333.33</v>
      </c>
    </row>
    <row r="736" spans="1:12" ht="14.25" hidden="1" customHeight="1" x14ac:dyDescent="0.3">
      <c r="A736" s="8">
        <v>735</v>
      </c>
      <c r="B736" s="8" t="str">
        <f>'Criaturas - Base de Dados'!B124</f>
        <v>Tempestade Rúnica</v>
      </c>
      <c r="C736" s="8" t="str">
        <f>'Criaturas - Base de Dados'!C124</f>
        <v>Trovão</v>
      </c>
      <c r="D736" s="8" t="str">
        <f>'Criaturas - Base de Dados'!D124</f>
        <v>Ave-Relâmpago Andina</v>
      </c>
      <c r="E736" s="8" t="str">
        <f>'Sistema de Raridade e Evolução'!B4</f>
        <v>Prata</v>
      </c>
      <c r="F736" s="9">
        <f>ROUND(('Criaturas - Base de Dados'!H124*'Sistema de Raridade e Evolução'!E4)*1000,2)</f>
        <v>84000</v>
      </c>
      <c r="G736" s="8">
        <f>ROUND('Criaturas - Base de Dados'!I124*'Sistema de Raridade e Evolução'!E4,0)</f>
        <v>48</v>
      </c>
      <c r="H736" s="8">
        <f>ROUND('Criaturas - Base de Dados'!J124*'Sistema de Raridade e Evolução'!E4,0)</f>
        <v>42</v>
      </c>
      <c r="I736" s="8">
        <f>ROUND('Criaturas - Base de Dados'!K124*'Sistema de Raridade e Evolução'!E4,0)</f>
        <v>270</v>
      </c>
      <c r="J736" s="8">
        <f>'Sistema de Raridade e Evolução'!D4</f>
        <v>16</v>
      </c>
      <c r="K736" s="8" t="s">
        <v>10</v>
      </c>
      <c r="L736" s="9">
        <f t="shared" si="11"/>
        <v>200000</v>
      </c>
    </row>
    <row r="737" spans="1:12" ht="14.25" hidden="1" customHeight="1" x14ac:dyDescent="0.3">
      <c r="A737" s="8">
        <v>736</v>
      </c>
      <c r="B737" s="8" t="str">
        <f>'Criaturas - Base de Dados'!B124</f>
        <v>Tempestade Rúnica</v>
      </c>
      <c r="C737" s="8" t="str">
        <f>'Criaturas - Base de Dados'!C124</f>
        <v>Trovão</v>
      </c>
      <c r="D737" s="8" t="str">
        <f>'Criaturas - Base de Dados'!D124</f>
        <v>Ave-Relâmpago Andina</v>
      </c>
      <c r="E737" s="8" t="str">
        <f>'Sistema de Raridade e Evolução'!B5</f>
        <v>Ouro</v>
      </c>
      <c r="F737" s="9">
        <f>ROUND(('Criaturas - Base de Dados'!H124*'Sistema de Raridade e Evolução'!E5)*1000,2)</f>
        <v>252000</v>
      </c>
      <c r="G737" s="8">
        <f>ROUND('Criaturas - Base de Dados'!I124*'Sistema de Raridade e Evolução'!E5,0)</f>
        <v>144</v>
      </c>
      <c r="H737" s="8">
        <f>ROUND('Criaturas - Base de Dados'!J124*'Sistema de Raridade e Evolução'!E5,0)</f>
        <v>126</v>
      </c>
      <c r="I737" s="8">
        <f>ROUND('Criaturas - Base de Dados'!K124*'Sistema de Raridade e Evolução'!E5,0)</f>
        <v>810</v>
      </c>
      <c r="J737" s="8">
        <f>'Sistema de Raridade e Evolução'!D5</f>
        <v>31</v>
      </c>
      <c r="K737" s="8" t="s">
        <v>11</v>
      </c>
      <c r="L737" s="9">
        <f t="shared" si="11"/>
        <v>600000</v>
      </c>
    </row>
    <row r="738" spans="1:12" ht="14.25" hidden="1" customHeight="1" x14ac:dyDescent="0.3">
      <c r="A738" s="8">
        <v>737</v>
      </c>
      <c r="B738" s="8" t="str">
        <f>'Criaturas - Base de Dados'!B124</f>
        <v>Tempestade Rúnica</v>
      </c>
      <c r="C738" s="8" t="str">
        <f>'Criaturas - Base de Dados'!C124</f>
        <v>Trovão</v>
      </c>
      <c r="D738" s="8" t="str">
        <f>'Criaturas - Base de Dados'!D124</f>
        <v>Ave-Relâmpago Andina</v>
      </c>
      <c r="E738" s="8" t="str">
        <f>'Sistema de Raridade e Evolução'!B6</f>
        <v>Platina</v>
      </c>
      <c r="F738" s="9">
        <f>ROUND(('Criaturas - Base de Dados'!H124*'Sistema de Raridade e Evolução'!E6)*1000,2)</f>
        <v>700000</v>
      </c>
      <c r="G738" s="8">
        <f>ROUND('Criaturas - Base de Dados'!I124*'Sistema de Raridade e Evolução'!E6,0)</f>
        <v>400</v>
      </c>
      <c r="H738" s="8">
        <f>ROUND('Criaturas - Base de Dados'!J124*'Sistema de Raridade e Evolução'!E6,0)</f>
        <v>350</v>
      </c>
      <c r="I738" s="8">
        <f>ROUND('Criaturas - Base de Dados'!K124*'Sistema de Raridade e Evolução'!E6,0)</f>
        <v>2250</v>
      </c>
      <c r="J738" s="8">
        <f>'Sistema de Raridade e Evolução'!D6</f>
        <v>56</v>
      </c>
      <c r="K738" s="8" t="s">
        <v>12</v>
      </c>
      <c r="L738" s="9">
        <f t="shared" si="11"/>
        <v>1666666.67</v>
      </c>
    </row>
    <row r="739" spans="1:12" ht="14.25" hidden="1" customHeight="1" x14ac:dyDescent="0.3">
      <c r="A739" s="8">
        <v>738</v>
      </c>
      <c r="B739" s="8" t="str">
        <f>'Criaturas - Base de Dados'!B124</f>
        <v>Tempestade Rúnica</v>
      </c>
      <c r="C739" s="8" t="str">
        <f>'Criaturas - Base de Dados'!C124</f>
        <v>Trovão</v>
      </c>
      <c r="D739" s="8" t="str">
        <f>'Criaturas - Base de Dados'!D124</f>
        <v>Ave-Relâmpago Andina</v>
      </c>
      <c r="E739" s="8" t="str">
        <f>'Sistema de Raridade e Evolução'!B7</f>
        <v>Lendário</v>
      </c>
      <c r="F739" s="9">
        <f>ROUND(('Criaturas - Base de Dados'!H124*'Sistema de Raridade e Evolução'!E7)*1000,2)</f>
        <v>2100000</v>
      </c>
      <c r="G739" s="8">
        <f>ROUND('Criaturas - Base de Dados'!I124*'Sistema de Raridade e Evolução'!E7,0)</f>
        <v>1200</v>
      </c>
      <c r="H739" s="8">
        <f>ROUND('Criaturas - Base de Dados'!J124*'Sistema de Raridade e Evolução'!E7,0)</f>
        <v>1050</v>
      </c>
      <c r="I739" s="8">
        <f>ROUND('Criaturas - Base de Dados'!K124*'Sistema de Raridade e Evolução'!E7,0)</f>
        <v>6750</v>
      </c>
      <c r="J739" s="8">
        <f>'Sistema de Raridade e Evolução'!D7</f>
        <v>91</v>
      </c>
      <c r="K739" s="8" t="s">
        <v>925</v>
      </c>
      <c r="L739" s="9">
        <f t="shared" si="11"/>
        <v>5000000</v>
      </c>
    </row>
    <row r="740" spans="1:12" ht="14.25" customHeight="1" x14ac:dyDescent="0.3">
      <c r="A740" s="8">
        <v>739</v>
      </c>
      <c r="B740" s="8" t="str">
        <f>'Criaturas - Base de Dados'!B125</f>
        <v>Tempestade Rúnica</v>
      </c>
      <c r="C740" s="8" t="str">
        <f>'Criaturas - Base de Dados'!C125</f>
        <v>Trovão</v>
      </c>
      <c r="D740" s="8" t="str">
        <f>'Criaturas - Base de Dados'!D125</f>
        <v>Harpia da Tempestade</v>
      </c>
      <c r="E740" s="8" t="str">
        <f>'Sistema de Raridade e Evolução'!B2</f>
        <v>Default</v>
      </c>
      <c r="F740" s="9" t="e">
        <f>ROUND(('Criaturas - Base de Dados'!H125*'Sistema de Raridade e Evolução'!E2)*1000,2)</f>
        <v>#VALUE!</v>
      </c>
      <c r="G740" s="8" t="e">
        <f>ROUND('Criaturas - Base de Dados'!I125*'Sistema de Raridade e Evolução'!E2,0)</f>
        <v>#VALUE!</v>
      </c>
      <c r="H740" s="8" t="e">
        <f>ROUND('Criaturas - Base de Dados'!J125*'Sistema de Raridade e Evolução'!E2,0)</f>
        <v>#VALUE!</v>
      </c>
      <c r="I740" s="8" t="e">
        <f>ROUND('Criaturas - Base de Dados'!K125*'Sistema de Raridade e Evolução'!E2,0)</f>
        <v>#VALUE!</v>
      </c>
      <c r="J740" s="8">
        <f>'Sistema de Raridade e Evolução'!D2</f>
        <v>1</v>
      </c>
      <c r="K740" s="8" t="s">
        <v>8</v>
      </c>
      <c r="L740" s="9" t="e">
        <f t="shared" si="11"/>
        <v>#VALUE!</v>
      </c>
    </row>
    <row r="741" spans="1:12" ht="14.25" hidden="1" customHeight="1" x14ac:dyDescent="0.3">
      <c r="A741" s="8">
        <v>740</v>
      </c>
      <c r="B741" s="8" t="str">
        <f>'Criaturas - Base de Dados'!B125</f>
        <v>Tempestade Rúnica</v>
      </c>
      <c r="C741" s="8" t="str">
        <f>'Criaturas - Base de Dados'!C125</f>
        <v>Trovão</v>
      </c>
      <c r="D741" s="8" t="str">
        <f>'Criaturas - Base de Dados'!D125</f>
        <v>Harpia da Tempestade</v>
      </c>
      <c r="E741" s="8" t="str">
        <f>'Sistema de Raridade e Evolução'!B3</f>
        <v>Bronze</v>
      </c>
      <c r="F741" s="9">
        <f>ROUND(('Criaturas - Base de Dados'!H125*'Sistema de Raridade e Evolução'!E3)*1000,2)</f>
        <v>16000</v>
      </c>
      <c r="G741" s="8">
        <f>ROUND('Criaturas - Base de Dados'!I125*'Sistema de Raridade e Evolução'!E3,0)</f>
        <v>10</v>
      </c>
      <c r="H741" s="8">
        <f>ROUND('Criaturas - Base de Dados'!J125*'Sistema de Raridade e Evolução'!E3,0)</f>
        <v>8</v>
      </c>
      <c r="I741" s="8">
        <f>ROUND('Criaturas - Base de Dados'!K125*'Sistema de Raridade e Evolução'!E3,0)</f>
        <v>51</v>
      </c>
      <c r="J741" s="8">
        <f>'Sistema de Raridade e Evolução'!D3</f>
        <v>6</v>
      </c>
      <c r="K741" s="8" t="s">
        <v>9</v>
      </c>
      <c r="L741" s="9">
        <f t="shared" si="11"/>
        <v>38095.24</v>
      </c>
    </row>
    <row r="742" spans="1:12" ht="14.25" hidden="1" customHeight="1" x14ac:dyDescent="0.3">
      <c r="A742" s="8">
        <v>741</v>
      </c>
      <c r="B742" s="8" t="str">
        <f>'Criaturas - Base de Dados'!B125</f>
        <v>Tempestade Rúnica</v>
      </c>
      <c r="C742" s="8" t="str">
        <f>'Criaturas - Base de Dados'!C125</f>
        <v>Trovão</v>
      </c>
      <c r="D742" s="8" t="str">
        <f>'Criaturas - Base de Dados'!D125</f>
        <v>Harpia da Tempestade</v>
      </c>
      <c r="E742" s="8" t="str">
        <f>'Sistema de Raridade e Evolução'!B4</f>
        <v>Prata</v>
      </c>
      <c r="F742" s="9">
        <f>ROUND(('Criaturas - Base de Dados'!H125*'Sistema de Raridade e Evolução'!E4)*1000,2)</f>
        <v>96000</v>
      </c>
      <c r="G742" s="8">
        <f>ROUND('Criaturas - Base de Dados'!I125*'Sistema de Raridade e Evolução'!E4,0)</f>
        <v>60</v>
      </c>
      <c r="H742" s="8">
        <f>ROUND('Criaturas - Base de Dados'!J125*'Sistema de Raridade e Evolução'!E4,0)</f>
        <v>48</v>
      </c>
      <c r="I742" s="8">
        <f>ROUND('Criaturas - Base de Dados'!K125*'Sistema de Raridade e Evolução'!E4,0)</f>
        <v>306</v>
      </c>
      <c r="J742" s="8">
        <f>'Sistema de Raridade e Evolução'!D4</f>
        <v>16</v>
      </c>
      <c r="K742" s="8" t="s">
        <v>10</v>
      </c>
      <c r="L742" s="9">
        <f t="shared" si="11"/>
        <v>228571.43</v>
      </c>
    </row>
    <row r="743" spans="1:12" ht="14.25" hidden="1" customHeight="1" x14ac:dyDescent="0.3">
      <c r="A743" s="8">
        <v>742</v>
      </c>
      <c r="B743" s="8" t="str">
        <f>'Criaturas - Base de Dados'!B125</f>
        <v>Tempestade Rúnica</v>
      </c>
      <c r="C743" s="8" t="str">
        <f>'Criaturas - Base de Dados'!C125</f>
        <v>Trovão</v>
      </c>
      <c r="D743" s="8" t="str">
        <f>'Criaturas - Base de Dados'!D125</f>
        <v>Harpia da Tempestade</v>
      </c>
      <c r="E743" s="8" t="str">
        <f>'Sistema de Raridade e Evolução'!B5</f>
        <v>Ouro</v>
      </c>
      <c r="F743" s="9">
        <f>ROUND(('Criaturas - Base de Dados'!H125*'Sistema de Raridade e Evolução'!E5)*1000,2)</f>
        <v>288000</v>
      </c>
      <c r="G743" s="8">
        <f>ROUND('Criaturas - Base de Dados'!I125*'Sistema de Raridade e Evolução'!E5,0)</f>
        <v>180</v>
      </c>
      <c r="H743" s="8">
        <f>ROUND('Criaturas - Base de Dados'!J125*'Sistema de Raridade e Evolução'!E5,0)</f>
        <v>144</v>
      </c>
      <c r="I743" s="8">
        <f>ROUND('Criaturas - Base de Dados'!K125*'Sistema de Raridade e Evolução'!E5,0)</f>
        <v>918</v>
      </c>
      <c r="J743" s="8">
        <f>'Sistema de Raridade e Evolução'!D5</f>
        <v>31</v>
      </c>
      <c r="K743" s="8" t="s">
        <v>11</v>
      </c>
      <c r="L743" s="9">
        <f t="shared" si="11"/>
        <v>685714.29</v>
      </c>
    </row>
    <row r="744" spans="1:12" ht="14.25" hidden="1" customHeight="1" x14ac:dyDescent="0.3">
      <c r="A744" s="8">
        <v>743</v>
      </c>
      <c r="B744" s="8" t="str">
        <f>'Criaturas - Base de Dados'!B125</f>
        <v>Tempestade Rúnica</v>
      </c>
      <c r="C744" s="8" t="str">
        <f>'Criaturas - Base de Dados'!C125</f>
        <v>Trovão</v>
      </c>
      <c r="D744" s="8" t="str">
        <f>'Criaturas - Base de Dados'!D125</f>
        <v>Harpia da Tempestade</v>
      </c>
      <c r="E744" s="8" t="str">
        <f>'Sistema de Raridade e Evolução'!B6</f>
        <v>Platina</v>
      </c>
      <c r="F744" s="9">
        <f>ROUND(('Criaturas - Base de Dados'!H125*'Sistema de Raridade e Evolução'!E6)*1000,2)</f>
        <v>800000</v>
      </c>
      <c r="G744" s="8">
        <f>ROUND('Criaturas - Base de Dados'!I125*'Sistema de Raridade e Evolução'!E6,0)</f>
        <v>500</v>
      </c>
      <c r="H744" s="8">
        <f>ROUND('Criaturas - Base de Dados'!J125*'Sistema de Raridade e Evolução'!E6,0)</f>
        <v>400</v>
      </c>
      <c r="I744" s="8">
        <f>ROUND('Criaturas - Base de Dados'!K125*'Sistema de Raridade e Evolução'!E6,0)</f>
        <v>2550</v>
      </c>
      <c r="J744" s="8">
        <f>'Sistema de Raridade e Evolução'!D6</f>
        <v>56</v>
      </c>
      <c r="K744" s="8" t="s">
        <v>12</v>
      </c>
      <c r="L744" s="9">
        <f t="shared" si="11"/>
        <v>1904761.9</v>
      </c>
    </row>
    <row r="745" spans="1:12" ht="14.25" hidden="1" customHeight="1" x14ac:dyDescent="0.3">
      <c r="A745" s="8">
        <v>744</v>
      </c>
      <c r="B745" s="8" t="str">
        <f>'Criaturas - Base de Dados'!B125</f>
        <v>Tempestade Rúnica</v>
      </c>
      <c r="C745" s="8" t="str">
        <f>'Criaturas - Base de Dados'!C125</f>
        <v>Trovão</v>
      </c>
      <c r="D745" s="8" t="str">
        <f>'Criaturas - Base de Dados'!D125</f>
        <v>Harpia da Tempestade</v>
      </c>
      <c r="E745" s="8" t="str">
        <f>'Sistema de Raridade e Evolução'!B7</f>
        <v>Lendário</v>
      </c>
      <c r="F745" s="9">
        <f>ROUND(('Criaturas - Base de Dados'!H125*'Sistema de Raridade e Evolução'!E7)*1000,2)</f>
        <v>2400000</v>
      </c>
      <c r="G745" s="8">
        <f>ROUND('Criaturas - Base de Dados'!I125*'Sistema de Raridade e Evolução'!E7,0)</f>
        <v>1500</v>
      </c>
      <c r="H745" s="8">
        <f>ROUND('Criaturas - Base de Dados'!J125*'Sistema de Raridade e Evolução'!E7,0)</f>
        <v>1200</v>
      </c>
      <c r="I745" s="8">
        <f>ROUND('Criaturas - Base de Dados'!K125*'Sistema de Raridade e Evolução'!E7,0)</f>
        <v>7650</v>
      </c>
      <c r="J745" s="8">
        <f>'Sistema de Raridade e Evolução'!D7</f>
        <v>91</v>
      </c>
      <c r="K745" s="8" t="s">
        <v>925</v>
      </c>
      <c r="L745" s="9">
        <f t="shared" si="11"/>
        <v>5714285.71</v>
      </c>
    </row>
    <row r="746" spans="1:12" ht="14.25" customHeight="1" x14ac:dyDescent="0.3">
      <c r="A746" s="8">
        <v>745</v>
      </c>
      <c r="B746" s="8" t="str">
        <f>'Criaturas - Base de Dados'!B126</f>
        <v>Tempestade Rúnica</v>
      </c>
      <c r="C746" s="8" t="str">
        <f>'Criaturas - Base de Dados'!C126</f>
        <v>Trovão</v>
      </c>
      <c r="D746" s="8" t="str">
        <f>'Criaturas - Base de Dados'!D126</f>
        <v>Wyvern Elétrico</v>
      </c>
      <c r="E746" s="8" t="str">
        <f>'Sistema de Raridade e Evolução'!B2</f>
        <v>Default</v>
      </c>
      <c r="F746" s="9" t="e">
        <f>ROUND(('Criaturas - Base de Dados'!H126*'Sistema de Raridade e Evolução'!E2)*1000,2)</f>
        <v>#VALUE!</v>
      </c>
      <c r="G746" s="8" t="e">
        <f>ROUND('Criaturas - Base de Dados'!I126*'Sistema de Raridade e Evolução'!E2,0)</f>
        <v>#VALUE!</v>
      </c>
      <c r="H746" s="8" t="e">
        <f>ROUND('Criaturas - Base de Dados'!J126*'Sistema de Raridade e Evolução'!E2,0)</f>
        <v>#VALUE!</v>
      </c>
      <c r="I746" s="8" t="e">
        <f>ROUND('Criaturas - Base de Dados'!K126*'Sistema de Raridade e Evolução'!E2,0)</f>
        <v>#VALUE!</v>
      </c>
      <c r="J746" s="8">
        <f>'Sistema de Raridade e Evolução'!D2</f>
        <v>1</v>
      </c>
      <c r="K746" s="8" t="s">
        <v>8</v>
      </c>
      <c r="L746" s="9" t="e">
        <f t="shared" si="11"/>
        <v>#VALUE!</v>
      </c>
    </row>
    <row r="747" spans="1:12" ht="14.25" hidden="1" customHeight="1" x14ac:dyDescent="0.3">
      <c r="A747" s="8">
        <v>746</v>
      </c>
      <c r="B747" s="8" t="str">
        <f>'Criaturas - Base de Dados'!B126</f>
        <v>Tempestade Rúnica</v>
      </c>
      <c r="C747" s="8" t="str">
        <f>'Criaturas - Base de Dados'!C126</f>
        <v>Trovão</v>
      </c>
      <c r="D747" s="8" t="str">
        <f>'Criaturas - Base de Dados'!D126</f>
        <v>Wyvern Elétrico</v>
      </c>
      <c r="E747" s="8" t="str">
        <f>'Sistema de Raridade e Evolução'!B3</f>
        <v>Bronze</v>
      </c>
      <c r="F747" s="9">
        <f>ROUND(('Criaturas - Base de Dados'!H126*'Sistema de Raridade e Evolução'!E3)*1000,2)</f>
        <v>16000</v>
      </c>
      <c r="G747" s="8">
        <f>ROUND('Criaturas - Base de Dados'!I126*'Sistema de Raridade e Evolução'!E3,0)</f>
        <v>10</v>
      </c>
      <c r="H747" s="8">
        <f>ROUND('Criaturas - Base de Dados'!J126*'Sistema de Raridade e Evolução'!E3,0)</f>
        <v>8</v>
      </c>
      <c r="I747" s="8">
        <f>ROUND('Criaturas - Base de Dados'!K126*'Sistema de Raridade e Evolução'!E3,0)</f>
        <v>51</v>
      </c>
      <c r="J747" s="8">
        <f>'Sistema de Raridade e Evolução'!D3</f>
        <v>6</v>
      </c>
      <c r="K747" s="8" t="s">
        <v>9</v>
      </c>
      <c r="L747" s="9">
        <f t="shared" si="11"/>
        <v>38095.24</v>
      </c>
    </row>
    <row r="748" spans="1:12" ht="14.25" hidden="1" customHeight="1" x14ac:dyDescent="0.3">
      <c r="A748" s="8">
        <v>747</v>
      </c>
      <c r="B748" s="8" t="str">
        <f>'Criaturas - Base de Dados'!B126</f>
        <v>Tempestade Rúnica</v>
      </c>
      <c r="C748" s="8" t="str">
        <f>'Criaturas - Base de Dados'!C126</f>
        <v>Trovão</v>
      </c>
      <c r="D748" s="8" t="str">
        <f>'Criaturas - Base de Dados'!D126</f>
        <v>Wyvern Elétrico</v>
      </c>
      <c r="E748" s="8" t="str">
        <f>'Sistema de Raridade e Evolução'!B4</f>
        <v>Prata</v>
      </c>
      <c r="F748" s="9">
        <f>ROUND(('Criaturas - Base de Dados'!H126*'Sistema de Raridade e Evolução'!E4)*1000,2)</f>
        <v>96000</v>
      </c>
      <c r="G748" s="8">
        <f>ROUND('Criaturas - Base de Dados'!I126*'Sistema de Raridade e Evolução'!E4,0)</f>
        <v>60</v>
      </c>
      <c r="H748" s="8">
        <f>ROUND('Criaturas - Base de Dados'!J126*'Sistema de Raridade e Evolução'!E4,0)</f>
        <v>48</v>
      </c>
      <c r="I748" s="8">
        <f>ROUND('Criaturas - Base de Dados'!K126*'Sistema de Raridade e Evolução'!E4,0)</f>
        <v>306</v>
      </c>
      <c r="J748" s="8">
        <f>'Sistema de Raridade e Evolução'!D4</f>
        <v>16</v>
      </c>
      <c r="K748" s="8" t="s">
        <v>10</v>
      </c>
      <c r="L748" s="9">
        <f t="shared" si="11"/>
        <v>228571.43</v>
      </c>
    </row>
    <row r="749" spans="1:12" ht="14.25" hidden="1" customHeight="1" x14ac:dyDescent="0.3">
      <c r="A749" s="8">
        <v>748</v>
      </c>
      <c r="B749" s="8" t="str">
        <f>'Criaturas - Base de Dados'!B126</f>
        <v>Tempestade Rúnica</v>
      </c>
      <c r="C749" s="8" t="str">
        <f>'Criaturas - Base de Dados'!C126</f>
        <v>Trovão</v>
      </c>
      <c r="D749" s="8" t="str">
        <f>'Criaturas - Base de Dados'!D126</f>
        <v>Wyvern Elétrico</v>
      </c>
      <c r="E749" s="8" t="str">
        <f>'Sistema de Raridade e Evolução'!B5</f>
        <v>Ouro</v>
      </c>
      <c r="F749" s="9">
        <f>ROUND(('Criaturas - Base de Dados'!H126*'Sistema de Raridade e Evolução'!E5)*1000,2)</f>
        <v>288000</v>
      </c>
      <c r="G749" s="8">
        <f>ROUND('Criaturas - Base de Dados'!I126*'Sistema de Raridade e Evolução'!E5,0)</f>
        <v>180</v>
      </c>
      <c r="H749" s="8">
        <f>ROUND('Criaturas - Base de Dados'!J126*'Sistema de Raridade e Evolução'!E5,0)</f>
        <v>144</v>
      </c>
      <c r="I749" s="8">
        <f>ROUND('Criaturas - Base de Dados'!K126*'Sistema de Raridade e Evolução'!E5,0)</f>
        <v>918</v>
      </c>
      <c r="J749" s="8">
        <f>'Sistema de Raridade e Evolução'!D5</f>
        <v>31</v>
      </c>
      <c r="K749" s="8" t="s">
        <v>11</v>
      </c>
      <c r="L749" s="9">
        <f t="shared" si="11"/>
        <v>685714.29</v>
      </c>
    </row>
    <row r="750" spans="1:12" ht="14.25" hidden="1" customHeight="1" x14ac:dyDescent="0.3">
      <c r="A750" s="8">
        <v>749</v>
      </c>
      <c r="B750" s="8" t="str">
        <f>'Criaturas - Base de Dados'!B126</f>
        <v>Tempestade Rúnica</v>
      </c>
      <c r="C750" s="8" t="str">
        <f>'Criaturas - Base de Dados'!C126</f>
        <v>Trovão</v>
      </c>
      <c r="D750" s="8" t="str">
        <f>'Criaturas - Base de Dados'!D126</f>
        <v>Wyvern Elétrico</v>
      </c>
      <c r="E750" s="8" t="str">
        <f>'Sistema de Raridade e Evolução'!B6</f>
        <v>Platina</v>
      </c>
      <c r="F750" s="9">
        <f>ROUND(('Criaturas - Base de Dados'!H126*'Sistema de Raridade e Evolução'!E6)*1000,2)</f>
        <v>800000</v>
      </c>
      <c r="G750" s="8">
        <f>ROUND('Criaturas - Base de Dados'!I126*'Sistema de Raridade e Evolução'!E6,0)</f>
        <v>500</v>
      </c>
      <c r="H750" s="8">
        <f>ROUND('Criaturas - Base de Dados'!J126*'Sistema de Raridade e Evolução'!E6,0)</f>
        <v>400</v>
      </c>
      <c r="I750" s="8">
        <f>ROUND('Criaturas - Base de Dados'!K126*'Sistema de Raridade e Evolução'!E6,0)</f>
        <v>2550</v>
      </c>
      <c r="J750" s="8">
        <f>'Sistema de Raridade e Evolução'!D6</f>
        <v>56</v>
      </c>
      <c r="K750" s="8" t="s">
        <v>12</v>
      </c>
      <c r="L750" s="9">
        <f t="shared" si="11"/>
        <v>1904761.9</v>
      </c>
    </row>
    <row r="751" spans="1:12" ht="14.25" hidden="1" customHeight="1" x14ac:dyDescent="0.3">
      <c r="A751" s="8">
        <v>750</v>
      </c>
      <c r="B751" s="8" t="str">
        <f>'Criaturas - Base de Dados'!B126</f>
        <v>Tempestade Rúnica</v>
      </c>
      <c r="C751" s="8" t="str">
        <f>'Criaturas - Base de Dados'!C126</f>
        <v>Trovão</v>
      </c>
      <c r="D751" s="8" t="str">
        <f>'Criaturas - Base de Dados'!D126</f>
        <v>Wyvern Elétrico</v>
      </c>
      <c r="E751" s="8" t="str">
        <f>'Sistema de Raridade e Evolução'!B7</f>
        <v>Lendário</v>
      </c>
      <c r="F751" s="9">
        <f>ROUND(('Criaturas - Base de Dados'!H126*'Sistema de Raridade e Evolução'!E7)*1000,2)</f>
        <v>2400000</v>
      </c>
      <c r="G751" s="8">
        <f>ROUND('Criaturas - Base de Dados'!I126*'Sistema de Raridade e Evolução'!E7,0)</f>
        <v>1500</v>
      </c>
      <c r="H751" s="8">
        <f>ROUND('Criaturas - Base de Dados'!J126*'Sistema de Raridade e Evolução'!E7,0)</f>
        <v>1200</v>
      </c>
      <c r="I751" s="8">
        <f>ROUND('Criaturas - Base de Dados'!K126*'Sistema de Raridade e Evolução'!E7,0)</f>
        <v>7650</v>
      </c>
      <c r="J751" s="8">
        <f>'Sistema de Raridade e Evolução'!D7</f>
        <v>91</v>
      </c>
      <c r="K751" s="8" t="s">
        <v>925</v>
      </c>
      <c r="L751" s="9">
        <f t="shared" si="11"/>
        <v>5714285.71</v>
      </c>
    </row>
    <row r="752" spans="1:12" ht="14.25" customHeight="1" x14ac:dyDescent="0.3">
      <c r="A752" s="8">
        <v>751</v>
      </c>
      <c r="B752" s="8" t="str">
        <f>'Criaturas - Base de Dados'!B127</f>
        <v>Tempestade Rúnica</v>
      </c>
      <c r="C752" s="8" t="str">
        <f>'Criaturas - Base de Dados'!C127</f>
        <v>Trovão</v>
      </c>
      <c r="D752" s="8" t="str">
        <f>'Criaturas - Base de Dados'!D127</f>
        <v>Espírito do Vendaval</v>
      </c>
      <c r="E752" s="8" t="str">
        <f>'Sistema de Raridade e Evolução'!B2</f>
        <v>Default</v>
      </c>
      <c r="F752" s="9" t="e">
        <f>ROUND(('Criaturas - Base de Dados'!H127*'Sistema de Raridade e Evolução'!E2)*1000,2)</f>
        <v>#VALUE!</v>
      </c>
      <c r="G752" s="8" t="e">
        <f>ROUND('Criaturas - Base de Dados'!I127*'Sistema de Raridade e Evolução'!E2,0)</f>
        <v>#VALUE!</v>
      </c>
      <c r="H752" s="8" t="e">
        <f>ROUND('Criaturas - Base de Dados'!J127*'Sistema de Raridade e Evolução'!E2,0)</f>
        <v>#VALUE!</v>
      </c>
      <c r="I752" s="8" t="e">
        <f>ROUND('Criaturas - Base de Dados'!K127*'Sistema de Raridade e Evolução'!E2,0)</f>
        <v>#VALUE!</v>
      </c>
      <c r="J752" s="8">
        <f>'Sistema de Raridade e Evolução'!D2</f>
        <v>1</v>
      </c>
      <c r="K752" s="8" t="s">
        <v>8</v>
      </c>
      <c r="L752" s="9" t="e">
        <f t="shared" si="11"/>
        <v>#VALUE!</v>
      </c>
    </row>
    <row r="753" spans="1:12" ht="14.25" hidden="1" customHeight="1" x14ac:dyDescent="0.3">
      <c r="A753" s="8">
        <v>752</v>
      </c>
      <c r="B753" s="8" t="str">
        <f>'Criaturas - Base de Dados'!B127</f>
        <v>Tempestade Rúnica</v>
      </c>
      <c r="C753" s="8" t="str">
        <f>'Criaturas - Base de Dados'!C127</f>
        <v>Trovão</v>
      </c>
      <c r="D753" s="8" t="str">
        <f>'Criaturas - Base de Dados'!D127</f>
        <v>Espírito do Vendaval</v>
      </c>
      <c r="E753" s="8" t="str">
        <f>'Sistema de Raridade e Evolução'!B3</f>
        <v>Bronze</v>
      </c>
      <c r="F753" s="9">
        <f>ROUND(('Criaturas - Base de Dados'!H127*'Sistema de Raridade e Evolução'!E3)*1000,2)</f>
        <v>18000</v>
      </c>
      <c r="G753" s="8">
        <f>ROUND('Criaturas - Base de Dados'!I127*'Sistema de Raridade e Evolução'!E3,0)</f>
        <v>11</v>
      </c>
      <c r="H753" s="8">
        <f>ROUND('Criaturas - Base de Dados'!J127*'Sistema de Raridade e Evolução'!E3,0)</f>
        <v>9</v>
      </c>
      <c r="I753" s="8">
        <f>ROUND('Criaturas - Base de Dados'!K127*'Sistema de Raridade e Evolução'!E3,0)</f>
        <v>58</v>
      </c>
      <c r="J753" s="8">
        <f>'Sistema de Raridade e Evolução'!D3</f>
        <v>6</v>
      </c>
      <c r="K753" s="8" t="s">
        <v>9</v>
      </c>
      <c r="L753" s="9">
        <f t="shared" si="11"/>
        <v>42857.14</v>
      </c>
    </row>
    <row r="754" spans="1:12" ht="14.25" hidden="1" customHeight="1" x14ac:dyDescent="0.3">
      <c r="A754" s="8">
        <v>753</v>
      </c>
      <c r="B754" s="8" t="str">
        <f>'Criaturas - Base de Dados'!B127</f>
        <v>Tempestade Rúnica</v>
      </c>
      <c r="C754" s="8" t="str">
        <f>'Criaturas - Base de Dados'!C127</f>
        <v>Trovão</v>
      </c>
      <c r="D754" s="8" t="str">
        <f>'Criaturas - Base de Dados'!D127</f>
        <v>Espírito do Vendaval</v>
      </c>
      <c r="E754" s="8" t="str">
        <f>'Sistema de Raridade e Evolução'!B4</f>
        <v>Prata</v>
      </c>
      <c r="F754" s="9">
        <f>ROUND(('Criaturas - Base de Dados'!H127*'Sistema de Raridade e Evolução'!E4)*1000,2)</f>
        <v>108000</v>
      </c>
      <c r="G754" s="8">
        <f>ROUND('Criaturas - Base de Dados'!I127*'Sistema de Raridade e Evolução'!E4,0)</f>
        <v>66</v>
      </c>
      <c r="H754" s="8">
        <f>ROUND('Criaturas - Base de Dados'!J127*'Sistema de Raridade e Evolução'!E4,0)</f>
        <v>54</v>
      </c>
      <c r="I754" s="8">
        <f>ROUND('Criaturas - Base de Dados'!K127*'Sistema de Raridade e Evolução'!E4,0)</f>
        <v>348</v>
      </c>
      <c r="J754" s="8">
        <f>'Sistema de Raridade e Evolução'!D4</f>
        <v>16</v>
      </c>
      <c r="K754" s="8" t="s">
        <v>10</v>
      </c>
      <c r="L754" s="9">
        <f t="shared" si="11"/>
        <v>257142.86</v>
      </c>
    </row>
    <row r="755" spans="1:12" ht="14.25" hidden="1" customHeight="1" x14ac:dyDescent="0.3">
      <c r="A755" s="8">
        <v>754</v>
      </c>
      <c r="B755" s="8" t="str">
        <f>'Criaturas - Base de Dados'!B127</f>
        <v>Tempestade Rúnica</v>
      </c>
      <c r="C755" s="8" t="str">
        <f>'Criaturas - Base de Dados'!C127</f>
        <v>Trovão</v>
      </c>
      <c r="D755" s="8" t="str">
        <f>'Criaturas - Base de Dados'!D127</f>
        <v>Espírito do Vendaval</v>
      </c>
      <c r="E755" s="8" t="str">
        <f>'Sistema de Raridade e Evolução'!B5</f>
        <v>Ouro</v>
      </c>
      <c r="F755" s="9">
        <f>ROUND(('Criaturas - Base de Dados'!H127*'Sistema de Raridade e Evolução'!E5)*1000,2)</f>
        <v>324000</v>
      </c>
      <c r="G755" s="8">
        <f>ROUND('Criaturas - Base de Dados'!I127*'Sistema de Raridade e Evolução'!E5,0)</f>
        <v>198</v>
      </c>
      <c r="H755" s="8">
        <f>ROUND('Criaturas - Base de Dados'!J127*'Sistema de Raridade e Evolução'!E5,0)</f>
        <v>162</v>
      </c>
      <c r="I755" s="8">
        <f>ROUND('Criaturas - Base de Dados'!K127*'Sistema de Raridade e Evolução'!E5,0)</f>
        <v>1044</v>
      </c>
      <c r="J755" s="8">
        <f>'Sistema de Raridade e Evolução'!D5</f>
        <v>31</v>
      </c>
      <c r="K755" s="8" t="s">
        <v>11</v>
      </c>
      <c r="L755" s="9">
        <f t="shared" si="11"/>
        <v>771428.57</v>
      </c>
    </row>
    <row r="756" spans="1:12" ht="14.25" hidden="1" customHeight="1" x14ac:dyDescent="0.3">
      <c r="A756" s="8">
        <v>755</v>
      </c>
      <c r="B756" s="8" t="str">
        <f>'Criaturas - Base de Dados'!B127</f>
        <v>Tempestade Rúnica</v>
      </c>
      <c r="C756" s="8" t="str">
        <f>'Criaturas - Base de Dados'!C127</f>
        <v>Trovão</v>
      </c>
      <c r="D756" s="8" t="str">
        <f>'Criaturas - Base de Dados'!D127</f>
        <v>Espírito do Vendaval</v>
      </c>
      <c r="E756" s="8" t="str">
        <f>'Sistema de Raridade e Evolução'!B6</f>
        <v>Platina</v>
      </c>
      <c r="F756" s="9">
        <f>ROUND(('Criaturas - Base de Dados'!H127*'Sistema de Raridade e Evolução'!E6)*1000,2)</f>
        <v>900000</v>
      </c>
      <c r="G756" s="8">
        <f>ROUND('Criaturas - Base de Dados'!I127*'Sistema de Raridade e Evolução'!E6,0)</f>
        <v>550</v>
      </c>
      <c r="H756" s="8">
        <f>ROUND('Criaturas - Base de Dados'!J127*'Sistema de Raridade e Evolução'!E6,0)</f>
        <v>450</v>
      </c>
      <c r="I756" s="8">
        <f>ROUND('Criaturas - Base de Dados'!K127*'Sistema de Raridade e Evolução'!E6,0)</f>
        <v>2900</v>
      </c>
      <c r="J756" s="8">
        <f>'Sistema de Raridade e Evolução'!D6</f>
        <v>56</v>
      </c>
      <c r="K756" s="8" t="s">
        <v>12</v>
      </c>
      <c r="L756" s="9">
        <f t="shared" si="11"/>
        <v>2142857.14</v>
      </c>
    </row>
    <row r="757" spans="1:12" ht="14.25" hidden="1" customHeight="1" x14ac:dyDescent="0.3">
      <c r="A757" s="8">
        <v>756</v>
      </c>
      <c r="B757" s="8" t="str">
        <f>'Criaturas - Base de Dados'!B127</f>
        <v>Tempestade Rúnica</v>
      </c>
      <c r="C757" s="8" t="str">
        <f>'Criaturas - Base de Dados'!C127</f>
        <v>Trovão</v>
      </c>
      <c r="D757" s="8" t="str">
        <f>'Criaturas - Base de Dados'!D127</f>
        <v>Espírito do Vendaval</v>
      </c>
      <c r="E757" s="8" t="str">
        <f>'Sistema de Raridade e Evolução'!B7</f>
        <v>Lendário</v>
      </c>
      <c r="F757" s="9">
        <f>ROUND(('Criaturas - Base de Dados'!H127*'Sistema de Raridade e Evolução'!E7)*1000,2)</f>
        <v>2700000</v>
      </c>
      <c r="G757" s="8">
        <f>ROUND('Criaturas - Base de Dados'!I127*'Sistema de Raridade e Evolução'!E7,0)</f>
        <v>1650</v>
      </c>
      <c r="H757" s="8">
        <f>ROUND('Criaturas - Base de Dados'!J127*'Sistema de Raridade e Evolução'!E7,0)</f>
        <v>1350</v>
      </c>
      <c r="I757" s="8">
        <f>ROUND('Criaturas - Base de Dados'!K127*'Sistema de Raridade e Evolução'!E7,0)</f>
        <v>8700</v>
      </c>
      <c r="J757" s="8">
        <f>'Sistema de Raridade e Evolução'!D7</f>
        <v>91</v>
      </c>
      <c r="K757" s="8" t="s">
        <v>925</v>
      </c>
      <c r="L757" s="9">
        <f t="shared" si="11"/>
        <v>6428571.4299999997</v>
      </c>
    </row>
    <row r="758" spans="1:12" ht="14.25" customHeight="1" x14ac:dyDescent="0.3">
      <c r="A758" s="8">
        <v>757</v>
      </c>
      <c r="B758" s="8" t="str">
        <f>'Criaturas - Base de Dados'!B128</f>
        <v>Tempestade Rúnica</v>
      </c>
      <c r="C758" s="8" t="str">
        <f>'Criaturas - Base de Dados'!C128</f>
        <v>Trovão</v>
      </c>
      <c r="D758" s="8" t="str">
        <f>'Criaturas - Base de Dados'!D128</f>
        <v>Corcel da Tormenta</v>
      </c>
      <c r="E758" s="8" t="str">
        <f>'Sistema de Raridade e Evolução'!B2</f>
        <v>Default</v>
      </c>
      <c r="F758" s="9" t="e">
        <f>ROUND(('Criaturas - Base de Dados'!H128*'Sistema de Raridade e Evolução'!E2)*1000,2)</f>
        <v>#VALUE!</v>
      </c>
      <c r="G758" s="8" t="e">
        <f>ROUND('Criaturas - Base de Dados'!I128*'Sistema de Raridade e Evolução'!E2,0)</f>
        <v>#VALUE!</v>
      </c>
      <c r="H758" s="8" t="e">
        <f>ROUND('Criaturas - Base de Dados'!J128*'Sistema de Raridade e Evolução'!E2,0)</f>
        <v>#VALUE!</v>
      </c>
      <c r="I758" s="8" t="e">
        <f>ROUND('Criaturas - Base de Dados'!K128*'Sistema de Raridade e Evolução'!E2,0)</f>
        <v>#VALUE!</v>
      </c>
      <c r="J758" s="8">
        <f>'Sistema de Raridade e Evolução'!D2</f>
        <v>1</v>
      </c>
      <c r="K758" s="8" t="s">
        <v>8</v>
      </c>
      <c r="L758" s="9" t="e">
        <f t="shared" si="11"/>
        <v>#VALUE!</v>
      </c>
    </row>
    <row r="759" spans="1:12" ht="14.25" hidden="1" customHeight="1" x14ac:dyDescent="0.3">
      <c r="A759" s="8">
        <v>758</v>
      </c>
      <c r="B759" s="8" t="str">
        <f>'Criaturas - Base de Dados'!B128</f>
        <v>Tempestade Rúnica</v>
      </c>
      <c r="C759" s="8" t="str">
        <f>'Criaturas - Base de Dados'!C128</f>
        <v>Trovão</v>
      </c>
      <c r="D759" s="8" t="str">
        <f>'Criaturas - Base de Dados'!D128</f>
        <v>Corcel da Tormenta</v>
      </c>
      <c r="E759" s="8" t="str">
        <f>'Sistema de Raridade e Evolução'!B3</f>
        <v>Bronze</v>
      </c>
      <c r="F759" s="9">
        <f>ROUND(('Criaturas - Base de Dados'!H128*'Sistema de Raridade e Evolução'!E3)*1000,2)</f>
        <v>20000</v>
      </c>
      <c r="G759" s="8">
        <f>ROUND('Criaturas - Base de Dados'!I128*'Sistema de Raridade e Evolução'!E3,0)</f>
        <v>12</v>
      </c>
      <c r="H759" s="8">
        <f>ROUND('Criaturas - Base de Dados'!J128*'Sistema de Raridade e Evolução'!E3,0)</f>
        <v>10</v>
      </c>
      <c r="I759" s="8">
        <f>ROUND('Criaturas - Base de Dados'!K128*'Sistema de Raridade e Evolução'!E3,0)</f>
        <v>64</v>
      </c>
      <c r="J759" s="8">
        <f>'Sistema de Raridade e Evolução'!D3</f>
        <v>6</v>
      </c>
      <c r="K759" s="8" t="s">
        <v>9</v>
      </c>
      <c r="L759" s="9">
        <f t="shared" si="11"/>
        <v>47619.05</v>
      </c>
    </row>
    <row r="760" spans="1:12" ht="14.25" hidden="1" customHeight="1" x14ac:dyDescent="0.3">
      <c r="A760" s="8">
        <v>759</v>
      </c>
      <c r="B760" s="8" t="str">
        <f>'Criaturas - Base de Dados'!B128</f>
        <v>Tempestade Rúnica</v>
      </c>
      <c r="C760" s="8" t="str">
        <f>'Criaturas - Base de Dados'!C128</f>
        <v>Trovão</v>
      </c>
      <c r="D760" s="8" t="str">
        <f>'Criaturas - Base de Dados'!D128</f>
        <v>Corcel da Tormenta</v>
      </c>
      <c r="E760" s="8" t="str">
        <f>'Sistema de Raridade e Evolução'!B4</f>
        <v>Prata</v>
      </c>
      <c r="F760" s="9">
        <f>ROUND(('Criaturas - Base de Dados'!H128*'Sistema de Raridade e Evolução'!E4)*1000,2)</f>
        <v>120000</v>
      </c>
      <c r="G760" s="8">
        <f>ROUND('Criaturas - Base de Dados'!I128*'Sistema de Raridade e Evolução'!E4,0)</f>
        <v>72</v>
      </c>
      <c r="H760" s="8">
        <f>ROUND('Criaturas - Base de Dados'!J128*'Sistema de Raridade e Evolução'!E4,0)</f>
        <v>60</v>
      </c>
      <c r="I760" s="8">
        <f>ROUND('Criaturas - Base de Dados'!K128*'Sistema de Raridade e Evolução'!E4,0)</f>
        <v>384</v>
      </c>
      <c r="J760" s="8">
        <f>'Sistema de Raridade e Evolução'!D4</f>
        <v>16</v>
      </c>
      <c r="K760" s="8" t="s">
        <v>10</v>
      </c>
      <c r="L760" s="9">
        <f t="shared" si="11"/>
        <v>285714.28999999998</v>
      </c>
    </row>
    <row r="761" spans="1:12" ht="14.25" hidden="1" customHeight="1" x14ac:dyDescent="0.3">
      <c r="A761" s="8">
        <v>760</v>
      </c>
      <c r="B761" s="8" t="str">
        <f>'Criaturas - Base de Dados'!B128</f>
        <v>Tempestade Rúnica</v>
      </c>
      <c r="C761" s="8" t="str">
        <f>'Criaturas - Base de Dados'!C128</f>
        <v>Trovão</v>
      </c>
      <c r="D761" s="8" t="str">
        <f>'Criaturas - Base de Dados'!D128</f>
        <v>Corcel da Tormenta</v>
      </c>
      <c r="E761" s="8" t="str">
        <f>'Sistema de Raridade e Evolução'!B5</f>
        <v>Ouro</v>
      </c>
      <c r="F761" s="9">
        <f>ROUND(('Criaturas - Base de Dados'!H128*'Sistema de Raridade e Evolução'!E5)*1000,2)</f>
        <v>360000</v>
      </c>
      <c r="G761" s="8">
        <f>ROUND('Criaturas - Base de Dados'!I128*'Sistema de Raridade e Evolução'!E5,0)</f>
        <v>216</v>
      </c>
      <c r="H761" s="8">
        <f>ROUND('Criaturas - Base de Dados'!J128*'Sistema de Raridade e Evolução'!E5,0)</f>
        <v>180</v>
      </c>
      <c r="I761" s="8">
        <f>ROUND('Criaturas - Base de Dados'!K128*'Sistema de Raridade e Evolução'!E5,0)</f>
        <v>1152</v>
      </c>
      <c r="J761" s="8">
        <f>'Sistema de Raridade e Evolução'!D5</f>
        <v>31</v>
      </c>
      <c r="K761" s="8" t="s">
        <v>11</v>
      </c>
      <c r="L761" s="9">
        <f t="shared" si="11"/>
        <v>857142.86</v>
      </c>
    </row>
    <row r="762" spans="1:12" ht="14.25" hidden="1" customHeight="1" x14ac:dyDescent="0.3">
      <c r="A762" s="8">
        <v>761</v>
      </c>
      <c r="B762" s="8" t="str">
        <f>'Criaturas - Base de Dados'!B128</f>
        <v>Tempestade Rúnica</v>
      </c>
      <c r="C762" s="8" t="str">
        <f>'Criaturas - Base de Dados'!C128</f>
        <v>Trovão</v>
      </c>
      <c r="D762" s="8" t="str">
        <f>'Criaturas - Base de Dados'!D128</f>
        <v>Corcel da Tormenta</v>
      </c>
      <c r="E762" s="8" t="str">
        <f>'Sistema de Raridade e Evolução'!B6</f>
        <v>Platina</v>
      </c>
      <c r="F762" s="9">
        <f>ROUND(('Criaturas - Base de Dados'!H128*'Sistema de Raridade e Evolução'!E6)*1000,2)</f>
        <v>1000000</v>
      </c>
      <c r="G762" s="8">
        <f>ROUND('Criaturas - Base de Dados'!I128*'Sistema de Raridade e Evolução'!E6,0)</f>
        <v>600</v>
      </c>
      <c r="H762" s="8">
        <f>ROUND('Criaturas - Base de Dados'!J128*'Sistema de Raridade e Evolução'!E6,0)</f>
        <v>500</v>
      </c>
      <c r="I762" s="8">
        <f>ROUND('Criaturas - Base de Dados'!K128*'Sistema de Raridade e Evolução'!E6,0)</f>
        <v>3200</v>
      </c>
      <c r="J762" s="8">
        <f>'Sistema de Raridade e Evolução'!D6</f>
        <v>56</v>
      </c>
      <c r="K762" s="8" t="s">
        <v>12</v>
      </c>
      <c r="L762" s="9">
        <f t="shared" si="11"/>
        <v>2380952.38</v>
      </c>
    </row>
    <row r="763" spans="1:12" ht="14.25" hidden="1" customHeight="1" x14ac:dyDescent="0.3">
      <c r="A763" s="8">
        <v>762</v>
      </c>
      <c r="B763" s="8" t="str">
        <f>'Criaturas - Base de Dados'!B128</f>
        <v>Tempestade Rúnica</v>
      </c>
      <c r="C763" s="8" t="str">
        <f>'Criaturas - Base de Dados'!C128</f>
        <v>Trovão</v>
      </c>
      <c r="D763" s="8" t="str">
        <f>'Criaturas - Base de Dados'!D128</f>
        <v>Corcel da Tormenta</v>
      </c>
      <c r="E763" s="8" t="str">
        <f>'Sistema de Raridade e Evolução'!B7</f>
        <v>Lendário</v>
      </c>
      <c r="F763" s="9">
        <f>ROUND(('Criaturas - Base de Dados'!H128*'Sistema de Raridade e Evolução'!E7)*1000,2)</f>
        <v>3000000</v>
      </c>
      <c r="G763" s="8">
        <f>ROUND('Criaturas - Base de Dados'!I128*'Sistema de Raridade e Evolução'!E7,0)</f>
        <v>1800</v>
      </c>
      <c r="H763" s="8">
        <f>ROUND('Criaturas - Base de Dados'!J128*'Sistema de Raridade e Evolução'!E7,0)</f>
        <v>1500</v>
      </c>
      <c r="I763" s="8">
        <f>ROUND('Criaturas - Base de Dados'!K128*'Sistema de Raridade e Evolução'!E7,0)</f>
        <v>9600</v>
      </c>
      <c r="J763" s="8">
        <f>'Sistema de Raridade e Evolução'!D7</f>
        <v>91</v>
      </c>
      <c r="K763" s="8" t="s">
        <v>925</v>
      </c>
      <c r="L763" s="9">
        <f t="shared" si="11"/>
        <v>7142857.1399999997</v>
      </c>
    </row>
    <row r="764" spans="1:12" ht="14.25" customHeight="1" x14ac:dyDescent="0.3">
      <c r="A764" s="8">
        <v>763</v>
      </c>
      <c r="B764" s="8" t="str">
        <f>'Criaturas - Base de Dados'!B129</f>
        <v>Tempestade Rúnica</v>
      </c>
      <c r="C764" s="8" t="str">
        <f>'Criaturas - Base de Dados'!C129</f>
        <v>Trovão</v>
      </c>
      <c r="D764" s="8" t="str">
        <f>'Criaturas - Base de Dados'!D129</f>
        <v>Kaminari-neko</v>
      </c>
      <c r="E764" s="8" t="str">
        <f>'Sistema de Raridade e Evolução'!B2</f>
        <v>Default</v>
      </c>
      <c r="F764" s="9" t="e">
        <f>ROUND(('Criaturas - Base de Dados'!H129*'Sistema de Raridade e Evolução'!E2)*1000,2)</f>
        <v>#VALUE!</v>
      </c>
      <c r="G764" s="8" t="e">
        <f>ROUND('Criaturas - Base de Dados'!I129*'Sistema de Raridade e Evolução'!E2,0)</f>
        <v>#VALUE!</v>
      </c>
      <c r="H764" s="8" t="e">
        <f>ROUND('Criaturas - Base de Dados'!J129*'Sistema de Raridade e Evolução'!E2,0)</f>
        <v>#VALUE!</v>
      </c>
      <c r="I764" s="8" t="e">
        <f>ROUND('Criaturas - Base de Dados'!K129*'Sistema de Raridade e Evolução'!E2,0)</f>
        <v>#VALUE!</v>
      </c>
      <c r="J764" s="8">
        <f>'Sistema de Raridade e Evolução'!D2</f>
        <v>1</v>
      </c>
      <c r="K764" s="8" t="s">
        <v>8</v>
      </c>
      <c r="L764" s="9" t="e">
        <f t="shared" si="11"/>
        <v>#VALUE!</v>
      </c>
    </row>
    <row r="765" spans="1:12" ht="14.25" hidden="1" customHeight="1" x14ac:dyDescent="0.3">
      <c r="A765" s="8">
        <v>764</v>
      </c>
      <c r="B765" s="8" t="str">
        <f>'Criaturas - Base de Dados'!B129</f>
        <v>Tempestade Rúnica</v>
      </c>
      <c r="C765" s="8" t="str">
        <f>'Criaturas - Base de Dados'!C129</f>
        <v>Trovão</v>
      </c>
      <c r="D765" s="8" t="str">
        <f>'Criaturas - Base de Dados'!D129</f>
        <v>Kaminari-neko</v>
      </c>
      <c r="E765" s="8" t="str">
        <f>'Sistema de Raridade e Evolução'!B3</f>
        <v>Bronze</v>
      </c>
      <c r="F765" s="9">
        <f>ROUND(('Criaturas - Base de Dados'!H129*'Sistema de Raridade e Evolução'!E3)*1000,2)</f>
        <v>22000</v>
      </c>
      <c r="G765" s="8">
        <f>ROUND('Criaturas - Base de Dados'!I129*'Sistema de Raridade e Evolução'!E3,0)</f>
        <v>13</v>
      </c>
      <c r="H765" s="8">
        <f>ROUND('Criaturas - Base de Dados'!J129*'Sistema de Raridade e Evolução'!E3,0)</f>
        <v>11</v>
      </c>
      <c r="I765" s="8">
        <f>ROUND('Criaturas - Base de Dados'!K129*'Sistema de Raridade e Evolução'!E3,0)</f>
        <v>70</v>
      </c>
      <c r="J765" s="8">
        <f>'Sistema de Raridade e Evolução'!D3</f>
        <v>6</v>
      </c>
      <c r="K765" s="8" t="s">
        <v>9</v>
      </c>
      <c r="L765" s="9">
        <f t="shared" si="11"/>
        <v>52380.95</v>
      </c>
    </row>
    <row r="766" spans="1:12" ht="14.25" hidden="1" customHeight="1" x14ac:dyDescent="0.3">
      <c r="A766" s="8">
        <v>765</v>
      </c>
      <c r="B766" s="8" t="str">
        <f>'Criaturas - Base de Dados'!B129</f>
        <v>Tempestade Rúnica</v>
      </c>
      <c r="C766" s="8" t="str">
        <f>'Criaturas - Base de Dados'!C129</f>
        <v>Trovão</v>
      </c>
      <c r="D766" s="8" t="str">
        <f>'Criaturas - Base de Dados'!D129</f>
        <v>Kaminari-neko</v>
      </c>
      <c r="E766" s="8" t="str">
        <f>'Sistema de Raridade e Evolução'!B4</f>
        <v>Prata</v>
      </c>
      <c r="F766" s="9">
        <f>ROUND(('Criaturas - Base de Dados'!H129*'Sistema de Raridade e Evolução'!E4)*1000,2)</f>
        <v>132000</v>
      </c>
      <c r="G766" s="8">
        <f>ROUND('Criaturas - Base de Dados'!I129*'Sistema de Raridade e Evolução'!E4,0)</f>
        <v>78</v>
      </c>
      <c r="H766" s="8">
        <f>ROUND('Criaturas - Base de Dados'!J129*'Sistema de Raridade e Evolução'!E4,0)</f>
        <v>66</v>
      </c>
      <c r="I766" s="8">
        <f>ROUND('Criaturas - Base de Dados'!K129*'Sistema de Raridade e Evolução'!E4,0)</f>
        <v>420</v>
      </c>
      <c r="J766" s="8">
        <f>'Sistema de Raridade e Evolução'!D4</f>
        <v>16</v>
      </c>
      <c r="K766" s="8" t="s">
        <v>10</v>
      </c>
      <c r="L766" s="9">
        <f t="shared" si="11"/>
        <v>314285.71000000002</v>
      </c>
    </row>
    <row r="767" spans="1:12" ht="14.25" hidden="1" customHeight="1" x14ac:dyDescent="0.3">
      <c r="A767" s="8">
        <v>766</v>
      </c>
      <c r="B767" s="8" t="str">
        <f>'Criaturas - Base de Dados'!B129</f>
        <v>Tempestade Rúnica</v>
      </c>
      <c r="C767" s="8" t="str">
        <f>'Criaturas - Base de Dados'!C129</f>
        <v>Trovão</v>
      </c>
      <c r="D767" s="8" t="str">
        <f>'Criaturas - Base de Dados'!D129</f>
        <v>Kaminari-neko</v>
      </c>
      <c r="E767" s="8" t="str">
        <f>'Sistema de Raridade e Evolução'!B5</f>
        <v>Ouro</v>
      </c>
      <c r="F767" s="9">
        <f>ROUND(('Criaturas - Base de Dados'!H129*'Sistema de Raridade e Evolução'!E5)*1000,2)</f>
        <v>396000</v>
      </c>
      <c r="G767" s="8">
        <f>ROUND('Criaturas - Base de Dados'!I129*'Sistema de Raridade e Evolução'!E5,0)</f>
        <v>234</v>
      </c>
      <c r="H767" s="8">
        <f>ROUND('Criaturas - Base de Dados'!J129*'Sistema de Raridade e Evolução'!E5,0)</f>
        <v>198</v>
      </c>
      <c r="I767" s="8">
        <f>ROUND('Criaturas - Base de Dados'!K129*'Sistema de Raridade e Evolução'!E5,0)</f>
        <v>1260</v>
      </c>
      <c r="J767" s="8">
        <f>'Sistema de Raridade e Evolução'!D5</f>
        <v>31</v>
      </c>
      <c r="K767" s="8" t="s">
        <v>11</v>
      </c>
      <c r="L767" s="9">
        <f t="shared" si="11"/>
        <v>942857.14</v>
      </c>
    </row>
    <row r="768" spans="1:12" ht="14.25" hidden="1" customHeight="1" x14ac:dyDescent="0.3">
      <c r="A768" s="8">
        <v>767</v>
      </c>
      <c r="B768" s="8" t="str">
        <f>'Criaturas - Base de Dados'!B129</f>
        <v>Tempestade Rúnica</v>
      </c>
      <c r="C768" s="8" t="str">
        <f>'Criaturas - Base de Dados'!C129</f>
        <v>Trovão</v>
      </c>
      <c r="D768" s="8" t="str">
        <f>'Criaturas - Base de Dados'!D129</f>
        <v>Kaminari-neko</v>
      </c>
      <c r="E768" s="8" t="str">
        <f>'Sistema de Raridade e Evolução'!B6</f>
        <v>Platina</v>
      </c>
      <c r="F768" s="9">
        <f>ROUND(('Criaturas - Base de Dados'!H129*'Sistema de Raridade e Evolução'!E6)*1000,2)</f>
        <v>1100000</v>
      </c>
      <c r="G768" s="8">
        <f>ROUND('Criaturas - Base de Dados'!I129*'Sistema de Raridade e Evolução'!E6,0)</f>
        <v>650</v>
      </c>
      <c r="H768" s="8">
        <f>ROUND('Criaturas - Base de Dados'!J129*'Sistema de Raridade e Evolução'!E6,0)</f>
        <v>550</v>
      </c>
      <c r="I768" s="8">
        <f>ROUND('Criaturas - Base de Dados'!K129*'Sistema de Raridade e Evolução'!E6,0)</f>
        <v>3500</v>
      </c>
      <c r="J768" s="8">
        <f>'Sistema de Raridade e Evolução'!D6</f>
        <v>56</v>
      </c>
      <c r="K768" s="8" t="s">
        <v>12</v>
      </c>
      <c r="L768" s="9">
        <f t="shared" si="11"/>
        <v>2619047.62</v>
      </c>
    </row>
    <row r="769" spans="1:12" ht="14.25" hidden="1" customHeight="1" x14ac:dyDescent="0.3">
      <c r="A769" s="8">
        <v>768</v>
      </c>
      <c r="B769" s="8" t="str">
        <f>'Criaturas - Base de Dados'!B129</f>
        <v>Tempestade Rúnica</v>
      </c>
      <c r="C769" s="8" t="str">
        <f>'Criaturas - Base de Dados'!C129</f>
        <v>Trovão</v>
      </c>
      <c r="D769" s="8" t="str">
        <f>'Criaturas - Base de Dados'!D129</f>
        <v>Kaminari-neko</v>
      </c>
      <c r="E769" s="8" t="str">
        <f>'Sistema de Raridade e Evolução'!B7</f>
        <v>Lendário</v>
      </c>
      <c r="F769" s="9">
        <f>ROUND(('Criaturas - Base de Dados'!H129*'Sistema de Raridade e Evolução'!E7)*1000,2)</f>
        <v>3300000</v>
      </c>
      <c r="G769" s="8">
        <f>ROUND('Criaturas - Base de Dados'!I129*'Sistema de Raridade e Evolução'!E7,0)</f>
        <v>1950</v>
      </c>
      <c r="H769" s="8">
        <f>ROUND('Criaturas - Base de Dados'!J129*'Sistema de Raridade e Evolução'!E7,0)</f>
        <v>1650</v>
      </c>
      <c r="I769" s="8">
        <f>ROUND('Criaturas - Base de Dados'!K129*'Sistema de Raridade e Evolução'!E7,0)</f>
        <v>10500</v>
      </c>
      <c r="J769" s="8">
        <f>'Sistema de Raridade e Evolução'!D7</f>
        <v>91</v>
      </c>
      <c r="K769" s="8" t="s">
        <v>925</v>
      </c>
      <c r="L769" s="9">
        <f t="shared" si="11"/>
        <v>7857142.8600000003</v>
      </c>
    </row>
    <row r="770" spans="1:12" ht="14.25" customHeight="1" x14ac:dyDescent="0.3">
      <c r="A770" s="8">
        <v>769</v>
      </c>
      <c r="B770" s="8" t="str">
        <f>'Criaturas - Base de Dados'!B130</f>
        <v>Tempestade Rúnica</v>
      </c>
      <c r="C770" s="8" t="str">
        <f>'Criaturas - Base de Dados'!C130</f>
        <v>Trovão</v>
      </c>
      <c r="D770" s="8" t="str">
        <f>'Criaturas - Base de Dados'!D130</f>
        <v>Ave-Furacão</v>
      </c>
      <c r="E770" s="8" t="str">
        <f>'Sistema de Raridade e Evolução'!B2</f>
        <v>Default</v>
      </c>
      <c r="F770" s="9" t="e">
        <f>ROUND(('Criaturas - Base de Dados'!H130*'Sistema de Raridade e Evolução'!E2)*1000,2)</f>
        <v>#VALUE!</v>
      </c>
      <c r="G770" s="8" t="e">
        <f>ROUND('Criaturas - Base de Dados'!I130*'Sistema de Raridade e Evolução'!E2,0)</f>
        <v>#VALUE!</v>
      </c>
      <c r="H770" s="8" t="e">
        <f>ROUND('Criaturas - Base de Dados'!J130*'Sistema de Raridade e Evolução'!E2,0)</f>
        <v>#VALUE!</v>
      </c>
      <c r="I770" s="8" t="e">
        <f>ROUND('Criaturas - Base de Dados'!K130*'Sistema de Raridade e Evolução'!E2,0)</f>
        <v>#VALUE!</v>
      </c>
      <c r="J770" s="8">
        <f>'Sistema de Raridade e Evolução'!D2</f>
        <v>1</v>
      </c>
      <c r="K770" s="8" t="s">
        <v>8</v>
      </c>
      <c r="L770" s="9" t="e">
        <f t="shared" ref="L770:L833" si="12">ROUND(F770*(2.5/1.05),2)</f>
        <v>#VALUE!</v>
      </c>
    </row>
    <row r="771" spans="1:12" ht="14.25" hidden="1" customHeight="1" x14ac:dyDescent="0.3">
      <c r="A771" s="8">
        <v>770</v>
      </c>
      <c r="B771" s="8" t="str">
        <f>'Criaturas - Base de Dados'!B130</f>
        <v>Tempestade Rúnica</v>
      </c>
      <c r="C771" s="8" t="str">
        <f>'Criaturas - Base de Dados'!C130</f>
        <v>Trovão</v>
      </c>
      <c r="D771" s="8" t="str">
        <f>'Criaturas - Base de Dados'!D130</f>
        <v>Ave-Furacão</v>
      </c>
      <c r="E771" s="8" t="str">
        <f>'Sistema de Raridade e Evolução'!B3</f>
        <v>Bronze</v>
      </c>
      <c r="F771" s="9">
        <f>ROUND(('Criaturas - Base de Dados'!H130*'Sistema de Raridade e Evolução'!E3)*1000,2)</f>
        <v>24000</v>
      </c>
      <c r="G771" s="8">
        <f>ROUND('Criaturas - Base de Dados'!I130*'Sistema de Raridade e Evolução'!E3,0)</f>
        <v>14</v>
      </c>
      <c r="H771" s="8">
        <f>ROUND('Criaturas - Base de Dados'!J130*'Sistema de Raridade e Evolução'!E3,0)</f>
        <v>12</v>
      </c>
      <c r="I771" s="8">
        <f>ROUND('Criaturas - Base de Dados'!K130*'Sistema de Raridade e Evolução'!E3,0)</f>
        <v>77</v>
      </c>
      <c r="J771" s="8">
        <f>'Sistema de Raridade e Evolução'!D3</f>
        <v>6</v>
      </c>
      <c r="K771" s="8" t="s">
        <v>9</v>
      </c>
      <c r="L771" s="9">
        <f t="shared" si="12"/>
        <v>57142.86</v>
      </c>
    </row>
    <row r="772" spans="1:12" ht="14.25" hidden="1" customHeight="1" x14ac:dyDescent="0.3">
      <c r="A772" s="8">
        <v>771</v>
      </c>
      <c r="B772" s="8" t="str">
        <f>'Criaturas - Base de Dados'!B130</f>
        <v>Tempestade Rúnica</v>
      </c>
      <c r="C772" s="8" t="str">
        <f>'Criaturas - Base de Dados'!C130</f>
        <v>Trovão</v>
      </c>
      <c r="D772" s="8" t="str">
        <f>'Criaturas - Base de Dados'!D130</f>
        <v>Ave-Furacão</v>
      </c>
      <c r="E772" s="8" t="str">
        <f>'Sistema de Raridade e Evolução'!B4</f>
        <v>Prata</v>
      </c>
      <c r="F772" s="9">
        <f>ROUND(('Criaturas - Base de Dados'!H130*'Sistema de Raridade e Evolução'!E4)*1000,2)</f>
        <v>144000</v>
      </c>
      <c r="G772" s="8">
        <f>ROUND('Criaturas - Base de Dados'!I130*'Sistema de Raridade e Evolução'!E4,0)</f>
        <v>84</v>
      </c>
      <c r="H772" s="8">
        <f>ROUND('Criaturas - Base de Dados'!J130*'Sistema de Raridade e Evolução'!E4,0)</f>
        <v>72</v>
      </c>
      <c r="I772" s="8">
        <f>ROUND('Criaturas - Base de Dados'!K130*'Sistema de Raridade e Evolução'!E4,0)</f>
        <v>462</v>
      </c>
      <c r="J772" s="8">
        <f>'Sistema de Raridade e Evolução'!D4</f>
        <v>16</v>
      </c>
      <c r="K772" s="8" t="s">
        <v>10</v>
      </c>
      <c r="L772" s="9">
        <f t="shared" si="12"/>
        <v>342857.14</v>
      </c>
    </row>
    <row r="773" spans="1:12" ht="14.25" hidden="1" customHeight="1" x14ac:dyDescent="0.3">
      <c r="A773" s="8">
        <v>772</v>
      </c>
      <c r="B773" s="8" t="str">
        <f>'Criaturas - Base de Dados'!B130</f>
        <v>Tempestade Rúnica</v>
      </c>
      <c r="C773" s="8" t="str">
        <f>'Criaturas - Base de Dados'!C130</f>
        <v>Trovão</v>
      </c>
      <c r="D773" s="8" t="str">
        <f>'Criaturas - Base de Dados'!D130</f>
        <v>Ave-Furacão</v>
      </c>
      <c r="E773" s="8" t="str">
        <f>'Sistema de Raridade e Evolução'!B5</f>
        <v>Ouro</v>
      </c>
      <c r="F773" s="9">
        <f>ROUND(('Criaturas - Base de Dados'!H130*'Sistema de Raridade e Evolução'!E5)*1000,2)</f>
        <v>432000</v>
      </c>
      <c r="G773" s="8">
        <f>ROUND('Criaturas - Base de Dados'!I130*'Sistema de Raridade e Evolução'!E5,0)</f>
        <v>252</v>
      </c>
      <c r="H773" s="8">
        <f>ROUND('Criaturas - Base de Dados'!J130*'Sistema de Raridade e Evolução'!E5,0)</f>
        <v>216</v>
      </c>
      <c r="I773" s="8">
        <f>ROUND('Criaturas - Base de Dados'!K130*'Sistema de Raridade e Evolução'!E5,0)</f>
        <v>1386</v>
      </c>
      <c r="J773" s="8">
        <f>'Sistema de Raridade e Evolução'!D5</f>
        <v>31</v>
      </c>
      <c r="K773" s="8" t="s">
        <v>11</v>
      </c>
      <c r="L773" s="9">
        <f t="shared" si="12"/>
        <v>1028571.43</v>
      </c>
    </row>
    <row r="774" spans="1:12" ht="14.25" hidden="1" customHeight="1" x14ac:dyDescent="0.3">
      <c r="A774" s="8">
        <v>773</v>
      </c>
      <c r="B774" s="8" t="str">
        <f>'Criaturas - Base de Dados'!B130</f>
        <v>Tempestade Rúnica</v>
      </c>
      <c r="C774" s="8" t="str">
        <f>'Criaturas - Base de Dados'!C130</f>
        <v>Trovão</v>
      </c>
      <c r="D774" s="8" t="str">
        <f>'Criaturas - Base de Dados'!D130</f>
        <v>Ave-Furacão</v>
      </c>
      <c r="E774" s="8" t="str">
        <f>'Sistema de Raridade e Evolução'!B6</f>
        <v>Platina</v>
      </c>
      <c r="F774" s="9">
        <f>ROUND(('Criaturas - Base de Dados'!H130*'Sistema de Raridade e Evolução'!E6)*1000,2)</f>
        <v>1200000</v>
      </c>
      <c r="G774" s="8">
        <f>ROUND('Criaturas - Base de Dados'!I130*'Sistema de Raridade e Evolução'!E6,0)</f>
        <v>700</v>
      </c>
      <c r="H774" s="8">
        <f>ROUND('Criaturas - Base de Dados'!J130*'Sistema de Raridade e Evolução'!E6,0)</f>
        <v>600</v>
      </c>
      <c r="I774" s="8">
        <f>ROUND('Criaturas - Base de Dados'!K130*'Sistema de Raridade e Evolução'!E6,0)</f>
        <v>3850</v>
      </c>
      <c r="J774" s="8">
        <f>'Sistema de Raridade e Evolução'!D6</f>
        <v>56</v>
      </c>
      <c r="K774" s="8" t="s">
        <v>12</v>
      </c>
      <c r="L774" s="9">
        <f t="shared" si="12"/>
        <v>2857142.86</v>
      </c>
    </row>
    <row r="775" spans="1:12" ht="14.25" hidden="1" customHeight="1" x14ac:dyDescent="0.3">
      <c r="A775" s="8">
        <v>774</v>
      </c>
      <c r="B775" s="8" t="str">
        <f>'Criaturas - Base de Dados'!B130</f>
        <v>Tempestade Rúnica</v>
      </c>
      <c r="C775" s="8" t="str">
        <f>'Criaturas - Base de Dados'!C130</f>
        <v>Trovão</v>
      </c>
      <c r="D775" s="8" t="str">
        <f>'Criaturas - Base de Dados'!D130</f>
        <v>Ave-Furacão</v>
      </c>
      <c r="E775" s="8" t="str">
        <f>'Sistema de Raridade e Evolução'!B7</f>
        <v>Lendário</v>
      </c>
      <c r="F775" s="9">
        <f>ROUND(('Criaturas - Base de Dados'!H130*'Sistema de Raridade e Evolução'!E7)*1000,2)</f>
        <v>3600000</v>
      </c>
      <c r="G775" s="8">
        <f>ROUND('Criaturas - Base de Dados'!I130*'Sistema de Raridade e Evolução'!E7,0)</f>
        <v>2100</v>
      </c>
      <c r="H775" s="8">
        <f>ROUND('Criaturas - Base de Dados'!J130*'Sistema de Raridade e Evolução'!E7,0)</f>
        <v>1800</v>
      </c>
      <c r="I775" s="8">
        <f>ROUND('Criaturas - Base de Dados'!K130*'Sistema de Raridade e Evolução'!E7,0)</f>
        <v>11550</v>
      </c>
      <c r="J775" s="8">
        <f>'Sistema de Raridade e Evolução'!D7</f>
        <v>91</v>
      </c>
      <c r="K775" s="8" t="s">
        <v>925</v>
      </c>
      <c r="L775" s="9">
        <f t="shared" si="12"/>
        <v>8571428.5700000003</v>
      </c>
    </row>
    <row r="776" spans="1:12" ht="14.25" customHeight="1" x14ac:dyDescent="0.3">
      <c r="A776" s="8">
        <v>775</v>
      </c>
      <c r="B776" s="8" t="str">
        <f>'Criaturas - Base de Dados'!B131</f>
        <v>Tempestade Rúnica</v>
      </c>
      <c r="C776" s="8" t="str">
        <f>'Criaturas - Base de Dados'!C131</f>
        <v>Trovão</v>
      </c>
      <c r="D776" s="8" t="str">
        <f>'Criaturas - Base de Dados'!D131</f>
        <v>Grifo da Tempestade</v>
      </c>
      <c r="E776" s="8" t="str">
        <f>'Sistema de Raridade e Evolução'!B2</f>
        <v>Default</v>
      </c>
      <c r="F776" s="9" t="e">
        <f>ROUND(('Criaturas - Base de Dados'!H131*'Sistema de Raridade e Evolução'!E2)*1000,2)</f>
        <v>#VALUE!</v>
      </c>
      <c r="G776" s="8" t="e">
        <f>ROUND('Criaturas - Base de Dados'!I131*'Sistema de Raridade e Evolução'!E2,0)</f>
        <v>#VALUE!</v>
      </c>
      <c r="H776" s="8" t="e">
        <f>ROUND('Criaturas - Base de Dados'!J131*'Sistema de Raridade e Evolução'!E2,0)</f>
        <v>#VALUE!</v>
      </c>
      <c r="I776" s="8" t="e">
        <f>ROUND('Criaturas - Base de Dados'!K131*'Sistema de Raridade e Evolução'!E2,0)</f>
        <v>#VALUE!</v>
      </c>
      <c r="J776" s="8">
        <f>'Sistema de Raridade e Evolução'!D2</f>
        <v>1</v>
      </c>
      <c r="K776" s="8" t="s">
        <v>8</v>
      </c>
      <c r="L776" s="9" t="e">
        <f t="shared" si="12"/>
        <v>#VALUE!</v>
      </c>
    </row>
    <row r="777" spans="1:12" ht="14.25" hidden="1" customHeight="1" x14ac:dyDescent="0.3">
      <c r="A777" s="8">
        <v>776</v>
      </c>
      <c r="B777" s="8" t="str">
        <f>'Criaturas - Base de Dados'!B131</f>
        <v>Tempestade Rúnica</v>
      </c>
      <c r="C777" s="8" t="str">
        <f>'Criaturas - Base de Dados'!C131</f>
        <v>Trovão</v>
      </c>
      <c r="D777" s="8" t="str">
        <f>'Criaturas - Base de Dados'!D131</f>
        <v>Grifo da Tempestade</v>
      </c>
      <c r="E777" s="8" t="str">
        <f>'Sistema de Raridade e Evolução'!B3</f>
        <v>Bronze</v>
      </c>
      <c r="F777" s="9">
        <f>ROUND(('Criaturas - Base de Dados'!H131*'Sistema de Raridade e Evolução'!E3)*1000,2)</f>
        <v>26000</v>
      </c>
      <c r="G777" s="8">
        <f>ROUND('Criaturas - Base de Dados'!I131*'Sistema de Raridade e Evolução'!E3,0)</f>
        <v>16</v>
      </c>
      <c r="H777" s="8">
        <f>ROUND('Criaturas - Base de Dados'!J131*'Sistema de Raridade e Evolução'!E3,0)</f>
        <v>13</v>
      </c>
      <c r="I777" s="8">
        <f>ROUND('Criaturas - Base de Dados'!K131*'Sistema de Raridade e Evolução'!E3,0)</f>
        <v>83</v>
      </c>
      <c r="J777" s="8">
        <f>'Sistema de Raridade e Evolução'!D3</f>
        <v>6</v>
      </c>
      <c r="K777" s="8" t="s">
        <v>9</v>
      </c>
      <c r="L777" s="9">
        <f t="shared" si="12"/>
        <v>61904.76</v>
      </c>
    </row>
    <row r="778" spans="1:12" ht="14.25" hidden="1" customHeight="1" x14ac:dyDescent="0.3">
      <c r="A778" s="8">
        <v>777</v>
      </c>
      <c r="B778" s="8" t="str">
        <f>'Criaturas - Base de Dados'!B131</f>
        <v>Tempestade Rúnica</v>
      </c>
      <c r="C778" s="8" t="str">
        <f>'Criaturas - Base de Dados'!C131</f>
        <v>Trovão</v>
      </c>
      <c r="D778" s="8" t="str">
        <f>'Criaturas - Base de Dados'!D131</f>
        <v>Grifo da Tempestade</v>
      </c>
      <c r="E778" s="8" t="str">
        <f>'Sistema de Raridade e Evolução'!B4</f>
        <v>Prata</v>
      </c>
      <c r="F778" s="9">
        <f>ROUND(('Criaturas - Base de Dados'!H131*'Sistema de Raridade e Evolução'!E4)*1000,2)</f>
        <v>156000</v>
      </c>
      <c r="G778" s="8">
        <f>ROUND('Criaturas - Base de Dados'!I131*'Sistema de Raridade e Evolução'!E4,0)</f>
        <v>96</v>
      </c>
      <c r="H778" s="8">
        <f>ROUND('Criaturas - Base de Dados'!J131*'Sistema de Raridade e Evolução'!E4,0)</f>
        <v>78</v>
      </c>
      <c r="I778" s="8">
        <f>ROUND('Criaturas - Base de Dados'!K131*'Sistema de Raridade e Evolução'!E4,0)</f>
        <v>498</v>
      </c>
      <c r="J778" s="8">
        <f>'Sistema de Raridade e Evolução'!D4</f>
        <v>16</v>
      </c>
      <c r="K778" s="8" t="s">
        <v>10</v>
      </c>
      <c r="L778" s="9">
        <f t="shared" si="12"/>
        <v>371428.57</v>
      </c>
    </row>
    <row r="779" spans="1:12" ht="14.25" hidden="1" customHeight="1" x14ac:dyDescent="0.3">
      <c r="A779" s="8">
        <v>778</v>
      </c>
      <c r="B779" s="8" t="str">
        <f>'Criaturas - Base de Dados'!B131</f>
        <v>Tempestade Rúnica</v>
      </c>
      <c r="C779" s="8" t="str">
        <f>'Criaturas - Base de Dados'!C131</f>
        <v>Trovão</v>
      </c>
      <c r="D779" s="8" t="str">
        <f>'Criaturas - Base de Dados'!D131</f>
        <v>Grifo da Tempestade</v>
      </c>
      <c r="E779" s="8" t="str">
        <f>'Sistema de Raridade e Evolução'!B5</f>
        <v>Ouro</v>
      </c>
      <c r="F779" s="9">
        <f>ROUND(('Criaturas - Base de Dados'!H131*'Sistema de Raridade e Evolução'!E5)*1000,2)</f>
        <v>468000</v>
      </c>
      <c r="G779" s="8">
        <f>ROUND('Criaturas - Base de Dados'!I131*'Sistema de Raridade e Evolução'!E5,0)</f>
        <v>288</v>
      </c>
      <c r="H779" s="8">
        <f>ROUND('Criaturas - Base de Dados'!J131*'Sistema de Raridade e Evolução'!E5,0)</f>
        <v>234</v>
      </c>
      <c r="I779" s="8">
        <f>ROUND('Criaturas - Base de Dados'!K131*'Sistema de Raridade e Evolução'!E5,0)</f>
        <v>1494</v>
      </c>
      <c r="J779" s="8">
        <f>'Sistema de Raridade e Evolução'!D5</f>
        <v>31</v>
      </c>
      <c r="K779" s="8" t="s">
        <v>11</v>
      </c>
      <c r="L779" s="9">
        <f t="shared" si="12"/>
        <v>1114285.71</v>
      </c>
    </row>
    <row r="780" spans="1:12" ht="14.25" hidden="1" customHeight="1" x14ac:dyDescent="0.3">
      <c r="A780" s="8">
        <v>779</v>
      </c>
      <c r="B780" s="8" t="str">
        <f>'Criaturas - Base de Dados'!B131</f>
        <v>Tempestade Rúnica</v>
      </c>
      <c r="C780" s="8" t="str">
        <f>'Criaturas - Base de Dados'!C131</f>
        <v>Trovão</v>
      </c>
      <c r="D780" s="8" t="str">
        <f>'Criaturas - Base de Dados'!D131</f>
        <v>Grifo da Tempestade</v>
      </c>
      <c r="E780" s="8" t="str">
        <f>'Sistema de Raridade e Evolução'!B6</f>
        <v>Platina</v>
      </c>
      <c r="F780" s="9">
        <f>ROUND(('Criaturas - Base de Dados'!H131*'Sistema de Raridade e Evolução'!E6)*1000,2)</f>
        <v>1300000</v>
      </c>
      <c r="G780" s="8">
        <f>ROUND('Criaturas - Base de Dados'!I131*'Sistema de Raridade e Evolução'!E6,0)</f>
        <v>800</v>
      </c>
      <c r="H780" s="8">
        <f>ROUND('Criaturas - Base de Dados'!J131*'Sistema de Raridade e Evolução'!E6,0)</f>
        <v>650</v>
      </c>
      <c r="I780" s="8">
        <f>ROUND('Criaturas - Base de Dados'!K131*'Sistema de Raridade e Evolução'!E6,0)</f>
        <v>4150</v>
      </c>
      <c r="J780" s="8">
        <f>'Sistema de Raridade e Evolução'!D6</f>
        <v>56</v>
      </c>
      <c r="K780" s="8" t="s">
        <v>12</v>
      </c>
      <c r="L780" s="9">
        <f t="shared" si="12"/>
        <v>3095238.1</v>
      </c>
    </row>
    <row r="781" spans="1:12" ht="14.25" hidden="1" customHeight="1" x14ac:dyDescent="0.3">
      <c r="A781" s="8">
        <v>780</v>
      </c>
      <c r="B781" s="8" t="str">
        <f>'Criaturas - Base de Dados'!B131</f>
        <v>Tempestade Rúnica</v>
      </c>
      <c r="C781" s="8" t="str">
        <f>'Criaturas - Base de Dados'!C131</f>
        <v>Trovão</v>
      </c>
      <c r="D781" s="8" t="str">
        <f>'Criaturas - Base de Dados'!D131</f>
        <v>Grifo da Tempestade</v>
      </c>
      <c r="E781" s="8" t="str">
        <f>'Sistema de Raridade e Evolução'!B7</f>
        <v>Lendário</v>
      </c>
      <c r="F781" s="9">
        <f>ROUND(('Criaturas - Base de Dados'!H131*'Sistema de Raridade e Evolução'!E7)*1000,2)</f>
        <v>3900000</v>
      </c>
      <c r="G781" s="8">
        <f>ROUND('Criaturas - Base de Dados'!I131*'Sistema de Raridade e Evolução'!E7,0)</f>
        <v>2400</v>
      </c>
      <c r="H781" s="8">
        <f>ROUND('Criaturas - Base de Dados'!J131*'Sistema de Raridade e Evolução'!E7,0)</f>
        <v>1950</v>
      </c>
      <c r="I781" s="8">
        <f>ROUND('Criaturas - Base de Dados'!K131*'Sistema de Raridade e Evolução'!E7,0)</f>
        <v>12450</v>
      </c>
      <c r="J781" s="8">
        <f>'Sistema de Raridade e Evolução'!D7</f>
        <v>91</v>
      </c>
      <c r="K781" s="8" t="s">
        <v>925</v>
      </c>
      <c r="L781" s="9">
        <f t="shared" si="12"/>
        <v>9285714.2899999991</v>
      </c>
    </row>
    <row r="782" spans="1:12" ht="14.25" customHeight="1" x14ac:dyDescent="0.3">
      <c r="A782" s="8">
        <v>781</v>
      </c>
      <c r="B782" s="8" t="str">
        <f>'Criaturas - Base de Dados'!B132</f>
        <v>Tempestade Rúnica</v>
      </c>
      <c r="C782" s="8" t="str">
        <f>'Criaturas - Base de Dados'!C132</f>
        <v>Trovão</v>
      </c>
      <c r="D782" s="8" t="str">
        <f>'Criaturas - Base de Dados'!D132</f>
        <v>Dragão do Vento Chinês</v>
      </c>
      <c r="E782" s="8" t="str">
        <f>'Sistema de Raridade e Evolução'!B2</f>
        <v>Default</v>
      </c>
      <c r="F782" s="9" t="e">
        <f>ROUND(('Criaturas - Base de Dados'!H132*'Sistema de Raridade e Evolução'!E2)*1000,2)</f>
        <v>#VALUE!</v>
      </c>
      <c r="G782" s="8" t="e">
        <f>ROUND('Criaturas - Base de Dados'!I132*'Sistema de Raridade e Evolução'!E2,0)</f>
        <v>#VALUE!</v>
      </c>
      <c r="H782" s="8" t="e">
        <f>ROUND('Criaturas - Base de Dados'!J132*'Sistema de Raridade e Evolução'!E2,0)</f>
        <v>#VALUE!</v>
      </c>
      <c r="I782" s="8" t="e">
        <f>ROUND('Criaturas - Base de Dados'!K132*'Sistema de Raridade e Evolução'!E2,0)</f>
        <v>#VALUE!</v>
      </c>
      <c r="J782" s="8">
        <f>'Sistema de Raridade e Evolução'!D2</f>
        <v>1</v>
      </c>
      <c r="K782" s="8" t="s">
        <v>8</v>
      </c>
      <c r="L782" s="9" t="e">
        <f t="shared" si="12"/>
        <v>#VALUE!</v>
      </c>
    </row>
    <row r="783" spans="1:12" ht="14.25" hidden="1" customHeight="1" x14ac:dyDescent="0.3">
      <c r="A783" s="8">
        <v>782</v>
      </c>
      <c r="B783" s="8" t="str">
        <f>'Criaturas - Base de Dados'!B132</f>
        <v>Tempestade Rúnica</v>
      </c>
      <c r="C783" s="8" t="str">
        <f>'Criaturas - Base de Dados'!C132</f>
        <v>Trovão</v>
      </c>
      <c r="D783" s="8" t="str">
        <f>'Criaturas - Base de Dados'!D132</f>
        <v>Dragão do Vento Chinês</v>
      </c>
      <c r="E783" s="8" t="str">
        <f>'Sistema de Raridade e Evolução'!B3</f>
        <v>Bronze</v>
      </c>
      <c r="F783" s="9">
        <f>ROUND(('Criaturas - Base de Dados'!H132*'Sistema de Raridade e Evolução'!E3)*1000,2)</f>
        <v>28000</v>
      </c>
      <c r="G783" s="8">
        <f>ROUND('Criaturas - Base de Dados'!I132*'Sistema de Raridade e Evolução'!E3,0)</f>
        <v>17</v>
      </c>
      <c r="H783" s="8">
        <f>ROUND('Criaturas - Base de Dados'!J132*'Sistema de Raridade e Evolução'!E3,0)</f>
        <v>14</v>
      </c>
      <c r="I783" s="8">
        <f>ROUND('Criaturas - Base de Dados'!K132*'Sistema de Raridade e Evolução'!E3,0)</f>
        <v>90</v>
      </c>
      <c r="J783" s="8">
        <f>'Sistema de Raridade e Evolução'!D3</f>
        <v>6</v>
      </c>
      <c r="K783" s="8" t="s">
        <v>9</v>
      </c>
      <c r="L783" s="9">
        <f t="shared" si="12"/>
        <v>66666.67</v>
      </c>
    </row>
    <row r="784" spans="1:12" ht="14.25" hidden="1" customHeight="1" x14ac:dyDescent="0.3">
      <c r="A784" s="8">
        <v>783</v>
      </c>
      <c r="B784" s="8" t="str">
        <f>'Criaturas - Base de Dados'!B132</f>
        <v>Tempestade Rúnica</v>
      </c>
      <c r="C784" s="8" t="str">
        <f>'Criaturas - Base de Dados'!C132</f>
        <v>Trovão</v>
      </c>
      <c r="D784" s="8" t="str">
        <f>'Criaturas - Base de Dados'!D132</f>
        <v>Dragão do Vento Chinês</v>
      </c>
      <c r="E784" s="8" t="str">
        <f>'Sistema de Raridade e Evolução'!B4</f>
        <v>Prata</v>
      </c>
      <c r="F784" s="9">
        <f>ROUND(('Criaturas - Base de Dados'!H132*'Sistema de Raridade e Evolução'!E4)*1000,2)</f>
        <v>168000</v>
      </c>
      <c r="G784" s="8">
        <f>ROUND('Criaturas - Base de Dados'!I132*'Sistema de Raridade e Evolução'!E4,0)</f>
        <v>102</v>
      </c>
      <c r="H784" s="8">
        <f>ROUND('Criaturas - Base de Dados'!J132*'Sistema de Raridade e Evolução'!E4,0)</f>
        <v>84</v>
      </c>
      <c r="I784" s="8">
        <f>ROUND('Criaturas - Base de Dados'!K132*'Sistema de Raridade e Evolução'!E4,0)</f>
        <v>540</v>
      </c>
      <c r="J784" s="8">
        <f>'Sistema de Raridade e Evolução'!D4</f>
        <v>16</v>
      </c>
      <c r="K784" s="8" t="s">
        <v>10</v>
      </c>
      <c r="L784" s="9">
        <f t="shared" si="12"/>
        <v>400000</v>
      </c>
    </row>
    <row r="785" spans="1:12" ht="14.25" hidden="1" customHeight="1" x14ac:dyDescent="0.3">
      <c r="A785" s="8">
        <v>784</v>
      </c>
      <c r="B785" s="8" t="str">
        <f>'Criaturas - Base de Dados'!B132</f>
        <v>Tempestade Rúnica</v>
      </c>
      <c r="C785" s="8" t="str">
        <f>'Criaturas - Base de Dados'!C132</f>
        <v>Trovão</v>
      </c>
      <c r="D785" s="8" t="str">
        <f>'Criaturas - Base de Dados'!D132</f>
        <v>Dragão do Vento Chinês</v>
      </c>
      <c r="E785" s="8" t="str">
        <f>'Sistema de Raridade e Evolução'!B5</f>
        <v>Ouro</v>
      </c>
      <c r="F785" s="9">
        <f>ROUND(('Criaturas - Base de Dados'!H132*'Sistema de Raridade e Evolução'!E5)*1000,2)</f>
        <v>504000</v>
      </c>
      <c r="G785" s="8">
        <f>ROUND('Criaturas - Base de Dados'!I132*'Sistema de Raridade e Evolução'!E5,0)</f>
        <v>306</v>
      </c>
      <c r="H785" s="8">
        <f>ROUND('Criaturas - Base de Dados'!J132*'Sistema de Raridade e Evolução'!E5,0)</f>
        <v>252</v>
      </c>
      <c r="I785" s="8">
        <f>ROUND('Criaturas - Base de Dados'!K132*'Sistema de Raridade e Evolução'!E5,0)</f>
        <v>1620</v>
      </c>
      <c r="J785" s="8">
        <f>'Sistema de Raridade e Evolução'!D5</f>
        <v>31</v>
      </c>
      <c r="K785" s="8" t="s">
        <v>11</v>
      </c>
      <c r="L785" s="9">
        <f t="shared" si="12"/>
        <v>1200000</v>
      </c>
    </row>
    <row r="786" spans="1:12" ht="14.25" hidden="1" customHeight="1" x14ac:dyDescent="0.3">
      <c r="A786" s="8">
        <v>785</v>
      </c>
      <c r="B786" s="8" t="str">
        <f>'Criaturas - Base de Dados'!B132</f>
        <v>Tempestade Rúnica</v>
      </c>
      <c r="C786" s="8" t="str">
        <f>'Criaturas - Base de Dados'!C132</f>
        <v>Trovão</v>
      </c>
      <c r="D786" s="8" t="str">
        <f>'Criaturas - Base de Dados'!D132</f>
        <v>Dragão do Vento Chinês</v>
      </c>
      <c r="E786" s="8" t="str">
        <f>'Sistema de Raridade e Evolução'!B6</f>
        <v>Platina</v>
      </c>
      <c r="F786" s="9">
        <f>ROUND(('Criaturas - Base de Dados'!H132*'Sistema de Raridade e Evolução'!E6)*1000,2)</f>
        <v>1400000</v>
      </c>
      <c r="G786" s="8">
        <f>ROUND('Criaturas - Base de Dados'!I132*'Sistema de Raridade e Evolução'!E6,0)</f>
        <v>850</v>
      </c>
      <c r="H786" s="8">
        <f>ROUND('Criaturas - Base de Dados'!J132*'Sistema de Raridade e Evolução'!E6,0)</f>
        <v>700</v>
      </c>
      <c r="I786" s="8">
        <f>ROUND('Criaturas - Base de Dados'!K132*'Sistema de Raridade e Evolução'!E6,0)</f>
        <v>4500</v>
      </c>
      <c r="J786" s="8">
        <f>'Sistema de Raridade e Evolução'!D6</f>
        <v>56</v>
      </c>
      <c r="K786" s="8" t="s">
        <v>12</v>
      </c>
      <c r="L786" s="9">
        <f t="shared" si="12"/>
        <v>3333333.33</v>
      </c>
    </row>
    <row r="787" spans="1:12" ht="14.25" hidden="1" customHeight="1" x14ac:dyDescent="0.3">
      <c r="A787" s="8">
        <v>786</v>
      </c>
      <c r="B787" s="8" t="str">
        <f>'Criaturas - Base de Dados'!B132</f>
        <v>Tempestade Rúnica</v>
      </c>
      <c r="C787" s="8" t="str">
        <f>'Criaturas - Base de Dados'!C132</f>
        <v>Trovão</v>
      </c>
      <c r="D787" s="8" t="str">
        <f>'Criaturas - Base de Dados'!D132</f>
        <v>Dragão do Vento Chinês</v>
      </c>
      <c r="E787" s="8" t="str">
        <f>'Sistema de Raridade e Evolução'!B7</f>
        <v>Lendário</v>
      </c>
      <c r="F787" s="9">
        <f>ROUND(('Criaturas - Base de Dados'!H132*'Sistema de Raridade e Evolução'!E7)*1000,2)</f>
        <v>4200000</v>
      </c>
      <c r="G787" s="8">
        <f>ROUND('Criaturas - Base de Dados'!I132*'Sistema de Raridade e Evolução'!E7,0)</f>
        <v>2550</v>
      </c>
      <c r="H787" s="8">
        <f>ROUND('Criaturas - Base de Dados'!J132*'Sistema de Raridade e Evolução'!E7,0)</f>
        <v>2100</v>
      </c>
      <c r="I787" s="8">
        <f>ROUND('Criaturas - Base de Dados'!K132*'Sistema de Raridade e Evolução'!E7,0)</f>
        <v>13500</v>
      </c>
      <c r="J787" s="8">
        <f>'Sistema de Raridade e Evolução'!D7</f>
        <v>91</v>
      </c>
      <c r="K787" s="8" t="s">
        <v>925</v>
      </c>
      <c r="L787" s="9">
        <f t="shared" si="12"/>
        <v>10000000</v>
      </c>
    </row>
    <row r="788" spans="1:12" ht="14.25" customHeight="1" x14ac:dyDescent="0.3">
      <c r="A788" s="8">
        <v>787</v>
      </c>
      <c r="B788" s="8" t="str">
        <f>'Criaturas - Base de Dados'!B133</f>
        <v>Tempestade Rúnica</v>
      </c>
      <c r="C788" s="8" t="str">
        <f>'Criaturas - Base de Dados'!C133</f>
        <v>Trovão</v>
      </c>
      <c r="D788" s="8" t="str">
        <f>'Criaturas - Base de Dados'!D133</f>
        <v>Sylph Ancestral</v>
      </c>
      <c r="E788" s="8" t="str">
        <f>'Sistema de Raridade e Evolução'!B2</f>
        <v>Default</v>
      </c>
      <c r="F788" s="9" t="e">
        <f>ROUND(('Criaturas - Base de Dados'!H133*'Sistema de Raridade e Evolução'!E2)*1000,2)</f>
        <v>#VALUE!</v>
      </c>
      <c r="G788" s="8" t="e">
        <f>ROUND('Criaturas - Base de Dados'!I133*'Sistema de Raridade e Evolução'!E2,0)</f>
        <v>#VALUE!</v>
      </c>
      <c r="H788" s="8" t="e">
        <f>ROUND('Criaturas - Base de Dados'!J133*'Sistema de Raridade e Evolução'!E2,0)</f>
        <v>#VALUE!</v>
      </c>
      <c r="I788" s="8" t="e">
        <f>ROUND('Criaturas - Base de Dados'!K133*'Sistema de Raridade e Evolução'!E2,0)</f>
        <v>#VALUE!</v>
      </c>
      <c r="J788" s="8">
        <f>'Sistema de Raridade e Evolução'!D2</f>
        <v>1</v>
      </c>
      <c r="K788" s="8" t="s">
        <v>8</v>
      </c>
      <c r="L788" s="9" t="e">
        <f t="shared" si="12"/>
        <v>#VALUE!</v>
      </c>
    </row>
    <row r="789" spans="1:12" ht="14.25" hidden="1" customHeight="1" x14ac:dyDescent="0.3">
      <c r="A789" s="8">
        <v>788</v>
      </c>
      <c r="B789" s="8" t="str">
        <f>'Criaturas - Base de Dados'!B133</f>
        <v>Tempestade Rúnica</v>
      </c>
      <c r="C789" s="8" t="str">
        <f>'Criaturas - Base de Dados'!C133</f>
        <v>Trovão</v>
      </c>
      <c r="D789" s="8" t="str">
        <f>'Criaturas - Base de Dados'!D133</f>
        <v>Sylph Ancestral</v>
      </c>
      <c r="E789" s="8" t="str">
        <f>'Sistema de Raridade e Evolução'!B3</f>
        <v>Bronze</v>
      </c>
      <c r="F789" s="9">
        <f>ROUND(('Criaturas - Base de Dados'!H133*'Sistema de Raridade e Evolução'!E3)*1000,2)</f>
        <v>30000</v>
      </c>
      <c r="G789" s="8">
        <f>ROUND('Criaturas - Base de Dados'!I133*'Sistema de Raridade e Evolução'!E3,0)</f>
        <v>18</v>
      </c>
      <c r="H789" s="8">
        <f>ROUND('Criaturas - Base de Dados'!J133*'Sistema de Raridade e Evolução'!E3,0)</f>
        <v>15</v>
      </c>
      <c r="I789" s="8">
        <f>ROUND('Criaturas - Base de Dados'!K133*'Sistema de Raridade e Evolução'!E3,0)</f>
        <v>96</v>
      </c>
      <c r="J789" s="8">
        <f>'Sistema de Raridade e Evolução'!D3</f>
        <v>6</v>
      </c>
      <c r="K789" s="8" t="s">
        <v>9</v>
      </c>
      <c r="L789" s="9">
        <f t="shared" si="12"/>
        <v>71428.570000000007</v>
      </c>
    </row>
    <row r="790" spans="1:12" ht="14.25" hidden="1" customHeight="1" x14ac:dyDescent="0.3">
      <c r="A790" s="8">
        <v>789</v>
      </c>
      <c r="B790" s="8" t="str">
        <f>'Criaturas - Base de Dados'!B133</f>
        <v>Tempestade Rúnica</v>
      </c>
      <c r="C790" s="8" t="str">
        <f>'Criaturas - Base de Dados'!C133</f>
        <v>Trovão</v>
      </c>
      <c r="D790" s="8" t="str">
        <f>'Criaturas - Base de Dados'!D133</f>
        <v>Sylph Ancestral</v>
      </c>
      <c r="E790" s="8" t="str">
        <f>'Sistema de Raridade e Evolução'!B4</f>
        <v>Prata</v>
      </c>
      <c r="F790" s="9">
        <f>ROUND(('Criaturas - Base de Dados'!H133*'Sistema de Raridade e Evolução'!E4)*1000,2)</f>
        <v>180000</v>
      </c>
      <c r="G790" s="8">
        <f>ROUND('Criaturas - Base de Dados'!I133*'Sistema de Raridade e Evolução'!E4,0)</f>
        <v>108</v>
      </c>
      <c r="H790" s="8">
        <f>ROUND('Criaturas - Base de Dados'!J133*'Sistema de Raridade e Evolução'!E4,0)</f>
        <v>90</v>
      </c>
      <c r="I790" s="8">
        <f>ROUND('Criaturas - Base de Dados'!K133*'Sistema de Raridade e Evolução'!E4,0)</f>
        <v>576</v>
      </c>
      <c r="J790" s="8">
        <f>'Sistema de Raridade e Evolução'!D4</f>
        <v>16</v>
      </c>
      <c r="K790" s="8" t="s">
        <v>10</v>
      </c>
      <c r="L790" s="9">
        <f t="shared" si="12"/>
        <v>428571.43</v>
      </c>
    </row>
    <row r="791" spans="1:12" ht="14.25" hidden="1" customHeight="1" x14ac:dyDescent="0.3">
      <c r="A791" s="8">
        <v>790</v>
      </c>
      <c r="B791" s="8" t="str">
        <f>'Criaturas - Base de Dados'!B133</f>
        <v>Tempestade Rúnica</v>
      </c>
      <c r="C791" s="8" t="str">
        <f>'Criaturas - Base de Dados'!C133</f>
        <v>Trovão</v>
      </c>
      <c r="D791" s="8" t="str">
        <f>'Criaturas - Base de Dados'!D133</f>
        <v>Sylph Ancestral</v>
      </c>
      <c r="E791" s="8" t="str">
        <f>'Sistema de Raridade e Evolução'!B5</f>
        <v>Ouro</v>
      </c>
      <c r="F791" s="9">
        <f>ROUND(('Criaturas - Base de Dados'!H133*'Sistema de Raridade e Evolução'!E5)*1000,2)</f>
        <v>540000</v>
      </c>
      <c r="G791" s="8">
        <f>ROUND('Criaturas - Base de Dados'!I133*'Sistema de Raridade e Evolução'!E5,0)</f>
        <v>324</v>
      </c>
      <c r="H791" s="8">
        <f>ROUND('Criaturas - Base de Dados'!J133*'Sistema de Raridade e Evolução'!E5,0)</f>
        <v>270</v>
      </c>
      <c r="I791" s="8">
        <f>ROUND('Criaturas - Base de Dados'!K133*'Sistema de Raridade e Evolução'!E5,0)</f>
        <v>1728</v>
      </c>
      <c r="J791" s="8">
        <f>'Sistema de Raridade e Evolução'!D5</f>
        <v>31</v>
      </c>
      <c r="K791" s="8" t="s">
        <v>11</v>
      </c>
      <c r="L791" s="9">
        <f t="shared" si="12"/>
        <v>1285714.29</v>
      </c>
    </row>
    <row r="792" spans="1:12" ht="14.25" hidden="1" customHeight="1" x14ac:dyDescent="0.3">
      <c r="A792" s="8">
        <v>791</v>
      </c>
      <c r="B792" s="8" t="str">
        <f>'Criaturas - Base de Dados'!B133</f>
        <v>Tempestade Rúnica</v>
      </c>
      <c r="C792" s="8" t="str">
        <f>'Criaturas - Base de Dados'!C133</f>
        <v>Trovão</v>
      </c>
      <c r="D792" s="8" t="str">
        <f>'Criaturas - Base de Dados'!D133</f>
        <v>Sylph Ancestral</v>
      </c>
      <c r="E792" s="8" t="str">
        <f>'Sistema de Raridade e Evolução'!B6</f>
        <v>Platina</v>
      </c>
      <c r="F792" s="9">
        <f>ROUND(('Criaturas - Base de Dados'!H133*'Sistema de Raridade e Evolução'!E6)*1000,2)</f>
        <v>1500000</v>
      </c>
      <c r="G792" s="8">
        <f>ROUND('Criaturas - Base de Dados'!I133*'Sistema de Raridade e Evolução'!E6,0)</f>
        <v>900</v>
      </c>
      <c r="H792" s="8">
        <f>ROUND('Criaturas - Base de Dados'!J133*'Sistema de Raridade e Evolução'!E6,0)</f>
        <v>750</v>
      </c>
      <c r="I792" s="8">
        <f>ROUND('Criaturas - Base de Dados'!K133*'Sistema de Raridade e Evolução'!E6,0)</f>
        <v>4800</v>
      </c>
      <c r="J792" s="8">
        <f>'Sistema de Raridade e Evolução'!D6</f>
        <v>56</v>
      </c>
      <c r="K792" s="8" t="s">
        <v>12</v>
      </c>
      <c r="L792" s="9">
        <f t="shared" si="12"/>
        <v>3571428.57</v>
      </c>
    </row>
    <row r="793" spans="1:12" ht="14.25" hidden="1" customHeight="1" x14ac:dyDescent="0.3">
      <c r="A793" s="8">
        <v>792</v>
      </c>
      <c r="B793" s="8" t="str">
        <f>'Criaturas - Base de Dados'!B133</f>
        <v>Tempestade Rúnica</v>
      </c>
      <c r="C793" s="8" t="str">
        <f>'Criaturas - Base de Dados'!C133</f>
        <v>Trovão</v>
      </c>
      <c r="D793" s="8" t="str">
        <f>'Criaturas - Base de Dados'!D133</f>
        <v>Sylph Ancestral</v>
      </c>
      <c r="E793" s="8" t="str">
        <f>'Sistema de Raridade e Evolução'!B7</f>
        <v>Lendário</v>
      </c>
      <c r="F793" s="9">
        <f>ROUND(('Criaturas - Base de Dados'!H133*'Sistema de Raridade e Evolução'!E7)*1000,2)</f>
        <v>4500000</v>
      </c>
      <c r="G793" s="8">
        <f>ROUND('Criaturas - Base de Dados'!I133*'Sistema de Raridade e Evolução'!E7,0)</f>
        <v>2700</v>
      </c>
      <c r="H793" s="8">
        <f>ROUND('Criaturas - Base de Dados'!J133*'Sistema de Raridade e Evolução'!E7,0)</f>
        <v>2250</v>
      </c>
      <c r="I793" s="8">
        <f>ROUND('Criaturas - Base de Dados'!K133*'Sistema de Raridade e Evolução'!E7,0)</f>
        <v>14400</v>
      </c>
      <c r="J793" s="8">
        <f>'Sistema de Raridade e Evolução'!D7</f>
        <v>91</v>
      </c>
      <c r="K793" s="8" t="s">
        <v>925</v>
      </c>
      <c r="L793" s="9">
        <f t="shared" si="12"/>
        <v>10714285.710000001</v>
      </c>
    </row>
    <row r="794" spans="1:12" ht="14.25" customHeight="1" x14ac:dyDescent="0.3">
      <c r="A794" s="8">
        <v>793</v>
      </c>
      <c r="B794" s="8" t="str">
        <f>'Criaturas - Base de Dados'!B134</f>
        <v>Tempestade Rúnica</v>
      </c>
      <c r="C794" s="8" t="str">
        <f>'Criaturas - Base de Dados'!C134</f>
        <v>Trovão</v>
      </c>
      <c r="D794" s="8" t="str">
        <f>'Criaturas - Base de Dados'!D134</f>
        <v>Djinn do Vendaval</v>
      </c>
      <c r="E794" s="8" t="str">
        <f>'Sistema de Raridade e Evolução'!B2</f>
        <v>Default</v>
      </c>
      <c r="F794" s="9" t="e">
        <f>ROUND(('Criaturas - Base de Dados'!H134*'Sistema de Raridade e Evolução'!E2)*1000,2)</f>
        <v>#VALUE!</v>
      </c>
      <c r="G794" s="8" t="e">
        <f>ROUND('Criaturas - Base de Dados'!I134*'Sistema de Raridade e Evolução'!E2,0)</f>
        <v>#VALUE!</v>
      </c>
      <c r="H794" s="8" t="e">
        <f>ROUND('Criaturas - Base de Dados'!J134*'Sistema de Raridade e Evolução'!E2,0)</f>
        <v>#VALUE!</v>
      </c>
      <c r="I794" s="8" t="e">
        <f>ROUND('Criaturas - Base de Dados'!K134*'Sistema de Raridade e Evolução'!E2,0)</f>
        <v>#VALUE!</v>
      </c>
      <c r="J794" s="8">
        <f>'Sistema de Raridade e Evolução'!D2</f>
        <v>1</v>
      </c>
      <c r="K794" s="8" t="s">
        <v>8</v>
      </c>
      <c r="L794" s="9" t="e">
        <f t="shared" si="12"/>
        <v>#VALUE!</v>
      </c>
    </row>
    <row r="795" spans="1:12" ht="14.25" hidden="1" customHeight="1" x14ac:dyDescent="0.3">
      <c r="A795" s="8">
        <v>794</v>
      </c>
      <c r="B795" s="8" t="str">
        <f>'Criaturas - Base de Dados'!B134</f>
        <v>Tempestade Rúnica</v>
      </c>
      <c r="C795" s="8" t="str">
        <f>'Criaturas - Base de Dados'!C134</f>
        <v>Trovão</v>
      </c>
      <c r="D795" s="8" t="str">
        <f>'Criaturas - Base de Dados'!D134</f>
        <v>Djinn do Vendaval</v>
      </c>
      <c r="E795" s="8" t="str">
        <f>'Sistema de Raridade e Evolução'!B3</f>
        <v>Bronze</v>
      </c>
      <c r="F795" s="9">
        <f>ROUND(('Criaturas - Base de Dados'!H134*'Sistema de Raridade e Evolução'!E3)*1000,2)</f>
        <v>34000</v>
      </c>
      <c r="G795" s="8">
        <f>ROUND('Criaturas - Base de Dados'!I134*'Sistema de Raridade e Evolução'!E3,0)</f>
        <v>20</v>
      </c>
      <c r="H795" s="8">
        <f>ROUND('Criaturas - Base de Dados'!J134*'Sistema de Raridade e Evolução'!E3,0)</f>
        <v>17</v>
      </c>
      <c r="I795" s="8">
        <f>ROUND('Criaturas - Base de Dados'!K134*'Sistema de Raridade e Evolução'!E3,0)</f>
        <v>109</v>
      </c>
      <c r="J795" s="8">
        <f>'Sistema de Raridade e Evolução'!D3</f>
        <v>6</v>
      </c>
      <c r="K795" s="8" t="s">
        <v>9</v>
      </c>
      <c r="L795" s="9">
        <f t="shared" si="12"/>
        <v>80952.38</v>
      </c>
    </row>
    <row r="796" spans="1:12" ht="14.25" hidden="1" customHeight="1" x14ac:dyDescent="0.3">
      <c r="A796" s="8">
        <v>795</v>
      </c>
      <c r="B796" s="8" t="str">
        <f>'Criaturas - Base de Dados'!B134</f>
        <v>Tempestade Rúnica</v>
      </c>
      <c r="C796" s="8" t="str">
        <f>'Criaturas - Base de Dados'!C134</f>
        <v>Trovão</v>
      </c>
      <c r="D796" s="8" t="str">
        <f>'Criaturas - Base de Dados'!D134</f>
        <v>Djinn do Vendaval</v>
      </c>
      <c r="E796" s="8" t="str">
        <f>'Sistema de Raridade e Evolução'!B4</f>
        <v>Prata</v>
      </c>
      <c r="F796" s="9">
        <f>ROUND(('Criaturas - Base de Dados'!H134*'Sistema de Raridade e Evolução'!E4)*1000,2)</f>
        <v>204000</v>
      </c>
      <c r="G796" s="8">
        <f>ROUND('Criaturas - Base de Dados'!I134*'Sistema de Raridade e Evolução'!E4,0)</f>
        <v>120</v>
      </c>
      <c r="H796" s="8">
        <f>ROUND('Criaturas - Base de Dados'!J134*'Sistema de Raridade e Evolução'!E4,0)</f>
        <v>102</v>
      </c>
      <c r="I796" s="8">
        <f>ROUND('Criaturas - Base de Dados'!K134*'Sistema de Raridade e Evolução'!E4,0)</f>
        <v>654</v>
      </c>
      <c r="J796" s="8">
        <f>'Sistema de Raridade e Evolução'!D4</f>
        <v>16</v>
      </c>
      <c r="K796" s="8" t="s">
        <v>10</v>
      </c>
      <c r="L796" s="9">
        <f t="shared" si="12"/>
        <v>485714.29</v>
      </c>
    </row>
    <row r="797" spans="1:12" ht="14.25" hidden="1" customHeight="1" x14ac:dyDescent="0.3">
      <c r="A797" s="8">
        <v>796</v>
      </c>
      <c r="B797" s="8" t="str">
        <f>'Criaturas - Base de Dados'!B134</f>
        <v>Tempestade Rúnica</v>
      </c>
      <c r="C797" s="8" t="str">
        <f>'Criaturas - Base de Dados'!C134</f>
        <v>Trovão</v>
      </c>
      <c r="D797" s="8" t="str">
        <f>'Criaturas - Base de Dados'!D134</f>
        <v>Djinn do Vendaval</v>
      </c>
      <c r="E797" s="8" t="str">
        <f>'Sistema de Raridade e Evolução'!B5</f>
        <v>Ouro</v>
      </c>
      <c r="F797" s="9">
        <f>ROUND(('Criaturas - Base de Dados'!H134*'Sistema de Raridade e Evolução'!E5)*1000,2)</f>
        <v>612000</v>
      </c>
      <c r="G797" s="8">
        <f>ROUND('Criaturas - Base de Dados'!I134*'Sistema de Raridade e Evolução'!E5,0)</f>
        <v>360</v>
      </c>
      <c r="H797" s="8">
        <f>ROUND('Criaturas - Base de Dados'!J134*'Sistema de Raridade e Evolução'!E5,0)</f>
        <v>306</v>
      </c>
      <c r="I797" s="8">
        <f>ROUND('Criaturas - Base de Dados'!K134*'Sistema de Raridade e Evolução'!E5,0)</f>
        <v>1962</v>
      </c>
      <c r="J797" s="8">
        <f>'Sistema de Raridade e Evolução'!D5</f>
        <v>31</v>
      </c>
      <c r="K797" s="8" t="s">
        <v>11</v>
      </c>
      <c r="L797" s="9">
        <f t="shared" si="12"/>
        <v>1457142.86</v>
      </c>
    </row>
    <row r="798" spans="1:12" ht="14.25" hidden="1" customHeight="1" x14ac:dyDescent="0.3">
      <c r="A798" s="8">
        <v>797</v>
      </c>
      <c r="B798" s="8" t="str">
        <f>'Criaturas - Base de Dados'!B134</f>
        <v>Tempestade Rúnica</v>
      </c>
      <c r="C798" s="8" t="str">
        <f>'Criaturas - Base de Dados'!C134</f>
        <v>Trovão</v>
      </c>
      <c r="D798" s="8" t="str">
        <f>'Criaturas - Base de Dados'!D134</f>
        <v>Djinn do Vendaval</v>
      </c>
      <c r="E798" s="8" t="str">
        <f>'Sistema de Raridade e Evolução'!B6</f>
        <v>Platina</v>
      </c>
      <c r="F798" s="9">
        <f>ROUND(('Criaturas - Base de Dados'!H134*'Sistema de Raridade e Evolução'!E6)*1000,2)</f>
        <v>1700000</v>
      </c>
      <c r="G798" s="8">
        <f>ROUND('Criaturas - Base de Dados'!I134*'Sistema de Raridade e Evolução'!E6,0)</f>
        <v>1000</v>
      </c>
      <c r="H798" s="8">
        <f>ROUND('Criaturas - Base de Dados'!J134*'Sistema de Raridade e Evolução'!E6,0)</f>
        <v>850</v>
      </c>
      <c r="I798" s="8">
        <f>ROUND('Criaturas - Base de Dados'!K134*'Sistema de Raridade e Evolução'!E6,0)</f>
        <v>5450</v>
      </c>
      <c r="J798" s="8">
        <f>'Sistema de Raridade e Evolução'!D6</f>
        <v>56</v>
      </c>
      <c r="K798" s="8" t="s">
        <v>12</v>
      </c>
      <c r="L798" s="9">
        <f t="shared" si="12"/>
        <v>4047619.05</v>
      </c>
    </row>
    <row r="799" spans="1:12" ht="14.25" hidden="1" customHeight="1" x14ac:dyDescent="0.3">
      <c r="A799" s="8">
        <v>798</v>
      </c>
      <c r="B799" s="8" t="str">
        <f>'Criaturas - Base de Dados'!B134</f>
        <v>Tempestade Rúnica</v>
      </c>
      <c r="C799" s="8" t="str">
        <f>'Criaturas - Base de Dados'!C134</f>
        <v>Trovão</v>
      </c>
      <c r="D799" s="8" t="str">
        <f>'Criaturas - Base de Dados'!D134</f>
        <v>Djinn do Vendaval</v>
      </c>
      <c r="E799" s="8" t="str">
        <f>'Sistema de Raridade e Evolução'!B7</f>
        <v>Lendário</v>
      </c>
      <c r="F799" s="9">
        <f>ROUND(('Criaturas - Base de Dados'!H134*'Sistema de Raridade e Evolução'!E7)*1000,2)</f>
        <v>5100000</v>
      </c>
      <c r="G799" s="8">
        <f>ROUND('Criaturas - Base de Dados'!I134*'Sistema de Raridade e Evolução'!E7,0)</f>
        <v>3000</v>
      </c>
      <c r="H799" s="8">
        <f>ROUND('Criaturas - Base de Dados'!J134*'Sistema de Raridade e Evolução'!E7,0)</f>
        <v>2550</v>
      </c>
      <c r="I799" s="8">
        <f>ROUND('Criaturas - Base de Dados'!K134*'Sistema de Raridade e Evolução'!E7,0)</f>
        <v>16350</v>
      </c>
      <c r="J799" s="8">
        <f>'Sistema de Raridade e Evolução'!D7</f>
        <v>91</v>
      </c>
      <c r="K799" s="8" t="s">
        <v>925</v>
      </c>
      <c r="L799" s="9">
        <f t="shared" si="12"/>
        <v>12142857.140000001</v>
      </c>
    </row>
    <row r="800" spans="1:12" ht="14.25" customHeight="1" x14ac:dyDescent="0.3">
      <c r="A800" s="8">
        <v>799</v>
      </c>
      <c r="B800" s="8" t="str">
        <f>'Criaturas - Base de Dados'!B135</f>
        <v>Tempestade Rúnica</v>
      </c>
      <c r="C800" s="8" t="str">
        <f>'Criaturas - Base de Dados'!C135</f>
        <v>Trovão</v>
      </c>
      <c r="D800" s="8" t="str">
        <f>'Criaturas - Base de Dados'!D135</f>
        <v>Ave-Relâmpago Sioux</v>
      </c>
      <c r="E800" s="8" t="str">
        <f>'Sistema de Raridade e Evolução'!B2</f>
        <v>Default</v>
      </c>
      <c r="F800" s="9" t="e">
        <f>ROUND(('Criaturas - Base de Dados'!H135*'Sistema de Raridade e Evolução'!E2)*1000,2)</f>
        <v>#VALUE!</v>
      </c>
      <c r="G800" s="8" t="e">
        <f>ROUND('Criaturas - Base de Dados'!I135*'Sistema de Raridade e Evolução'!E2,0)</f>
        <v>#VALUE!</v>
      </c>
      <c r="H800" s="8" t="e">
        <f>ROUND('Criaturas - Base de Dados'!J135*'Sistema de Raridade e Evolução'!E2,0)</f>
        <v>#VALUE!</v>
      </c>
      <c r="I800" s="8" t="e">
        <f>ROUND('Criaturas - Base de Dados'!K135*'Sistema de Raridade e Evolução'!E2,0)</f>
        <v>#VALUE!</v>
      </c>
      <c r="J800" s="8">
        <f>'Sistema de Raridade e Evolução'!D2</f>
        <v>1</v>
      </c>
      <c r="K800" s="8" t="s">
        <v>8</v>
      </c>
      <c r="L800" s="9" t="e">
        <f t="shared" si="12"/>
        <v>#VALUE!</v>
      </c>
    </row>
    <row r="801" spans="1:12" ht="14.25" hidden="1" customHeight="1" x14ac:dyDescent="0.3">
      <c r="A801" s="8">
        <v>800</v>
      </c>
      <c r="B801" s="8" t="str">
        <f>'Criaturas - Base de Dados'!B135</f>
        <v>Tempestade Rúnica</v>
      </c>
      <c r="C801" s="8" t="str">
        <f>'Criaturas - Base de Dados'!C135</f>
        <v>Trovão</v>
      </c>
      <c r="D801" s="8" t="str">
        <f>'Criaturas - Base de Dados'!D135</f>
        <v>Ave-Relâmpago Sioux</v>
      </c>
      <c r="E801" s="8" t="str">
        <f>'Sistema de Raridade e Evolução'!B3</f>
        <v>Bronze</v>
      </c>
      <c r="F801" s="9">
        <f>ROUND(('Criaturas - Base de Dados'!H135*'Sistema de Raridade e Evolução'!E3)*1000,2)</f>
        <v>36000</v>
      </c>
      <c r="G801" s="8">
        <f>ROUND('Criaturas - Base de Dados'!I135*'Sistema de Raridade e Evolução'!E3,0)</f>
        <v>22</v>
      </c>
      <c r="H801" s="8">
        <f>ROUND('Criaturas - Base de Dados'!J135*'Sistema de Raridade e Evolução'!E3,0)</f>
        <v>18</v>
      </c>
      <c r="I801" s="8">
        <f>ROUND('Criaturas - Base de Dados'!K135*'Sistema de Raridade e Evolução'!E3,0)</f>
        <v>115</v>
      </c>
      <c r="J801" s="8">
        <f>'Sistema de Raridade e Evolução'!D3</f>
        <v>6</v>
      </c>
      <c r="K801" s="8" t="s">
        <v>9</v>
      </c>
      <c r="L801" s="9">
        <f t="shared" si="12"/>
        <v>85714.29</v>
      </c>
    </row>
    <row r="802" spans="1:12" ht="14.25" hidden="1" customHeight="1" x14ac:dyDescent="0.3">
      <c r="A802" s="8">
        <v>801</v>
      </c>
      <c r="B802" s="8" t="str">
        <f>'Criaturas - Base de Dados'!B135</f>
        <v>Tempestade Rúnica</v>
      </c>
      <c r="C802" s="8" t="str">
        <f>'Criaturas - Base de Dados'!C135</f>
        <v>Trovão</v>
      </c>
      <c r="D802" s="8" t="str">
        <f>'Criaturas - Base de Dados'!D135</f>
        <v>Ave-Relâmpago Sioux</v>
      </c>
      <c r="E802" s="8" t="str">
        <f>'Sistema de Raridade e Evolução'!B4</f>
        <v>Prata</v>
      </c>
      <c r="F802" s="9">
        <f>ROUND(('Criaturas - Base de Dados'!H135*'Sistema de Raridade e Evolução'!E4)*1000,2)</f>
        <v>216000</v>
      </c>
      <c r="G802" s="8">
        <f>ROUND('Criaturas - Base de Dados'!I135*'Sistema de Raridade e Evolução'!E4,0)</f>
        <v>132</v>
      </c>
      <c r="H802" s="8">
        <f>ROUND('Criaturas - Base de Dados'!J135*'Sistema de Raridade e Evolução'!E4,0)</f>
        <v>108</v>
      </c>
      <c r="I802" s="8">
        <f>ROUND('Criaturas - Base de Dados'!K135*'Sistema de Raridade e Evolução'!E4,0)</f>
        <v>690</v>
      </c>
      <c r="J802" s="8">
        <f>'Sistema de Raridade e Evolução'!D4</f>
        <v>16</v>
      </c>
      <c r="K802" s="8" t="s">
        <v>10</v>
      </c>
      <c r="L802" s="9">
        <f t="shared" si="12"/>
        <v>514285.71</v>
      </c>
    </row>
    <row r="803" spans="1:12" ht="14.25" hidden="1" customHeight="1" x14ac:dyDescent="0.3">
      <c r="A803" s="8">
        <v>802</v>
      </c>
      <c r="B803" s="8" t="str">
        <f>'Criaturas - Base de Dados'!B135</f>
        <v>Tempestade Rúnica</v>
      </c>
      <c r="C803" s="8" t="str">
        <f>'Criaturas - Base de Dados'!C135</f>
        <v>Trovão</v>
      </c>
      <c r="D803" s="8" t="str">
        <f>'Criaturas - Base de Dados'!D135</f>
        <v>Ave-Relâmpago Sioux</v>
      </c>
      <c r="E803" s="8" t="str">
        <f>'Sistema de Raridade e Evolução'!B5</f>
        <v>Ouro</v>
      </c>
      <c r="F803" s="9">
        <f>ROUND(('Criaturas - Base de Dados'!H135*'Sistema de Raridade e Evolução'!E5)*1000,2)</f>
        <v>648000</v>
      </c>
      <c r="G803" s="8">
        <f>ROUND('Criaturas - Base de Dados'!I135*'Sistema de Raridade e Evolução'!E5,0)</f>
        <v>396</v>
      </c>
      <c r="H803" s="8">
        <f>ROUND('Criaturas - Base de Dados'!J135*'Sistema de Raridade e Evolução'!E5,0)</f>
        <v>324</v>
      </c>
      <c r="I803" s="8">
        <f>ROUND('Criaturas - Base de Dados'!K135*'Sistema de Raridade e Evolução'!E5,0)</f>
        <v>2070</v>
      </c>
      <c r="J803" s="8">
        <f>'Sistema de Raridade e Evolução'!D5</f>
        <v>31</v>
      </c>
      <c r="K803" s="8" t="s">
        <v>11</v>
      </c>
      <c r="L803" s="9">
        <f t="shared" si="12"/>
        <v>1542857.14</v>
      </c>
    </row>
    <row r="804" spans="1:12" ht="14.25" hidden="1" customHeight="1" x14ac:dyDescent="0.3">
      <c r="A804" s="8">
        <v>803</v>
      </c>
      <c r="B804" s="8" t="str">
        <f>'Criaturas - Base de Dados'!B135</f>
        <v>Tempestade Rúnica</v>
      </c>
      <c r="C804" s="8" t="str">
        <f>'Criaturas - Base de Dados'!C135</f>
        <v>Trovão</v>
      </c>
      <c r="D804" s="8" t="str">
        <f>'Criaturas - Base de Dados'!D135</f>
        <v>Ave-Relâmpago Sioux</v>
      </c>
      <c r="E804" s="8" t="str">
        <f>'Sistema de Raridade e Evolução'!B6</f>
        <v>Platina</v>
      </c>
      <c r="F804" s="9">
        <f>ROUND(('Criaturas - Base de Dados'!H135*'Sistema de Raridade e Evolução'!E6)*1000,2)</f>
        <v>1800000</v>
      </c>
      <c r="G804" s="8">
        <f>ROUND('Criaturas - Base de Dados'!I135*'Sistema de Raridade e Evolução'!E6,0)</f>
        <v>1100</v>
      </c>
      <c r="H804" s="8">
        <f>ROUND('Criaturas - Base de Dados'!J135*'Sistema de Raridade e Evolução'!E6,0)</f>
        <v>900</v>
      </c>
      <c r="I804" s="8">
        <f>ROUND('Criaturas - Base de Dados'!K135*'Sistema de Raridade e Evolução'!E6,0)</f>
        <v>5750</v>
      </c>
      <c r="J804" s="8">
        <f>'Sistema de Raridade e Evolução'!D6</f>
        <v>56</v>
      </c>
      <c r="K804" s="8" t="s">
        <v>12</v>
      </c>
      <c r="L804" s="9">
        <f t="shared" si="12"/>
        <v>4285714.29</v>
      </c>
    </row>
    <row r="805" spans="1:12" ht="14.25" hidden="1" customHeight="1" x14ac:dyDescent="0.3">
      <c r="A805" s="8">
        <v>804</v>
      </c>
      <c r="B805" s="8" t="str">
        <f>'Criaturas - Base de Dados'!B135</f>
        <v>Tempestade Rúnica</v>
      </c>
      <c r="C805" s="8" t="str">
        <f>'Criaturas - Base de Dados'!C135</f>
        <v>Trovão</v>
      </c>
      <c r="D805" s="8" t="str">
        <f>'Criaturas - Base de Dados'!D135</f>
        <v>Ave-Relâmpago Sioux</v>
      </c>
      <c r="E805" s="8" t="str">
        <f>'Sistema de Raridade e Evolução'!B7</f>
        <v>Lendário</v>
      </c>
      <c r="F805" s="9">
        <f>ROUND(('Criaturas - Base de Dados'!H135*'Sistema de Raridade e Evolução'!E7)*1000,2)</f>
        <v>5400000</v>
      </c>
      <c r="G805" s="8">
        <f>ROUND('Criaturas - Base de Dados'!I135*'Sistema de Raridade e Evolução'!E7,0)</f>
        <v>3300</v>
      </c>
      <c r="H805" s="8">
        <f>ROUND('Criaturas - Base de Dados'!J135*'Sistema de Raridade e Evolução'!E7,0)</f>
        <v>2700</v>
      </c>
      <c r="I805" s="8">
        <f>ROUND('Criaturas - Base de Dados'!K135*'Sistema de Raridade e Evolução'!E7,0)</f>
        <v>17250</v>
      </c>
      <c r="J805" s="8">
        <f>'Sistema de Raridade e Evolução'!D7</f>
        <v>91</v>
      </c>
      <c r="K805" s="8" t="s">
        <v>925</v>
      </c>
      <c r="L805" s="9">
        <f t="shared" si="12"/>
        <v>12857142.859999999</v>
      </c>
    </row>
    <row r="806" spans="1:12" ht="14.25" customHeight="1" x14ac:dyDescent="0.3">
      <c r="A806" s="8">
        <v>805</v>
      </c>
      <c r="B806" s="8" t="str">
        <f>'Criaturas - Base de Dados'!B136</f>
        <v>Tempestade Rúnica</v>
      </c>
      <c r="C806" s="8" t="str">
        <f>'Criaturas - Base de Dados'!C136</f>
        <v>Trovão</v>
      </c>
      <c r="D806" s="8" t="str">
        <f>'Criaturas - Base de Dados'!D136</f>
        <v>Fera do Tufão</v>
      </c>
      <c r="E806" s="8" t="str">
        <f>'Sistema de Raridade e Evolução'!B2</f>
        <v>Default</v>
      </c>
      <c r="F806" s="9" t="e">
        <f>ROUND(('Criaturas - Base de Dados'!H136*'Sistema de Raridade e Evolução'!E2)*1000,2)</f>
        <v>#VALUE!</v>
      </c>
      <c r="G806" s="8" t="e">
        <f>ROUND('Criaturas - Base de Dados'!I136*'Sistema de Raridade e Evolução'!E2,0)</f>
        <v>#VALUE!</v>
      </c>
      <c r="H806" s="8" t="e">
        <f>ROUND('Criaturas - Base de Dados'!J136*'Sistema de Raridade e Evolução'!E2,0)</f>
        <v>#VALUE!</v>
      </c>
      <c r="I806" s="8" t="e">
        <f>ROUND('Criaturas - Base de Dados'!K136*'Sistema de Raridade e Evolução'!E2,0)</f>
        <v>#VALUE!</v>
      </c>
      <c r="J806" s="8">
        <f>'Sistema de Raridade e Evolução'!D2</f>
        <v>1</v>
      </c>
      <c r="K806" s="8" t="s">
        <v>8</v>
      </c>
      <c r="L806" s="9" t="e">
        <f t="shared" si="12"/>
        <v>#VALUE!</v>
      </c>
    </row>
    <row r="807" spans="1:12" ht="14.25" hidden="1" customHeight="1" x14ac:dyDescent="0.3">
      <c r="A807" s="8">
        <v>806</v>
      </c>
      <c r="B807" s="8" t="str">
        <f>'Criaturas - Base de Dados'!B136</f>
        <v>Tempestade Rúnica</v>
      </c>
      <c r="C807" s="8" t="str">
        <f>'Criaturas - Base de Dados'!C136</f>
        <v>Trovão</v>
      </c>
      <c r="D807" s="8" t="str">
        <f>'Criaturas - Base de Dados'!D136</f>
        <v>Fera do Tufão</v>
      </c>
      <c r="E807" s="8" t="str">
        <f>'Sistema de Raridade e Evolução'!B3</f>
        <v>Bronze</v>
      </c>
      <c r="F807" s="9">
        <f>ROUND(('Criaturas - Base de Dados'!H136*'Sistema de Raridade e Evolução'!E3)*1000,2)</f>
        <v>38000</v>
      </c>
      <c r="G807" s="8">
        <f>ROUND('Criaturas - Base de Dados'!I136*'Sistema de Raridade e Evolução'!E3,0)</f>
        <v>23</v>
      </c>
      <c r="H807" s="8">
        <f>ROUND('Criaturas - Base de Dados'!J136*'Sistema de Raridade e Evolução'!E3,0)</f>
        <v>19</v>
      </c>
      <c r="I807" s="8">
        <f>ROUND('Criaturas - Base de Dados'!K136*'Sistema de Raridade e Evolução'!E3,0)</f>
        <v>122</v>
      </c>
      <c r="J807" s="8">
        <f>'Sistema de Raridade e Evolução'!D3</f>
        <v>6</v>
      </c>
      <c r="K807" s="8" t="s">
        <v>9</v>
      </c>
      <c r="L807" s="9">
        <f t="shared" si="12"/>
        <v>90476.19</v>
      </c>
    </row>
    <row r="808" spans="1:12" ht="14.25" hidden="1" customHeight="1" x14ac:dyDescent="0.3">
      <c r="A808" s="8">
        <v>807</v>
      </c>
      <c r="B808" s="8" t="str">
        <f>'Criaturas - Base de Dados'!B136</f>
        <v>Tempestade Rúnica</v>
      </c>
      <c r="C808" s="8" t="str">
        <f>'Criaturas - Base de Dados'!C136</f>
        <v>Trovão</v>
      </c>
      <c r="D808" s="8" t="str">
        <f>'Criaturas - Base de Dados'!D136</f>
        <v>Fera do Tufão</v>
      </c>
      <c r="E808" s="8" t="str">
        <f>'Sistema de Raridade e Evolução'!B4</f>
        <v>Prata</v>
      </c>
      <c r="F808" s="9">
        <f>ROUND(('Criaturas - Base de Dados'!H136*'Sistema de Raridade e Evolução'!E4)*1000,2)</f>
        <v>228000</v>
      </c>
      <c r="G808" s="8">
        <f>ROUND('Criaturas - Base de Dados'!I136*'Sistema de Raridade e Evolução'!E4,0)</f>
        <v>138</v>
      </c>
      <c r="H808" s="8">
        <f>ROUND('Criaturas - Base de Dados'!J136*'Sistema de Raridade e Evolução'!E4,0)</f>
        <v>114</v>
      </c>
      <c r="I808" s="8">
        <f>ROUND('Criaturas - Base de Dados'!K136*'Sistema de Raridade e Evolução'!E4,0)</f>
        <v>732</v>
      </c>
      <c r="J808" s="8">
        <f>'Sistema de Raridade e Evolução'!D4</f>
        <v>16</v>
      </c>
      <c r="K808" s="8" t="s">
        <v>10</v>
      </c>
      <c r="L808" s="9">
        <f t="shared" si="12"/>
        <v>542857.14</v>
      </c>
    </row>
    <row r="809" spans="1:12" ht="14.25" hidden="1" customHeight="1" x14ac:dyDescent="0.3">
      <c r="A809" s="8">
        <v>808</v>
      </c>
      <c r="B809" s="8" t="str">
        <f>'Criaturas - Base de Dados'!B136</f>
        <v>Tempestade Rúnica</v>
      </c>
      <c r="C809" s="8" t="str">
        <f>'Criaturas - Base de Dados'!C136</f>
        <v>Trovão</v>
      </c>
      <c r="D809" s="8" t="str">
        <f>'Criaturas - Base de Dados'!D136</f>
        <v>Fera do Tufão</v>
      </c>
      <c r="E809" s="8" t="str">
        <f>'Sistema de Raridade e Evolução'!B5</f>
        <v>Ouro</v>
      </c>
      <c r="F809" s="9">
        <f>ROUND(('Criaturas - Base de Dados'!H136*'Sistema de Raridade e Evolução'!E5)*1000,2)</f>
        <v>684000</v>
      </c>
      <c r="G809" s="8">
        <f>ROUND('Criaturas - Base de Dados'!I136*'Sistema de Raridade e Evolução'!E5,0)</f>
        <v>414</v>
      </c>
      <c r="H809" s="8">
        <f>ROUND('Criaturas - Base de Dados'!J136*'Sistema de Raridade e Evolução'!E5,0)</f>
        <v>342</v>
      </c>
      <c r="I809" s="8">
        <f>ROUND('Criaturas - Base de Dados'!K136*'Sistema de Raridade e Evolução'!E5,0)</f>
        <v>2196</v>
      </c>
      <c r="J809" s="8">
        <f>'Sistema de Raridade e Evolução'!D5</f>
        <v>31</v>
      </c>
      <c r="K809" s="8" t="s">
        <v>11</v>
      </c>
      <c r="L809" s="9">
        <f t="shared" si="12"/>
        <v>1628571.43</v>
      </c>
    </row>
    <row r="810" spans="1:12" ht="14.25" hidden="1" customHeight="1" x14ac:dyDescent="0.3">
      <c r="A810" s="8">
        <v>809</v>
      </c>
      <c r="B810" s="8" t="str">
        <f>'Criaturas - Base de Dados'!B136</f>
        <v>Tempestade Rúnica</v>
      </c>
      <c r="C810" s="8" t="str">
        <f>'Criaturas - Base de Dados'!C136</f>
        <v>Trovão</v>
      </c>
      <c r="D810" s="8" t="str">
        <f>'Criaturas - Base de Dados'!D136</f>
        <v>Fera do Tufão</v>
      </c>
      <c r="E810" s="8" t="str">
        <f>'Sistema de Raridade e Evolução'!B6</f>
        <v>Platina</v>
      </c>
      <c r="F810" s="9">
        <f>ROUND(('Criaturas - Base de Dados'!H136*'Sistema de Raridade e Evolução'!E6)*1000,2)</f>
        <v>1900000</v>
      </c>
      <c r="G810" s="8">
        <f>ROUND('Criaturas - Base de Dados'!I136*'Sistema de Raridade e Evolução'!E6,0)</f>
        <v>1150</v>
      </c>
      <c r="H810" s="8">
        <f>ROUND('Criaturas - Base de Dados'!J136*'Sistema de Raridade e Evolução'!E6,0)</f>
        <v>950</v>
      </c>
      <c r="I810" s="8">
        <f>ROUND('Criaturas - Base de Dados'!K136*'Sistema de Raridade e Evolução'!E6,0)</f>
        <v>6100</v>
      </c>
      <c r="J810" s="8">
        <f>'Sistema de Raridade e Evolução'!D6</f>
        <v>56</v>
      </c>
      <c r="K810" s="8" t="s">
        <v>12</v>
      </c>
      <c r="L810" s="9">
        <f t="shared" si="12"/>
        <v>4523809.5199999996</v>
      </c>
    </row>
    <row r="811" spans="1:12" ht="14.25" hidden="1" customHeight="1" x14ac:dyDescent="0.3">
      <c r="A811" s="8">
        <v>810</v>
      </c>
      <c r="B811" s="8" t="str">
        <f>'Criaturas - Base de Dados'!B136</f>
        <v>Tempestade Rúnica</v>
      </c>
      <c r="C811" s="8" t="str">
        <f>'Criaturas - Base de Dados'!C136</f>
        <v>Trovão</v>
      </c>
      <c r="D811" s="8" t="str">
        <f>'Criaturas - Base de Dados'!D136</f>
        <v>Fera do Tufão</v>
      </c>
      <c r="E811" s="8" t="str">
        <f>'Sistema de Raridade e Evolução'!B7</f>
        <v>Lendário</v>
      </c>
      <c r="F811" s="9">
        <f>ROUND(('Criaturas - Base de Dados'!H136*'Sistema de Raridade e Evolução'!E7)*1000,2)</f>
        <v>5700000</v>
      </c>
      <c r="G811" s="8">
        <f>ROUND('Criaturas - Base de Dados'!I136*'Sistema de Raridade e Evolução'!E7,0)</f>
        <v>3450</v>
      </c>
      <c r="H811" s="8">
        <f>ROUND('Criaturas - Base de Dados'!J136*'Sistema de Raridade e Evolução'!E7,0)</f>
        <v>2850</v>
      </c>
      <c r="I811" s="8">
        <f>ROUND('Criaturas - Base de Dados'!K136*'Sistema de Raridade e Evolução'!E7,0)</f>
        <v>18300</v>
      </c>
      <c r="J811" s="8">
        <f>'Sistema de Raridade e Evolução'!D7</f>
        <v>91</v>
      </c>
      <c r="K811" s="8" t="s">
        <v>925</v>
      </c>
      <c r="L811" s="9">
        <f t="shared" si="12"/>
        <v>13571428.57</v>
      </c>
    </row>
    <row r="812" spans="1:12" ht="14.25" customHeight="1" x14ac:dyDescent="0.3">
      <c r="A812" s="8">
        <v>811</v>
      </c>
      <c r="B812" s="8" t="str">
        <f>'Criaturas - Base de Dados'!B137</f>
        <v>Tempestade Rúnica</v>
      </c>
      <c r="C812" s="8" t="str">
        <f>'Criaturas - Base de Dados'!C137</f>
        <v>Trovão</v>
      </c>
      <c r="D812" s="8" t="str">
        <f>'Criaturas - Base de Dados'!D137</f>
        <v>Serpente do Vendaval</v>
      </c>
      <c r="E812" s="8" t="str">
        <f>'Sistema de Raridade e Evolução'!B2</f>
        <v>Default</v>
      </c>
      <c r="F812" s="9" t="e">
        <f>ROUND(('Criaturas - Base de Dados'!H137*'Sistema de Raridade e Evolução'!E2)*1000,2)</f>
        <v>#VALUE!</v>
      </c>
      <c r="G812" s="8" t="e">
        <f>ROUND('Criaturas - Base de Dados'!I137*'Sistema de Raridade e Evolução'!E2,0)</f>
        <v>#VALUE!</v>
      </c>
      <c r="H812" s="8" t="e">
        <f>ROUND('Criaturas - Base de Dados'!J137*'Sistema de Raridade e Evolução'!E2,0)</f>
        <v>#VALUE!</v>
      </c>
      <c r="I812" s="8" t="e">
        <f>ROUND('Criaturas - Base de Dados'!K137*'Sistema de Raridade e Evolução'!E2,0)</f>
        <v>#VALUE!</v>
      </c>
      <c r="J812" s="8">
        <f>'Sistema de Raridade e Evolução'!D2</f>
        <v>1</v>
      </c>
      <c r="K812" s="8" t="s">
        <v>8</v>
      </c>
      <c r="L812" s="9" t="e">
        <f t="shared" si="12"/>
        <v>#VALUE!</v>
      </c>
    </row>
    <row r="813" spans="1:12" ht="14.25" hidden="1" customHeight="1" x14ac:dyDescent="0.3">
      <c r="A813" s="8">
        <v>812</v>
      </c>
      <c r="B813" s="8" t="str">
        <f>'Criaturas - Base de Dados'!B137</f>
        <v>Tempestade Rúnica</v>
      </c>
      <c r="C813" s="8" t="str">
        <f>'Criaturas - Base de Dados'!C137</f>
        <v>Trovão</v>
      </c>
      <c r="D813" s="8" t="str">
        <f>'Criaturas - Base de Dados'!D137</f>
        <v>Serpente do Vendaval</v>
      </c>
      <c r="E813" s="8" t="str">
        <f>'Sistema de Raridade e Evolução'!B3</f>
        <v>Bronze</v>
      </c>
      <c r="F813" s="9">
        <f>ROUND(('Criaturas - Base de Dados'!H137*'Sistema de Raridade e Evolução'!E3)*1000,2)</f>
        <v>54000</v>
      </c>
      <c r="G813" s="8">
        <f>ROUND('Criaturas - Base de Dados'!I137*'Sistema de Raridade e Evolução'!E3,0)</f>
        <v>32</v>
      </c>
      <c r="H813" s="8">
        <f>ROUND('Criaturas - Base de Dados'!J137*'Sistema de Raridade e Evolução'!E3,0)</f>
        <v>27</v>
      </c>
      <c r="I813" s="8">
        <f>ROUND('Criaturas - Base de Dados'!K137*'Sistema de Raridade e Evolução'!E3,0)</f>
        <v>173</v>
      </c>
      <c r="J813" s="8">
        <f>'Sistema de Raridade e Evolução'!D3</f>
        <v>6</v>
      </c>
      <c r="K813" s="8" t="s">
        <v>9</v>
      </c>
      <c r="L813" s="9">
        <f t="shared" si="12"/>
        <v>128571.43</v>
      </c>
    </row>
    <row r="814" spans="1:12" ht="14.25" hidden="1" customHeight="1" x14ac:dyDescent="0.3">
      <c r="A814" s="8">
        <v>813</v>
      </c>
      <c r="B814" s="8" t="str">
        <f>'Criaturas - Base de Dados'!B137</f>
        <v>Tempestade Rúnica</v>
      </c>
      <c r="C814" s="8" t="str">
        <f>'Criaturas - Base de Dados'!C137</f>
        <v>Trovão</v>
      </c>
      <c r="D814" s="8" t="str">
        <f>'Criaturas - Base de Dados'!D137</f>
        <v>Serpente do Vendaval</v>
      </c>
      <c r="E814" s="8" t="str">
        <f>'Sistema de Raridade e Evolução'!B4</f>
        <v>Prata</v>
      </c>
      <c r="F814" s="9">
        <f>ROUND(('Criaturas - Base de Dados'!H137*'Sistema de Raridade e Evolução'!E4)*1000,2)</f>
        <v>324000</v>
      </c>
      <c r="G814" s="8">
        <f>ROUND('Criaturas - Base de Dados'!I137*'Sistema de Raridade e Evolução'!E4,0)</f>
        <v>192</v>
      </c>
      <c r="H814" s="8">
        <f>ROUND('Criaturas - Base de Dados'!J137*'Sistema de Raridade e Evolução'!E4,0)</f>
        <v>162</v>
      </c>
      <c r="I814" s="8">
        <f>ROUND('Criaturas - Base de Dados'!K137*'Sistema de Raridade e Evolução'!E4,0)</f>
        <v>1038</v>
      </c>
      <c r="J814" s="8">
        <f>'Sistema de Raridade e Evolução'!D4</f>
        <v>16</v>
      </c>
      <c r="K814" s="8" t="s">
        <v>10</v>
      </c>
      <c r="L814" s="9">
        <f t="shared" si="12"/>
        <v>771428.57</v>
      </c>
    </row>
    <row r="815" spans="1:12" ht="14.25" hidden="1" customHeight="1" x14ac:dyDescent="0.3">
      <c r="A815" s="8">
        <v>814</v>
      </c>
      <c r="B815" s="8" t="str">
        <f>'Criaturas - Base de Dados'!B137</f>
        <v>Tempestade Rúnica</v>
      </c>
      <c r="C815" s="8" t="str">
        <f>'Criaturas - Base de Dados'!C137</f>
        <v>Trovão</v>
      </c>
      <c r="D815" s="8" t="str">
        <f>'Criaturas - Base de Dados'!D137</f>
        <v>Serpente do Vendaval</v>
      </c>
      <c r="E815" s="8" t="str">
        <f>'Sistema de Raridade e Evolução'!B5</f>
        <v>Ouro</v>
      </c>
      <c r="F815" s="9">
        <f>ROUND(('Criaturas - Base de Dados'!H137*'Sistema de Raridade e Evolução'!E5)*1000,2)</f>
        <v>972000</v>
      </c>
      <c r="G815" s="8">
        <f>ROUND('Criaturas - Base de Dados'!I137*'Sistema de Raridade e Evolução'!E5,0)</f>
        <v>576</v>
      </c>
      <c r="H815" s="8">
        <f>ROUND('Criaturas - Base de Dados'!J137*'Sistema de Raridade e Evolução'!E5,0)</f>
        <v>486</v>
      </c>
      <c r="I815" s="8">
        <f>ROUND('Criaturas - Base de Dados'!K137*'Sistema de Raridade e Evolução'!E5,0)</f>
        <v>3114</v>
      </c>
      <c r="J815" s="8">
        <f>'Sistema de Raridade e Evolução'!D5</f>
        <v>31</v>
      </c>
      <c r="K815" s="8" t="s">
        <v>11</v>
      </c>
      <c r="L815" s="9">
        <f t="shared" si="12"/>
        <v>2314285.71</v>
      </c>
    </row>
    <row r="816" spans="1:12" ht="14.25" hidden="1" customHeight="1" x14ac:dyDescent="0.3">
      <c r="A816" s="8">
        <v>815</v>
      </c>
      <c r="B816" s="8" t="str">
        <f>'Criaturas - Base de Dados'!B137</f>
        <v>Tempestade Rúnica</v>
      </c>
      <c r="C816" s="8" t="str">
        <f>'Criaturas - Base de Dados'!C137</f>
        <v>Trovão</v>
      </c>
      <c r="D816" s="8" t="str">
        <f>'Criaturas - Base de Dados'!D137</f>
        <v>Serpente do Vendaval</v>
      </c>
      <c r="E816" s="8" t="str">
        <f>'Sistema de Raridade e Evolução'!B6</f>
        <v>Platina</v>
      </c>
      <c r="F816" s="9">
        <f>ROUND(('Criaturas - Base de Dados'!H137*'Sistema de Raridade e Evolução'!E6)*1000,2)</f>
        <v>2700000</v>
      </c>
      <c r="G816" s="8">
        <f>ROUND('Criaturas - Base de Dados'!I137*'Sistema de Raridade e Evolução'!E6,0)</f>
        <v>1600</v>
      </c>
      <c r="H816" s="8">
        <f>ROUND('Criaturas - Base de Dados'!J137*'Sistema de Raridade e Evolução'!E6,0)</f>
        <v>1350</v>
      </c>
      <c r="I816" s="8">
        <f>ROUND('Criaturas - Base de Dados'!K137*'Sistema de Raridade e Evolução'!E6,0)</f>
        <v>8650</v>
      </c>
      <c r="J816" s="8">
        <f>'Sistema de Raridade e Evolução'!D6</f>
        <v>56</v>
      </c>
      <c r="K816" s="8" t="s">
        <v>12</v>
      </c>
      <c r="L816" s="9">
        <f t="shared" si="12"/>
        <v>6428571.4299999997</v>
      </c>
    </row>
    <row r="817" spans="1:12" ht="14.25" hidden="1" customHeight="1" x14ac:dyDescent="0.3">
      <c r="A817" s="8">
        <v>816</v>
      </c>
      <c r="B817" s="8" t="str">
        <f>'Criaturas - Base de Dados'!B137</f>
        <v>Tempestade Rúnica</v>
      </c>
      <c r="C817" s="8" t="str">
        <f>'Criaturas - Base de Dados'!C137</f>
        <v>Trovão</v>
      </c>
      <c r="D817" s="8" t="str">
        <f>'Criaturas - Base de Dados'!D137</f>
        <v>Serpente do Vendaval</v>
      </c>
      <c r="E817" s="8" t="str">
        <f>'Sistema de Raridade e Evolução'!B7</f>
        <v>Lendário</v>
      </c>
      <c r="F817" s="9">
        <f>ROUND(('Criaturas - Base de Dados'!H137*'Sistema de Raridade e Evolução'!E7)*1000,2)</f>
        <v>8100000</v>
      </c>
      <c r="G817" s="8">
        <f>ROUND('Criaturas - Base de Dados'!I137*'Sistema de Raridade e Evolução'!E7,0)</f>
        <v>4800</v>
      </c>
      <c r="H817" s="8">
        <f>ROUND('Criaturas - Base de Dados'!J137*'Sistema de Raridade e Evolução'!E7,0)</f>
        <v>4050</v>
      </c>
      <c r="I817" s="8">
        <f>ROUND('Criaturas - Base de Dados'!K137*'Sistema de Raridade e Evolução'!E7,0)</f>
        <v>25950</v>
      </c>
      <c r="J817" s="8">
        <f>'Sistema de Raridade e Evolução'!D7</f>
        <v>91</v>
      </c>
      <c r="K817" s="8" t="s">
        <v>925</v>
      </c>
      <c r="L817" s="9">
        <f t="shared" si="12"/>
        <v>19285714.289999999</v>
      </c>
    </row>
    <row r="818" spans="1:12" ht="14.25" customHeight="1" x14ac:dyDescent="0.3">
      <c r="A818" s="8">
        <v>817</v>
      </c>
      <c r="B818" s="8" t="str">
        <f>'Criaturas - Base de Dados'!B138</f>
        <v>Tempestade Rúnica</v>
      </c>
      <c r="C818" s="8" t="str">
        <f>'Criaturas - Base de Dados'!C138</f>
        <v>Trovão</v>
      </c>
      <c r="D818" s="8" t="str">
        <f>'Criaturas - Base de Dados'!D138</f>
        <v>Falcão Elétrico</v>
      </c>
      <c r="E818" s="8" t="str">
        <f>'Sistema de Raridade e Evolução'!B2</f>
        <v>Default</v>
      </c>
      <c r="F818" s="9" t="e">
        <f>ROUND(('Criaturas - Base de Dados'!H138*'Sistema de Raridade e Evolução'!E2)*1000,2)</f>
        <v>#VALUE!</v>
      </c>
      <c r="G818" s="8" t="e">
        <f>ROUND('Criaturas - Base de Dados'!I138*'Sistema de Raridade e Evolução'!E2,0)</f>
        <v>#VALUE!</v>
      </c>
      <c r="H818" s="8" t="e">
        <f>ROUND('Criaturas - Base de Dados'!J138*'Sistema de Raridade e Evolução'!E2,0)</f>
        <v>#VALUE!</v>
      </c>
      <c r="I818" s="8" t="e">
        <f>ROUND('Criaturas - Base de Dados'!K138*'Sistema de Raridade e Evolução'!E2,0)</f>
        <v>#VALUE!</v>
      </c>
      <c r="J818" s="8">
        <f>'Sistema de Raridade e Evolução'!D2</f>
        <v>1</v>
      </c>
      <c r="K818" s="8" t="s">
        <v>8</v>
      </c>
      <c r="L818" s="9" t="e">
        <f t="shared" si="12"/>
        <v>#VALUE!</v>
      </c>
    </row>
    <row r="819" spans="1:12" ht="14.25" hidden="1" customHeight="1" x14ac:dyDescent="0.3">
      <c r="A819" s="8">
        <v>818</v>
      </c>
      <c r="B819" s="8" t="str">
        <f>'Criaturas - Base de Dados'!B138</f>
        <v>Tempestade Rúnica</v>
      </c>
      <c r="C819" s="8" t="str">
        <f>'Criaturas - Base de Dados'!C138</f>
        <v>Trovão</v>
      </c>
      <c r="D819" s="8" t="str">
        <f>'Criaturas - Base de Dados'!D138</f>
        <v>Falcão Elétrico</v>
      </c>
      <c r="E819" s="8" t="str">
        <f>'Sistema de Raridade e Evolução'!B3</f>
        <v>Bronze</v>
      </c>
      <c r="F819" s="9">
        <f>ROUND(('Criaturas - Base de Dados'!H138*'Sistema de Raridade e Evolução'!E3)*1000,2)</f>
        <v>48000</v>
      </c>
      <c r="G819" s="8">
        <f>ROUND('Criaturas - Base de Dados'!I138*'Sistema de Raridade e Evolução'!E3,0)</f>
        <v>29</v>
      </c>
      <c r="H819" s="8">
        <f>ROUND('Criaturas - Base de Dados'!J138*'Sistema de Raridade e Evolução'!E3,0)</f>
        <v>24</v>
      </c>
      <c r="I819" s="8">
        <f>ROUND('Criaturas - Base de Dados'!K138*'Sistema de Raridade e Evolução'!E3,0)</f>
        <v>154</v>
      </c>
      <c r="J819" s="8">
        <f>'Sistema de Raridade e Evolução'!D3</f>
        <v>6</v>
      </c>
      <c r="K819" s="8" t="s">
        <v>9</v>
      </c>
      <c r="L819" s="9">
        <f t="shared" si="12"/>
        <v>114285.71</v>
      </c>
    </row>
    <row r="820" spans="1:12" ht="14.25" hidden="1" customHeight="1" x14ac:dyDescent="0.3">
      <c r="A820" s="8">
        <v>819</v>
      </c>
      <c r="B820" s="8" t="str">
        <f>'Criaturas - Base de Dados'!B138</f>
        <v>Tempestade Rúnica</v>
      </c>
      <c r="C820" s="8" t="str">
        <f>'Criaturas - Base de Dados'!C138</f>
        <v>Trovão</v>
      </c>
      <c r="D820" s="8" t="str">
        <f>'Criaturas - Base de Dados'!D138</f>
        <v>Falcão Elétrico</v>
      </c>
      <c r="E820" s="8" t="str">
        <f>'Sistema de Raridade e Evolução'!B4</f>
        <v>Prata</v>
      </c>
      <c r="F820" s="9">
        <f>ROUND(('Criaturas - Base de Dados'!H138*'Sistema de Raridade e Evolução'!E4)*1000,2)</f>
        <v>288000</v>
      </c>
      <c r="G820" s="8">
        <f>ROUND('Criaturas - Base de Dados'!I138*'Sistema de Raridade e Evolução'!E4,0)</f>
        <v>174</v>
      </c>
      <c r="H820" s="8">
        <f>ROUND('Criaturas - Base de Dados'!J138*'Sistema de Raridade e Evolução'!E4,0)</f>
        <v>144</v>
      </c>
      <c r="I820" s="8">
        <f>ROUND('Criaturas - Base de Dados'!K138*'Sistema de Raridade e Evolução'!E4,0)</f>
        <v>924</v>
      </c>
      <c r="J820" s="8">
        <f>'Sistema de Raridade e Evolução'!D4</f>
        <v>16</v>
      </c>
      <c r="K820" s="8" t="s">
        <v>10</v>
      </c>
      <c r="L820" s="9">
        <f t="shared" si="12"/>
        <v>685714.29</v>
      </c>
    </row>
    <row r="821" spans="1:12" ht="14.25" hidden="1" customHeight="1" x14ac:dyDescent="0.3">
      <c r="A821" s="8">
        <v>820</v>
      </c>
      <c r="B821" s="8" t="str">
        <f>'Criaturas - Base de Dados'!B138</f>
        <v>Tempestade Rúnica</v>
      </c>
      <c r="C821" s="8" t="str">
        <f>'Criaturas - Base de Dados'!C138</f>
        <v>Trovão</v>
      </c>
      <c r="D821" s="8" t="str">
        <f>'Criaturas - Base de Dados'!D138</f>
        <v>Falcão Elétrico</v>
      </c>
      <c r="E821" s="8" t="str">
        <f>'Sistema de Raridade e Evolução'!B5</f>
        <v>Ouro</v>
      </c>
      <c r="F821" s="9">
        <f>ROUND(('Criaturas - Base de Dados'!H138*'Sistema de Raridade e Evolução'!E5)*1000,2)</f>
        <v>864000</v>
      </c>
      <c r="G821" s="8">
        <f>ROUND('Criaturas - Base de Dados'!I138*'Sistema de Raridade e Evolução'!E5,0)</f>
        <v>522</v>
      </c>
      <c r="H821" s="8">
        <f>ROUND('Criaturas - Base de Dados'!J138*'Sistema de Raridade e Evolução'!E5,0)</f>
        <v>432</v>
      </c>
      <c r="I821" s="8">
        <f>ROUND('Criaturas - Base de Dados'!K138*'Sistema de Raridade e Evolução'!E5,0)</f>
        <v>2772</v>
      </c>
      <c r="J821" s="8">
        <f>'Sistema de Raridade e Evolução'!D5</f>
        <v>31</v>
      </c>
      <c r="K821" s="8" t="s">
        <v>11</v>
      </c>
      <c r="L821" s="9">
        <f t="shared" si="12"/>
        <v>2057142.86</v>
      </c>
    </row>
    <row r="822" spans="1:12" ht="14.25" hidden="1" customHeight="1" x14ac:dyDescent="0.3">
      <c r="A822" s="8">
        <v>821</v>
      </c>
      <c r="B822" s="8" t="str">
        <f>'Criaturas - Base de Dados'!B138</f>
        <v>Tempestade Rúnica</v>
      </c>
      <c r="C822" s="8" t="str">
        <f>'Criaturas - Base de Dados'!C138</f>
        <v>Trovão</v>
      </c>
      <c r="D822" s="8" t="str">
        <f>'Criaturas - Base de Dados'!D138</f>
        <v>Falcão Elétrico</v>
      </c>
      <c r="E822" s="8" t="str">
        <f>'Sistema de Raridade e Evolução'!B6</f>
        <v>Platina</v>
      </c>
      <c r="F822" s="9">
        <f>ROUND(('Criaturas - Base de Dados'!H138*'Sistema de Raridade e Evolução'!E6)*1000,2)</f>
        <v>2400000</v>
      </c>
      <c r="G822" s="8">
        <f>ROUND('Criaturas - Base de Dados'!I138*'Sistema de Raridade e Evolução'!E6,0)</f>
        <v>1450</v>
      </c>
      <c r="H822" s="8">
        <f>ROUND('Criaturas - Base de Dados'!J138*'Sistema de Raridade e Evolução'!E6,0)</f>
        <v>1200</v>
      </c>
      <c r="I822" s="8">
        <f>ROUND('Criaturas - Base de Dados'!K138*'Sistema de Raridade e Evolução'!E6,0)</f>
        <v>7700</v>
      </c>
      <c r="J822" s="8">
        <f>'Sistema de Raridade e Evolução'!D6</f>
        <v>56</v>
      </c>
      <c r="K822" s="8" t="s">
        <v>12</v>
      </c>
      <c r="L822" s="9">
        <f t="shared" si="12"/>
        <v>5714285.71</v>
      </c>
    </row>
    <row r="823" spans="1:12" ht="14.25" hidden="1" customHeight="1" x14ac:dyDescent="0.3">
      <c r="A823" s="8">
        <v>822</v>
      </c>
      <c r="B823" s="8" t="str">
        <f>'Criaturas - Base de Dados'!B138</f>
        <v>Tempestade Rúnica</v>
      </c>
      <c r="C823" s="8" t="str">
        <f>'Criaturas - Base de Dados'!C138</f>
        <v>Trovão</v>
      </c>
      <c r="D823" s="8" t="str">
        <f>'Criaturas - Base de Dados'!D138</f>
        <v>Falcão Elétrico</v>
      </c>
      <c r="E823" s="8" t="str">
        <f>'Sistema de Raridade e Evolução'!B7</f>
        <v>Lendário</v>
      </c>
      <c r="F823" s="9">
        <f>ROUND(('Criaturas - Base de Dados'!H138*'Sistema de Raridade e Evolução'!E7)*1000,2)</f>
        <v>7200000</v>
      </c>
      <c r="G823" s="8">
        <f>ROUND('Criaturas - Base de Dados'!I138*'Sistema de Raridade e Evolução'!E7,0)</f>
        <v>4350</v>
      </c>
      <c r="H823" s="8">
        <f>ROUND('Criaturas - Base de Dados'!J138*'Sistema de Raridade e Evolução'!E7,0)</f>
        <v>3600</v>
      </c>
      <c r="I823" s="8">
        <f>ROUND('Criaturas - Base de Dados'!K138*'Sistema de Raridade e Evolução'!E7,0)</f>
        <v>23100</v>
      </c>
      <c r="J823" s="8">
        <f>'Sistema de Raridade e Evolução'!D7</f>
        <v>91</v>
      </c>
      <c r="K823" s="8" t="s">
        <v>925</v>
      </c>
      <c r="L823" s="9">
        <f t="shared" si="12"/>
        <v>17142857.140000001</v>
      </c>
    </row>
    <row r="824" spans="1:12" ht="14.25" customHeight="1" x14ac:dyDescent="0.3">
      <c r="A824" s="8">
        <v>823</v>
      </c>
      <c r="B824" s="8" t="str">
        <f>'Criaturas - Base de Dados'!B139</f>
        <v>Tempestade Rúnica</v>
      </c>
      <c r="C824" s="8" t="str">
        <f>'Criaturas - Base de Dados'!C139</f>
        <v>Trovão</v>
      </c>
      <c r="D824" s="8" t="str">
        <f>'Criaturas - Base de Dados'!D139</f>
        <v>Coruja da Tormenta</v>
      </c>
      <c r="E824" s="8" t="str">
        <f>'Sistema de Raridade e Evolução'!B2</f>
        <v>Default</v>
      </c>
      <c r="F824" s="9" t="e">
        <f>ROUND(('Criaturas - Base de Dados'!H139*'Sistema de Raridade e Evolução'!E2)*1000,2)</f>
        <v>#VALUE!</v>
      </c>
      <c r="G824" s="8" t="e">
        <f>ROUND('Criaturas - Base de Dados'!I139*'Sistema de Raridade e Evolução'!E2,0)</f>
        <v>#VALUE!</v>
      </c>
      <c r="H824" s="8" t="e">
        <f>ROUND('Criaturas - Base de Dados'!J139*'Sistema de Raridade e Evolução'!E2,0)</f>
        <v>#VALUE!</v>
      </c>
      <c r="I824" s="8" t="e">
        <f>ROUND('Criaturas - Base de Dados'!K139*'Sistema de Raridade e Evolução'!E2,0)</f>
        <v>#VALUE!</v>
      </c>
      <c r="J824" s="8">
        <f>'Sistema de Raridade e Evolução'!D2</f>
        <v>1</v>
      </c>
      <c r="K824" s="8" t="s">
        <v>8</v>
      </c>
      <c r="L824" s="9" t="e">
        <f t="shared" si="12"/>
        <v>#VALUE!</v>
      </c>
    </row>
    <row r="825" spans="1:12" ht="14.25" hidden="1" customHeight="1" x14ac:dyDescent="0.3">
      <c r="A825" s="8">
        <v>824</v>
      </c>
      <c r="B825" s="8" t="str">
        <f>'Criaturas - Base de Dados'!B139</f>
        <v>Tempestade Rúnica</v>
      </c>
      <c r="C825" s="8" t="str">
        <f>'Criaturas - Base de Dados'!C139</f>
        <v>Trovão</v>
      </c>
      <c r="D825" s="8" t="str">
        <f>'Criaturas - Base de Dados'!D139</f>
        <v>Coruja da Tormenta</v>
      </c>
      <c r="E825" s="8" t="str">
        <f>'Sistema de Raridade e Evolução'!B3</f>
        <v>Bronze</v>
      </c>
      <c r="F825" s="9">
        <f>ROUND(('Criaturas - Base de Dados'!H139*'Sistema de Raridade e Evolução'!E3)*1000,2)</f>
        <v>50000</v>
      </c>
      <c r="G825" s="8">
        <f>ROUND('Criaturas - Base de Dados'!I139*'Sistema de Raridade e Evolução'!E3,0)</f>
        <v>30</v>
      </c>
      <c r="H825" s="8">
        <f>ROUND('Criaturas - Base de Dados'!J139*'Sistema de Raridade e Evolução'!E3,0)</f>
        <v>25</v>
      </c>
      <c r="I825" s="8">
        <f>ROUND('Criaturas - Base de Dados'!K139*'Sistema de Raridade e Evolução'!E3,0)</f>
        <v>160</v>
      </c>
      <c r="J825" s="8">
        <f>'Sistema de Raridade e Evolução'!D3</f>
        <v>6</v>
      </c>
      <c r="K825" s="8" t="s">
        <v>9</v>
      </c>
      <c r="L825" s="9">
        <f t="shared" si="12"/>
        <v>119047.62</v>
      </c>
    </row>
    <row r="826" spans="1:12" ht="14.25" hidden="1" customHeight="1" x14ac:dyDescent="0.3">
      <c r="A826" s="8">
        <v>825</v>
      </c>
      <c r="B826" s="8" t="str">
        <f>'Criaturas - Base de Dados'!B139</f>
        <v>Tempestade Rúnica</v>
      </c>
      <c r="C826" s="8" t="str">
        <f>'Criaturas - Base de Dados'!C139</f>
        <v>Trovão</v>
      </c>
      <c r="D826" s="8" t="str">
        <f>'Criaturas - Base de Dados'!D139</f>
        <v>Coruja da Tormenta</v>
      </c>
      <c r="E826" s="8" t="str">
        <f>'Sistema de Raridade e Evolução'!B4</f>
        <v>Prata</v>
      </c>
      <c r="F826" s="9">
        <f>ROUND(('Criaturas - Base de Dados'!H139*'Sistema de Raridade e Evolução'!E4)*1000,2)</f>
        <v>300000</v>
      </c>
      <c r="G826" s="8">
        <f>ROUND('Criaturas - Base de Dados'!I139*'Sistema de Raridade e Evolução'!E4,0)</f>
        <v>180</v>
      </c>
      <c r="H826" s="8">
        <f>ROUND('Criaturas - Base de Dados'!J139*'Sistema de Raridade e Evolução'!E4,0)</f>
        <v>150</v>
      </c>
      <c r="I826" s="8">
        <f>ROUND('Criaturas - Base de Dados'!K139*'Sistema de Raridade e Evolução'!E4,0)</f>
        <v>960</v>
      </c>
      <c r="J826" s="8">
        <f>'Sistema de Raridade e Evolução'!D4</f>
        <v>16</v>
      </c>
      <c r="K826" s="8" t="s">
        <v>10</v>
      </c>
      <c r="L826" s="9">
        <f t="shared" si="12"/>
        <v>714285.71</v>
      </c>
    </row>
    <row r="827" spans="1:12" ht="14.25" hidden="1" customHeight="1" x14ac:dyDescent="0.3">
      <c r="A827" s="8">
        <v>826</v>
      </c>
      <c r="B827" s="8" t="str">
        <f>'Criaturas - Base de Dados'!B139</f>
        <v>Tempestade Rúnica</v>
      </c>
      <c r="C827" s="8" t="str">
        <f>'Criaturas - Base de Dados'!C139</f>
        <v>Trovão</v>
      </c>
      <c r="D827" s="8" t="str">
        <f>'Criaturas - Base de Dados'!D139</f>
        <v>Coruja da Tormenta</v>
      </c>
      <c r="E827" s="8" t="str">
        <f>'Sistema de Raridade e Evolução'!B5</f>
        <v>Ouro</v>
      </c>
      <c r="F827" s="9">
        <f>ROUND(('Criaturas - Base de Dados'!H139*'Sistema de Raridade e Evolução'!E5)*1000,2)</f>
        <v>900000</v>
      </c>
      <c r="G827" s="8">
        <f>ROUND('Criaturas - Base de Dados'!I139*'Sistema de Raridade e Evolução'!E5,0)</f>
        <v>540</v>
      </c>
      <c r="H827" s="8">
        <f>ROUND('Criaturas - Base de Dados'!J139*'Sistema de Raridade e Evolução'!E5,0)</f>
        <v>450</v>
      </c>
      <c r="I827" s="8">
        <f>ROUND('Criaturas - Base de Dados'!K139*'Sistema de Raridade e Evolução'!E5,0)</f>
        <v>2880</v>
      </c>
      <c r="J827" s="8">
        <f>'Sistema de Raridade e Evolução'!D5</f>
        <v>31</v>
      </c>
      <c r="K827" s="8" t="s">
        <v>11</v>
      </c>
      <c r="L827" s="9">
        <f t="shared" si="12"/>
        <v>2142857.14</v>
      </c>
    </row>
    <row r="828" spans="1:12" ht="14.25" hidden="1" customHeight="1" x14ac:dyDescent="0.3">
      <c r="A828" s="8">
        <v>827</v>
      </c>
      <c r="B828" s="8" t="str">
        <f>'Criaturas - Base de Dados'!B139</f>
        <v>Tempestade Rúnica</v>
      </c>
      <c r="C828" s="8" t="str">
        <f>'Criaturas - Base de Dados'!C139</f>
        <v>Trovão</v>
      </c>
      <c r="D828" s="8" t="str">
        <f>'Criaturas - Base de Dados'!D139</f>
        <v>Coruja da Tormenta</v>
      </c>
      <c r="E828" s="8" t="str">
        <f>'Sistema de Raridade e Evolução'!B6</f>
        <v>Platina</v>
      </c>
      <c r="F828" s="9">
        <f>ROUND(('Criaturas - Base de Dados'!H139*'Sistema de Raridade e Evolução'!E6)*1000,2)</f>
        <v>2500000</v>
      </c>
      <c r="G828" s="8">
        <f>ROUND('Criaturas - Base de Dados'!I139*'Sistema de Raridade e Evolução'!E6,0)</f>
        <v>1500</v>
      </c>
      <c r="H828" s="8">
        <f>ROUND('Criaturas - Base de Dados'!J139*'Sistema de Raridade e Evolução'!E6,0)</f>
        <v>1250</v>
      </c>
      <c r="I828" s="8">
        <f>ROUND('Criaturas - Base de Dados'!K139*'Sistema de Raridade e Evolução'!E6,0)</f>
        <v>8000</v>
      </c>
      <c r="J828" s="8">
        <f>'Sistema de Raridade e Evolução'!D6</f>
        <v>56</v>
      </c>
      <c r="K828" s="8" t="s">
        <v>12</v>
      </c>
      <c r="L828" s="9">
        <f t="shared" si="12"/>
        <v>5952380.9500000002</v>
      </c>
    </row>
    <row r="829" spans="1:12" ht="14.25" hidden="1" customHeight="1" x14ac:dyDescent="0.3">
      <c r="A829" s="8">
        <v>828</v>
      </c>
      <c r="B829" s="8" t="str">
        <f>'Criaturas - Base de Dados'!B139</f>
        <v>Tempestade Rúnica</v>
      </c>
      <c r="C829" s="8" t="str">
        <f>'Criaturas - Base de Dados'!C139</f>
        <v>Trovão</v>
      </c>
      <c r="D829" s="8" t="str">
        <f>'Criaturas - Base de Dados'!D139</f>
        <v>Coruja da Tormenta</v>
      </c>
      <c r="E829" s="8" t="str">
        <f>'Sistema de Raridade e Evolução'!B7</f>
        <v>Lendário</v>
      </c>
      <c r="F829" s="9">
        <f>ROUND(('Criaturas - Base de Dados'!H139*'Sistema de Raridade e Evolução'!E7)*1000,2)</f>
        <v>7500000</v>
      </c>
      <c r="G829" s="8">
        <f>ROUND('Criaturas - Base de Dados'!I139*'Sistema de Raridade e Evolução'!E7,0)</f>
        <v>4500</v>
      </c>
      <c r="H829" s="8">
        <f>ROUND('Criaturas - Base de Dados'!J139*'Sistema de Raridade e Evolução'!E7,0)</f>
        <v>3750</v>
      </c>
      <c r="I829" s="8">
        <f>ROUND('Criaturas - Base de Dados'!K139*'Sistema de Raridade e Evolução'!E7,0)</f>
        <v>24000</v>
      </c>
      <c r="J829" s="8">
        <f>'Sistema de Raridade e Evolução'!D7</f>
        <v>91</v>
      </c>
      <c r="K829" s="8" t="s">
        <v>925</v>
      </c>
      <c r="L829" s="9">
        <f t="shared" si="12"/>
        <v>17857142.859999999</v>
      </c>
    </row>
    <row r="830" spans="1:12" ht="14.25" customHeight="1" x14ac:dyDescent="0.3">
      <c r="A830" s="8">
        <v>829</v>
      </c>
      <c r="B830" s="8" t="str">
        <f>'Criaturas - Base de Dados'!B140</f>
        <v>Tempestade Rúnica</v>
      </c>
      <c r="C830" s="8" t="str">
        <f>'Criaturas - Base de Dados'!C140</f>
        <v>Trovão</v>
      </c>
      <c r="D830" s="8" t="str">
        <f>'Criaturas - Base de Dados'!D140</f>
        <v>Wisp Elétrico</v>
      </c>
      <c r="E830" s="8" t="str">
        <f>'Sistema de Raridade e Evolução'!B2</f>
        <v>Default</v>
      </c>
      <c r="F830" s="9" t="e">
        <f>ROUND(('Criaturas - Base de Dados'!H140*'Sistema de Raridade e Evolução'!E2)*1000,2)</f>
        <v>#VALUE!</v>
      </c>
      <c r="G830" s="8" t="e">
        <f>ROUND('Criaturas - Base de Dados'!I140*'Sistema de Raridade e Evolução'!E2,0)</f>
        <v>#VALUE!</v>
      </c>
      <c r="H830" s="8" t="e">
        <f>ROUND('Criaturas - Base de Dados'!J140*'Sistema de Raridade e Evolução'!E2,0)</f>
        <v>#VALUE!</v>
      </c>
      <c r="I830" s="8" t="e">
        <f>ROUND('Criaturas - Base de Dados'!K140*'Sistema de Raridade e Evolução'!E2,0)</f>
        <v>#VALUE!</v>
      </c>
      <c r="J830" s="8">
        <f>'Sistema de Raridade e Evolução'!D2</f>
        <v>1</v>
      </c>
      <c r="K830" s="8" t="s">
        <v>8</v>
      </c>
      <c r="L830" s="9" t="e">
        <f t="shared" si="12"/>
        <v>#VALUE!</v>
      </c>
    </row>
    <row r="831" spans="1:12" ht="14.25" hidden="1" customHeight="1" x14ac:dyDescent="0.3">
      <c r="A831" s="8">
        <v>830</v>
      </c>
      <c r="B831" s="8" t="str">
        <f>'Criaturas - Base de Dados'!B140</f>
        <v>Tempestade Rúnica</v>
      </c>
      <c r="C831" s="8" t="str">
        <f>'Criaturas - Base de Dados'!C140</f>
        <v>Trovão</v>
      </c>
      <c r="D831" s="8" t="str">
        <f>'Criaturas - Base de Dados'!D140</f>
        <v>Wisp Elétrico</v>
      </c>
      <c r="E831" s="8" t="str">
        <f>'Sistema de Raridade e Evolução'!B3</f>
        <v>Bronze</v>
      </c>
      <c r="F831" s="9">
        <f>ROUND(('Criaturas - Base de Dados'!H140*'Sistema de Raridade e Evolução'!E3)*1000,2)</f>
        <v>69000</v>
      </c>
      <c r="G831" s="8">
        <f>ROUND('Criaturas - Base de Dados'!I140*'Sistema de Raridade e Evolução'!E3,0)</f>
        <v>41</v>
      </c>
      <c r="H831" s="8">
        <f>ROUND('Criaturas - Base de Dados'!J140*'Sistema de Raridade e Evolução'!E3,0)</f>
        <v>34</v>
      </c>
      <c r="I831" s="8">
        <f>ROUND('Criaturas - Base de Dados'!K140*'Sistema de Raridade e Evolução'!E3,0)</f>
        <v>221</v>
      </c>
      <c r="J831" s="8">
        <f>'Sistema de Raridade e Evolução'!D3</f>
        <v>6</v>
      </c>
      <c r="K831" s="8" t="s">
        <v>9</v>
      </c>
      <c r="L831" s="9">
        <f t="shared" si="12"/>
        <v>164285.71</v>
      </c>
    </row>
    <row r="832" spans="1:12" ht="14.25" hidden="1" customHeight="1" x14ac:dyDescent="0.3">
      <c r="A832" s="8">
        <v>831</v>
      </c>
      <c r="B832" s="8" t="str">
        <f>'Criaturas - Base de Dados'!B140</f>
        <v>Tempestade Rúnica</v>
      </c>
      <c r="C832" s="8" t="str">
        <f>'Criaturas - Base de Dados'!C140</f>
        <v>Trovão</v>
      </c>
      <c r="D832" s="8" t="str">
        <f>'Criaturas - Base de Dados'!D140</f>
        <v>Wisp Elétrico</v>
      </c>
      <c r="E832" s="8" t="str">
        <f>'Sistema de Raridade e Evolução'!B4</f>
        <v>Prata</v>
      </c>
      <c r="F832" s="9">
        <f>ROUND(('Criaturas - Base de Dados'!H140*'Sistema de Raridade e Evolução'!E4)*1000,2)</f>
        <v>414000</v>
      </c>
      <c r="G832" s="8">
        <f>ROUND('Criaturas - Base de Dados'!I140*'Sistema de Raridade e Evolução'!E4,0)</f>
        <v>246</v>
      </c>
      <c r="H832" s="8">
        <f>ROUND('Criaturas - Base de Dados'!J140*'Sistema de Raridade e Evolução'!E4,0)</f>
        <v>204</v>
      </c>
      <c r="I832" s="8">
        <f>ROUND('Criaturas - Base de Dados'!K140*'Sistema de Raridade e Evolução'!E4,0)</f>
        <v>1326</v>
      </c>
      <c r="J832" s="8">
        <f>'Sistema de Raridade e Evolução'!D4</f>
        <v>16</v>
      </c>
      <c r="K832" s="8" t="s">
        <v>10</v>
      </c>
      <c r="L832" s="9">
        <f t="shared" si="12"/>
        <v>985714.29</v>
      </c>
    </row>
    <row r="833" spans="1:12" ht="14.25" hidden="1" customHeight="1" x14ac:dyDescent="0.3">
      <c r="A833" s="8">
        <v>832</v>
      </c>
      <c r="B833" s="8" t="str">
        <f>'Criaturas - Base de Dados'!B140</f>
        <v>Tempestade Rúnica</v>
      </c>
      <c r="C833" s="8" t="str">
        <f>'Criaturas - Base de Dados'!C140</f>
        <v>Trovão</v>
      </c>
      <c r="D833" s="8" t="str">
        <f>'Criaturas - Base de Dados'!D140</f>
        <v>Wisp Elétrico</v>
      </c>
      <c r="E833" s="8" t="str">
        <f>'Sistema de Raridade e Evolução'!B5</f>
        <v>Ouro</v>
      </c>
      <c r="F833" s="9">
        <f>ROUND(('Criaturas - Base de Dados'!H140*'Sistema de Raridade e Evolução'!E5)*1000,2)</f>
        <v>1242000</v>
      </c>
      <c r="G833" s="8">
        <f>ROUND('Criaturas - Base de Dados'!I140*'Sistema de Raridade e Evolução'!E5,0)</f>
        <v>738</v>
      </c>
      <c r="H833" s="8">
        <f>ROUND('Criaturas - Base de Dados'!J140*'Sistema de Raridade e Evolução'!E5,0)</f>
        <v>612</v>
      </c>
      <c r="I833" s="8">
        <f>ROUND('Criaturas - Base de Dados'!K140*'Sistema de Raridade e Evolução'!E5,0)</f>
        <v>3978</v>
      </c>
      <c r="J833" s="8">
        <f>'Sistema de Raridade e Evolução'!D5</f>
        <v>31</v>
      </c>
      <c r="K833" s="8" t="s">
        <v>11</v>
      </c>
      <c r="L833" s="9">
        <f t="shared" si="12"/>
        <v>2957142.86</v>
      </c>
    </row>
    <row r="834" spans="1:12" ht="14.25" hidden="1" customHeight="1" x14ac:dyDescent="0.3">
      <c r="A834" s="8">
        <v>833</v>
      </c>
      <c r="B834" s="8" t="str">
        <f>'Criaturas - Base de Dados'!B140</f>
        <v>Tempestade Rúnica</v>
      </c>
      <c r="C834" s="8" t="str">
        <f>'Criaturas - Base de Dados'!C140</f>
        <v>Trovão</v>
      </c>
      <c r="D834" s="8" t="str">
        <f>'Criaturas - Base de Dados'!D140</f>
        <v>Wisp Elétrico</v>
      </c>
      <c r="E834" s="8" t="str">
        <f>'Sistema de Raridade e Evolução'!B6</f>
        <v>Platina</v>
      </c>
      <c r="F834" s="9">
        <f>ROUND(('Criaturas - Base de Dados'!H140*'Sistema de Raridade e Evolução'!E6)*1000,2)</f>
        <v>3450000</v>
      </c>
      <c r="G834" s="8">
        <f>ROUND('Criaturas - Base de Dados'!I140*'Sistema de Raridade e Evolução'!E6,0)</f>
        <v>2050</v>
      </c>
      <c r="H834" s="8">
        <f>ROUND('Criaturas - Base de Dados'!J140*'Sistema de Raridade e Evolução'!E6,0)</f>
        <v>1700</v>
      </c>
      <c r="I834" s="8">
        <f>ROUND('Criaturas - Base de Dados'!K140*'Sistema de Raridade e Evolução'!E6,0)</f>
        <v>11050</v>
      </c>
      <c r="J834" s="8">
        <f>'Sistema de Raridade e Evolução'!D6</f>
        <v>56</v>
      </c>
      <c r="K834" s="8" t="s">
        <v>12</v>
      </c>
      <c r="L834" s="9">
        <f t="shared" ref="L834:L897" si="13">ROUND(F834*(2.5/1.05),2)</f>
        <v>8214285.71</v>
      </c>
    </row>
    <row r="835" spans="1:12" ht="14.25" hidden="1" customHeight="1" x14ac:dyDescent="0.3">
      <c r="A835" s="8">
        <v>834</v>
      </c>
      <c r="B835" s="8" t="str">
        <f>'Criaturas - Base de Dados'!B140</f>
        <v>Tempestade Rúnica</v>
      </c>
      <c r="C835" s="8" t="str">
        <f>'Criaturas - Base de Dados'!C140</f>
        <v>Trovão</v>
      </c>
      <c r="D835" s="8" t="str">
        <f>'Criaturas - Base de Dados'!D140</f>
        <v>Wisp Elétrico</v>
      </c>
      <c r="E835" s="8" t="str">
        <f>'Sistema de Raridade e Evolução'!B7</f>
        <v>Lendário</v>
      </c>
      <c r="F835" s="9">
        <f>ROUND(('Criaturas - Base de Dados'!H140*'Sistema de Raridade e Evolução'!E7)*1000,2)</f>
        <v>10350000</v>
      </c>
      <c r="G835" s="8">
        <f>ROUND('Criaturas - Base de Dados'!I140*'Sistema de Raridade e Evolução'!E7,0)</f>
        <v>6150</v>
      </c>
      <c r="H835" s="8">
        <f>ROUND('Criaturas - Base de Dados'!J140*'Sistema de Raridade e Evolução'!E7,0)</f>
        <v>5100</v>
      </c>
      <c r="I835" s="8">
        <f>ROUND('Criaturas - Base de Dados'!K140*'Sistema de Raridade e Evolução'!E7,0)</f>
        <v>33150</v>
      </c>
      <c r="J835" s="8">
        <f>'Sistema de Raridade e Evolução'!D7</f>
        <v>91</v>
      </c>
      <c r="K835" s="8" t="s">
        <v>925</v>
      </c>
      <c r="L835" s="9">
        <f t="shared" si="13"/>
        <v>24642857.140000001</v>
      </c>
    </row>
    <row r="836" spans="1:12" ht="14.25" customHeight="1" x14ac:dyDescent="0.3">
      <c r="A836" s="8">
        <v>835</v>
      </c>
      <c r="B836" s="8" t="str">
        <f>'Criaturas - Base de Dados'!B141</f>
        <v>Tempestade Rúnica</v>
      </c>
      <c r="C836" s="8" t="str">
        <f>'Criaturas - Base de Dados'!C141</f>
        <v>Trovão</v>
      </c>
      <c r="D836" s="8" t="str">
        <f>'Criaturas - Base de Dados'!D141</f>
        <v>Fúria do Ciclone</v>
      </c>
      <c r="E836" s="8" t="str">
        <f>'Sistema de Raridade e Evolução'!B2</f>
        <v>Default</v>
      </c>
      <c r="F836" s="9" t="e">
        <f>ROUND(('Criaturas - Base de Dados'!H141*'Sistema de Raridade e Evolução'!E2)*1000,2)</f>
        <v>#VALUE!</v>
      </c>
      <c r="G836" s="8" t="e">
        <f>ROUND('Criaturas - Base de Dados'!I141*'Sistema de Raridade e Evolução'!E2,0)</f>
        <v>#VALUE!</v>
      </c>
      <c r="H836" s="8" t="e">
        <f>ROUND('Criaturas - Base de Dados'!J141*'Sistema de Raridade e Evolução'!E2,0)</f>
        <v>#VALUE!</v>
      </c>
      <c r="I836" s="8" t="e">
        <f>ROUND('Criaturas - Base de Dados'!K141*'Sistema de Raridade e Evolução'!E2,0)</f>
        <v>#VALUE!</v>
      </c>
      <c r="J836" s="8">
        <f>'Sistema de Raridade e Evolução'!D2</f>
        <v>1</v>
      </c>
      <c r="K836" s="8" t="s">
        <v>8</v>
      </c>
      <c r="L836" s="9" t="e">
        <f t="shared" si="13"/>
        <v>#VALUE!</v>
      </c>
    </row>
    <row r="837" spans="1:12" ht="14.25" hidden="1" customHeight="1" x14ac:dyDescent="0.3">
      <c r="A837" s="8">
        <v>836</v>
      </c>
      <c r="B837" s="8" t="str">
        <f>'Criaturas - Base de Dados'!B141</f>
        <v>Tempestade Rúnica</v>
      </c>
      <c r="C837" s="8" t="str">
        <f>'Criaturas - Base de Dados'!C141</f>
        <v>Trovão</v>
      </c>
      <c r="D837" s="8" t="str">
        <f>'Criaturas - Base de Dados'!D141</f>
        <v>Fúria do Ciclone</v>
      </c>
      <c r="E837" s="8" t="str">
        <f>'Sistema de Raridade e Evolução'!B3</f>
        <v>Bronze</v>
      </c>
      <c r="F837" s="9">
        <f>ROUND(('Criaturas - Base de Dados'!H141*'Sistema de Raridade e Evolução'!E3)*1000,2)</f>
        <v>71000</v>
      </c>
      <c r="G837" s="8">
        <f>ROUND('Criaturas - Base de Dados'!I141*'Sistema de Raridade e Evolução'!E3,0)</f>
        <v>43</v>
      </c>
      <c r="H837" s="8">
        <f>ROUND('Criaturas - Base de Dados'!J141*'Sistema de Raridade e Evolução'!E3,0)</f>
        <v>36</v>
      </c>
      <c r="I837" s="8">
        <f>ROUND('Criaturas - Base de Dados'!K141*'Sistema de Raridade e Evolução'!E3,0)</f>
        <v>227</v>
      </c>
      <c r="J837" s="8">
        <f>'Sistema de Raridade e Evolução'!D3</f>
        <v>6</v>
      </c>
      <c r="K837" s="8" t="s">
        <v>9</v>
      </c>
      <c r="L837" s="9">
        <f t="shared" si="13"/>
        <v>169047.62</v>
      </c>
    </row>
    <row r="838" spans="1:12" ht="14.25" hidden="1" customHeight="1" x14ac:dyDescent="0.3">
      <c r="A838" s="8">
        <v>837</v>
      </c>
      <c r="B838" s="8" t="str">
        <f>'Criaturas - Base de Dados'!B141</f>
        <v>Tempestade Rúnica</v>
      </c>
      <c r="C838" s="8" t="str">
        <f>'Criaturas - Base de Dados'!C141</f>
        <v>Trovão</v>
      </c>
      <c r="D838" s="8" t="str">
        <f>'Criaturas - Base de Dados'!D141</f>
        <v>Fúria do Ciclone</v>
      </c>
      <c r="E838" s="8" t="str">
        <f>'Sistema de Raridade e Evolução'!B4</f>
        <v>Prata</v>
      </c>
      <c r="F838" s="9">
        <f>ROUND(('Criaturas - Base de Dados'!H141*'Sistema de Raridade e Evolução'!E4)*1000,2)</f>
        <v>426000</v>
      </c>
      <c r="G838" s="8">
        <f>ROUND('Criaturas - Base de Dados'!I141*'Sistema de Raridade e Evolução'!E4,0)</f>
        <v>258</v>
      </c>
      <c r="H838" s="8">
        <f>ROUND('Criaturas - Base de Dados'!J141*'Sistema de Raridade e Evolução'!E4,0)</f>
        <v>216</v>
      </c>
      <c r="I838" s="8">
        <f>ROUND('Criaturas - Base de Dados'!K141*'Sistema de Raridade e Evolução'!E4,0)</f>
        <v>1362</v>
      </c>
      <c r="J838" s="8">
        <f>'Sistema de Raridade e Evolução'!D4</f>
        <v>16</v>
      </c>
      <c r="K838" s="8" t="s">
        <v>10</v>
      </c>
      <c r="L838" s="9">
        <f t="shared" si="13"/>
        <v>1014285.71</v>
      </c>
    </row>
    <row r="839" spans="1:12" ht="14.25" hidden="1" customHeight="1" x14ac:dyDescent="0.3">
      <c r="A839" s="8">
        <v>838</v>
      </c>
      <c r="B839" s="8" t="str">
        <f>'Criaturas - Base de Dados'!B141</f>
        <v>Tempestade Rúnica</v>
      </c>
      <c r="C839" s="8" t="str">
        <f>'Criaturas - Base de Dados'!C141</f>
        <v>Trovão</v>
      </c>
      <c r="D839" s="8" t="str">
        <f>'Criaturas - Base de Dados'!D141</f>
        <v>Fúria do Ciclone</v>
      </c>
      <c r="E839" s="8" t="str">
        <f>'Sistema de Raridade e Evolução'!B5</f>
        <v>Ouro</v>
      </c>
      <c r="F839" s="9">
        <f>ROUND(('Criaturas - Base de Dados'!H141*'Sistema de Raridade e Evolução'!E5)*1000,2)</f>
        <v>1278000</v>
      </c>
      <c r="G839" s="8">
        <f>ROUND('Criaturas - Base de Dados'!I141*'Sistema de Raridade e Evolução'!E5,0)</f>
        <v>774</v>
      </c>
      <c r="H839" s="8">
        <f>ROUND('Criaturas - Base de Dados'!J141*'Sistema de Raridade e Evolução'!E5,0)</f>
        <v>648</v>
      </c>
      <c r="I839" s="8">
        <f>ROUND('Criaturas - Base de Dados'!K141*'Sistema de Raridade e Evolução'!E5,0)</f>
        <v>4086</v>
      </c>
      <c r="J839" s="8">
        <f>'Sistema de Raridade e Evolução'!D5</f>
        <v>31</v>
      </c>
      <c r="K839" s="8" t="s">
        <v>11</v>
      </c>
      <c r="L839" s="9">
        <f t="shared" si="13"/>
        <v>3042857.14</v>
      </c>
    </row>
    <row r="840" spans="1:12" ht="14.25" hidden="1" customHeight="1" x14ac:dyDescent="0.3">
      <c r="A840" s="8">
        <v>839</v>
      </c>
      <c r="B840" s="8" t="str">
        <f>'Criaturas - Base de Dados'!B141</f>
        <v>Tempestade Rúnica</v>
      </c>
      <c r="C840" s="8" t="str">
        <f>'Criaturas - Base de Dados'!C141</f>
        <v>Trovão</v>
      </c>
      <c r="D840" s="8" t="str">
        <f>'Criaturas - Base de Dados'!D141</f>
        <v>Fúria do Ciclone</v>
      </c>
      <c r="E840" s="8" t="str">
        <f>'Sistema de Raridade e Evolução'!B6</f>
        <v>Platina</v>
      </c>
      <c r="F840" s="9">
        <f>ROUND(('Criaturas - Base de Dados'!H141*'Sistema de Raridade e Evolução'!E6)*1000,2)</f>
        <v>3550000</v>
      </c>
      <c r="G840" s="8">
        <f>ROUND('Criaturas - Base de Dados'!I141*'Sistema de Raridade e Evolução'!E6,0)</f>
        <v>2150</v>
      </c>
      <c r="H840" s="8">
        <f>ROUND('Criaturas - Base de Dados'!J141*'Sistema de Raridade e Evolução'!E6,0)</f>
        <v>1800</v>
      </c>
      <c r="I840" s="8">
        <f>ROUND('Criaturas - Base de Dados'!K141*'Sistema de Raridade e Evolução'!E6,0)</f>
        <v>11350</v>
      </c>
      <c r="J840" s="8">
        <f>'Sistema de Raridade e Evolução'!D6</f>
        <v>56</v>
      </c>
      <c r="K840" s="8" t="s">
        <v>12</v>
      </c>
      <c r="L840" s="9">
        <f t="shared" si="13"/>
        <v>8452380.9499999993</v>
      </c>
    </row>
    <row r="841" spans="1:12" ht="14.25" hidden="1" customHeight="1" x14ac:dyDescent="0.3">
      <c r="A841" s="8">
        <v>840</v>
      </c>
      <c r="B841" s="8" t="str">
        <f>'Criaturas - Base de Dados'!B141</f>
        <v>Tempestade Rúnica</v>
      </c>
      <c r="C841" s="8" t="str">
        <f>'Criaturas - Base de Dados'!C141</f>
        <v>Trovão</v>
      </c>
      <c r="D841" s="8" t="str">
        <f>'Criaturas - Base de Dados'!D141</f>
        <v>Fúria do Ciclone</v>
      </c>
      <c r="E841" s="8" t="str">
        <f>'Sistema de Raridade e Evolução'!B7</f>
        <v>Lendário</v>
      </c>
      <c r="F841" s="9">
        <f>ROUND(('Criaturas - Base de Dados'!H141*'Sistema de Raridade e Evolução'!E7)*1000,2)</f>
        <v>10650000</v>
      </c>
      <c r="G841" s="8">
        <f>ROUND('Criaturas - Base de Dados'!I141*'Sistema de Raridade e Evolução'!E7,0)</f>
        <v>6450</v>
      </c>
      <c r="H841" s="8">
        <f>ROUND('Criaturas - Base de Dados'!J141*'Sistema de Raridade e Evolução'!E7,0)</f>
        <v>5400</v>
      </c>
      <c r="I841" s="8">
        <f>ROUND('Criaturas - Base de Dados'!K141*'Sistema de Raridade e Evolução'!E7,0)</f>
        <v>34050</v>
      </c>
      <c r="J841" s="8">
        <f>'Sistema de Raridade e Evolução'!D7</f>
        <v>91</v>
      </c>
      <c r="K841" s="8" t="s">
        <v>925</v>
      </c>
      <c r="L841" s="9">
        <f t="shared" si="13"/>
        <v>25357142.859999999</v>
      </c>
    </row>
    <row r="842" spans="1:12" ht="14.25" customHeight="1" x14ac:dyDescent="0.3">
      <c r="A842" s="8">
        <v>841</v>
      </c>
      <c r="B842" s="8" t="str">
        <f>'Criaturas - Base de Dados'!B142</f>
        <v>Rocha Ancestral</v>
      </c>
      <c r="C842" s="8" t="str">
        <f>'Criaturas - Base de Dados'!C142</f>
        <v>Terra</v>
      </c>
      <c r="D842" s="8" t="str">
        <f>'Criaturas - Base de Dados'!D142</f>
        <v>Golem de Pedra</v>
      </c>
      <c r="E842" s="8" t="str">
        <f>'Sistema de Raridade e Evolução'!B2</f>
        <v>Default</v>
      </c>
      <c r="F842" s="9" t="e">
        <f>ROUND(('Criaturas - Base de Dados'!H142*'Sistema de Raridade e Evolução'!E2)*1000,2)</f>
        <v>#VALUE!</v>
      </c>
      <c r="G842" s="8" t="e">
        <f>ROUND('Criaturas - Base de Dados'!I142*'Sistema de Raridade e Evolução'!E2,0)</f>
        <v>#VALUE!</v>
      </c>
      <c r="H842" s="8" t="e">
        <f>ROUND('Criaturas - Base de Dados'!J142*'Sistema de Raridade e Evolução'!E2,0)</f>
        <v>#VALUE!</v>
      </c>
      <c r="I842" s="8" t="e">
        <f>ROUND('Criaturas - Base de Dados'!K142*'Sistema de Raridade e Evolução'!E2,0)</f>
        <v>#VALUE!</v>
      </c>
      <c r="J842" s="8">
        <f>'Sistema de Raridade e Evolução'!D2</f>
        <v>1</v>
      </c>
      <c r="K842" s="8" t="s">
        <v>8</v>
      </c>
      <c r="L842" s="9" t="e">
        <f t="shared" si="13"/>
        <v>#VALUE!</v>
      </c>
    </row>
    <row r="843" spans="1:12" ht="14.25" hidden="1" customHeight="1" x14ac:dyDescent="0.3">
      <c r="A843" s="8">
        <v>842</v>
      </c>
      <c r="B843" s="8" t="str">
        <f>'Criaturas - Base de Dados'!B142</f>
        <v>Rocha Ancestral</v>
      </c>
      <c r="C843" s="8" t="str">
        <f>'Criaturas - Base de Dados'!C142</f>
        <v>Terra</v>
      </c>
      <c r="D843" s="8" t="str">
        <f>'Criaturas - Base de Dados'!D142</f>
        <v>Golem de Pedra</v>
      </c>
      <c r="E843" s="8" t="str">
        <f>'Sistema de Raridade e Evolução'!B3</f>
        <v>Bronze</v>
      </c>
      <c r="F843" s="9">
        <f>ROUND(('Criaturas - Base de Dados'!H142*'Sistema de Raridade e Evolução'!E3)*1000,2)</f>
        <v>10000</v>
      </c>
      <c r="G843" s="8">
        <f>ROUND('Criaturas - Base de Dados'!I142*'Sistema de Raridade e Evolução'!E3,0)</f>
        <v>6</v>
      </c>
      <c r="H843" s="8">
        <f>ROUND('Criaturas - Base de Dados'!J142*'Sistema de Raridade e Evolução'!E3,0)</f>
        <v>5</v>
      </c>
      <c r="I843" s="8">
        <f>ROUND('Criaturas - Base de Dados'!K142*'Sistema de Raridade e Evolução'!E3,0)</f>
        <v>32</v>
      </c>
      <c r="J843" s="8">
        <f>'Sistema de Raridade e Evolução'!D3</f>
        <v>6</v>
      </c>
      <c r="K843" s="8" t="s">
        <v>9</v>
      </c>
      <c r="L843" s="9">
        <f t="shared" si="13"/>
        <v>23809.52</v>
      </c>
    </row>
    <row r="844" spans="1:12" ht="14.25" hidden="1" customHeight="1" x14ac:dyDescent="0.3">
      <c r="A844" s="8">
        <v>843</v>
      </c>
      <c r="B844" s="8" t="str">
        <f>'Criaturas - Base de Dados'!B142</f>
        <v>Rocha Ancestral</v>
      </c>
      <c r="C844" s="8" t="str">
        <f>'Criaturas - Base de Dados'!C142</f>
        <v>Terra</v>
      </c>
      <c r="D844" s="8" t="str">
        <f>'Criaturas - Base de Dados'!D142</f>
        <v>Golem de Pedra</v>
      </c>
      <c r="E844" s="8" t="str">
        <f>'Sistema de Raridade e Evolução'!B4</f>
        <v>Prata</v>
      </c>
      <c r="F844" s="9">
        <f>ROUND(('Criaturas - Base de Dados'!H142*'Sistema de Raridade e Evolução'!E4)*1000,2)</f>
        <v>60000</v>
      </c>
      <c r="G844" s="8">
        <f>ROUND('Criaturas - Base de Dados'!I142*'Sistema de Raridade e Evolução'!E4,0)</f>
        <v>36</v>
      </c>
      <c r="H844" s="8">
        <f>ROUND('Criaturas - Base de Dados'!J142*'Sistema de Raridade e Evolução'!E4,0)</f>
        <v>30</v>
      </c>
      <c r="I844" s="8">
        <f>ROUND('Criaturas - Base de Dados'!K142*'Sistema de Raridade e Evolução'!E4,0)</f>
        <v>192</v>
      </c>
      <c r="J844" s="8">
        <f>'Sistema de Raridade e Evolução'!D4</f>
        <v>16</v>
      </c>
      <c r="K844" s="8" t="s">
        <v>10</v>
      </c>
      <c r="L844" s="9">
        <f t="shared" si="13"/>
        <v>142857.14000000001</v>
      </c>
    </row>
    <row r="845" spans="1:12" ht="14.25" hidden="1" customHeight="1" x14ac:dyDescent="0.3">
      <c r="A845" s="8">
        <v>844</v>
      </c>
      <c r="B845" s="8" t="str">
        <f>'Criaturas - Base de Dados'!B142</f>
        <v>Rocha Ancestral</v>
      </c>
      <c r="C845" s="8" t="str">
        <f>'Criaturas - Base de Dados'!C142</f>
        <v>Terra</v>
      </c>
      <c r="D845" s="8" t="str">
        <f>'Criaturas - Base de Dados'!D142</f>
        <v>Golem de Pedra</v>
      </c>
      <c r="E845" s="8" t="str">
        <f>'Sistema de Raridade e Evolução'!B5</f>
        <v>Ouro</v>
      </c>
      <c r="F845" s="9">
        <f>ROUND(('Criaturas - Base de Dados'!H142*'Sistema de Raridade e Evolução'!E5)*1000,2)</f>
        <v>180000</v>
      </c>
      <c r="G845" s="8">
        <f>ROUND('Criaturas - Base de Dados'!I142*'Sistema de Raridade e Evolução'!E5,0)</f>
        <v>108</v>
      </c>
      <c r="H845" s="8">
        <f>ROUND('Criaturas - Base de Dados'!J142*'Sistema de Raridade e Evolução'!E5,0)</f>
        <v>90</v>
      </c>
      <c r="I845" s="8">
        <f>ROUND('Criaturas - Base de Dados'!K142*'Sistema de Raridade e Evolução'!E5,0)</f>
        <v>576</v>
      </c>
      <c r="J845" s="8">
        <f>'Sistema de Raridade e Evolução'!D5</f>
        <v>31</v>
      </c>
      <c r="K845" s="8" t="s">
        <v>11</v>
      </c>
      <c r="L845" s="9">
        <f t="shared" si="13"/>
        <v>428571.43</v>
      </c>
    </row>
    <row r="846" spans="1:12" ht="14.25" hidden="1" customHeight="1" x14ac:dyDescent="0.3">
      <c r="A846" s="8">
        <v>845</v>
      </c>
      <c r="B846" s="8" t="str">
        <f>'Criaturas - Base de Dados'!B142</f>
        <v>Rocha Ancestral</v>
      </c>
      <c r="C846" s="8" t="str">
        <f>'Criaturas - Base de Dados'!C142</f>
        <v>Terra</v>
      </c>
      <c r="D846" s="8" t="str">
        <f>'Criaturas - Base de Dados'!D142</f>
        <v>Golem de Pedra</v>
      </c>
      <c r="E846" s="8" t="str">
        <f>'Sistema de Raridade e Evolução'!B6</f>
        <v>Platina</v>
      </c>
      <c r="F846" s="9">
        <f>ROUND(('Criaturas - Base de Dados'!H142*'Sistema de Raridade e Evolução'!E6)*1000,2)</f>
        <v>500000</v>
      </c>
      <c r="G846" s="8">
        <f>ROUND('Criaturas - Base de Dados'!I142*'Sistema de Raridade e Evolução'!E6,0)</f>
        <v>300</v>
      </c>
      <c r="H846" s="8">
        <f>ROUND('Criaturas - Base de Dados'!J142*'Sistema de Raridade e Evolução'!E6,0)</f>
        <v>250</v>
      </c>
      <c r="I846" s="8">
        <f>ROUND('Criaturas - Base de Dados'!K142*'Sistema de Raridade e Evolução'!E6,0)</f>
        <v>1600</v>
      </c>
      <c r="J846" s="8">
        <f>'Sistema de Raridade e Evolução'!D6</f>
        <v>56</v>
      </c>
      <c r="K846" s="8" t="s">
        <v>12</v>
      </c>
      <c r="L846" s="9">
        <f t="shared" si="13"/>
        <v>1190476.19</v>
      </c>
    </row>
    <row r="847" spans="1:12" ht="14.25" hidden="1" customHeight="1" x14ac:dyDescent="0.3">
      <c r="A847" s="8">
        <v>846</v>
      </c>
      <c r="B847" s="8" t="str">
        <f>'Criaturas - Base de Dados'!B142</f>
        <v>Rocha Ancestral</v>
      </c>
      <c r="C847" s="8" t="str">
        <f>'Criaturas - Base de Dados'!C142</f>
        <v>Terra</v>
      </c>
      <c r="D847" s="8" t="str">
        <f>'Criaturas - Base de Dados'!D142</f>
        <v>Golem de Pedra</v>
      </c>
      <c r="E847" s="8" t="str">
        <f>'Sistema de Raridade e Evolução'!B7</f>
        <v>Lendário</v>
      </c>
      <c r="F847" s="9">
        <f>ROUND(('Criaturas - Base de Dados'!H142*'Sistema de Raridade e Evolução'!E7)*1000,2)</f>
        <v>1500000</v>
      </c>
      <c r="G847" s="8">
        <f>ROUND('Criaturas - Base de Dados'!I142*'Sistema de Raridade e Evolução'!E7,0)</f>
        <v>900</v>
      </c>
      <c r="H847" s="8">
        <f>ROUND('Criaturas - Base de Dados'!J142*'Sistema de Raridade e Evolução'!E7,0)</f>
        <v>750</v>
      </c>
      <c r="I847" s="8">
        <f>ROUND('Criaturas - Base de Dados'!K142*'Sistema de Raridade e Evolução'!E7,0)</f>
        <v>4800</v>
      </c>
      <c r="J847" s="8">
        <f>'Sistema de Raridade e Evolução'!D7</f>
        <v>91</v>
      </c>
      <c r="K847" s="8" t="s">
        <v>925</v>
      </c>
      <c r="L847" s="9">
        <f t="shared" si="13"/>
        <v>3571428.57</v>
      </c>
    </row>
    <row r="848" spans="1:12" ht="14.25" customHeight="1" x14ac:dyDescent="0.3">
      <c r="A848" s="8">
        <v>847</v>
      </c>
      <c r="B848" s="8" t="str">
        <f>'Criaturas - Base de Dados'!B143</f>
        <v>Rocha Ancestral</v>
      </c>
      <c r="C848" s="8" t="str">
        <f>'Criaturas - Base de Dados'!C143</f>
        <v>Terra</v>
      </c>
      <c r="D848" s="8" t="str">
        <f>'Criaturas - Base de Dados'!D143</f>
        <v>Troll da Montanha</v>
      </c>
      <c r="E848" s="8" t="str">
        <f>'Sistema de Raridade e Evolução'!B2</f>
        <v>Default</v>
      </c>
      <c r="F848" s="9" t="e">
        <f>ROUND(('Criaturas - Base de Dados'!H143*'Sistema de Raridade e Evolução'!E2)*1000,2)</f>
        <v>#VALUE!</v>
      </c>
      <c r="G848" s="8" t="e">
        <f>ROUND('Criaturas - Base de Dados'!I143*'Sistema de Raridade e Evolução'!E2,0)</f>
        <v>#VALUE!</v>
      </c>
      <c r="H848" s="8" t="e">
        <f>ROUND('Criaturas - Base de Dados'!J143*'Sistema de Raridade e Evolução'!E2,0)</f>
        <v>#VALUE!</v>
      </c>
      <c r="I848" s="8" t="e">
        <f>ROUND('Criaturas - Base de Dados'!K143*'Sistema de Raridade e Evolução'!E2,0)</f>
        <v>#VALUE!</v>
      </c>
      <c r="J848" s="8">
        <f>'Sistema de Raridade e Evolução'!D2</f>
        <v>1</v>
      </c>
      <c r="K848" s="8" t="s">
        <v>8</v>
      </c>
      <c r="L848" s="9" t="e">
        <f t="shared" si="13"/>
        <v>#VALUE!</v>
      </c>
    </row>
    <row r="849" spans="1:12" ht="14.25" hidden="1" customHeight="1" x14ac:dyDescent="0.3">
      <c r="A849" s="8">
        <v>848</v>
      </c>
      <c r="B849" s="8" t="str">
        <f>'Criaturas - Base de Dados'!B143</f>
        <v>Rocha Ancestral</v>
      </c>
      <c r="C849" s="8" t="str">
        <f>'Criaturas - Base de Dados'!C143</f>
        <v>Terra</v>
      </c>
      <c r="D849" s="8" t="str">
        <f>'Criaturas - Base de Dados'!D143</f>
        <v>Troll da Montanha</v>
      </c>
      <c r="E849" s="8" t="str">
        <f>'Sistema de Raridade e Evolução'!B3</f>
        <v>Bronze</v>
      </c>
      <c r="F849" s="9">
        <f>ROUND(('Criaturas - Base de Dados'!H143*'Sistema de Raridade e Evolução'!E3)*1000,2)</f>
        <v>12000</v>
      </c>
      <c r="G849" s="8">
        <f>ROUND('Criaturas - Base de Dados'!I143*'Sistema de Raridade e Evolução'!E3,0)</f>
        <v>7</v>
      </c>
      <c r="H849" s="8">
        <f>ROUND('Criaturas - Base de Dados'!J143*'Sistema de Raridade e Evolução'!E3,0)</f>
        <v>6</v>
      </c>
      <c r="I849" s="8">
        <f>ROUND('Criaturas - Base de Dados'!K143*'Sistema de Raridade e Evolução'!E3,0)</f>
        <v>38</v>
      </c>
      <c r="J849" s="8">
        <f>'Sistema de Raridade e Evolução'!D3</f>
        <v>6</v>
      </c>
      <c r="K849" s="8" t="s">
        <v>9</v>
      </c>
      <c r="L849" s="9">
        <f t="shared" si="13"/>
        <v>28571.43</v>
      </c>
    </row>
    <row r="850" spans="1:12" ht="14.25" hidden="1" customHeight="1" x14ac:dyDescent="0.3">
      <c r="A850" s="8">
        <v>849</v>
      </c>
      <c r="B850" s="8" t="str">
        <f>'Criaturas - Base de Dados'!B143</f>
        <v>Rocha Ancestral</v>
      </c>
      <c r="C850" s="8" t="str">
        <f>'Criaturas - Base de Dados'!C143</f>
        <v>Terra</v>
      </c>
      <c r="D850" s="8" t="str">
        <f>'Criaturas - Base de Dados'!D143</f>
        <v>Troll da Montanha</v>
      </c>
      <c r="E850" s="8" t="str">
        <f>'Sistema de Raridade e Evolução'!B4</f>
        <v>Prata</v>
      </c>
      <c r="F850" s="9">
        <f>ROUND(('Criaturas - Base de Dados'!H143*'Sistema de Raridade e Evolução'!E4)*1000,2)</f>
        <v>72000</v>
      </c>
      <c r="G850" s="8">
        <f>ROUND('Criaturas - Base de Dados'!I143*'Sistema de Raridade e Evolução'!E4,0)</f>
        <v>42</v>
      </c>
      <c r="H850" s="8">
        <f>ROUND('Criaturas - Base de Dados'!J143*'Sistema de Raridade e Evolução'!E4,0)</f>
        <v>36</v>
      </c>
      <c r="I850" s="8">
        <f>ROUND('Criaturas - Base de Dados'!K143*'Sistema de Raridade e Evolução'!E4,0)</f>
        <v>228</v>
      </c>
      <c r="J850" s="8">
        <f>'Sistema de Raridade e Evolução'!D4</f>
        <v>16</v>
      </c>
      <c r="K850" s="8" t="s">
        <v>10</v>
      </c>
      <c r="L850" s="9">
        <f t="shared" si="13"/>
        <v>171428.57</v>
      </c>
    </row>
    <row r="851" spans="1:12" ht="14.25" hidden="1" customHeight="1" x14ac:dyDescent="0.3">
      <c r="A851" s="8">
        <v>850</v>
      </c>
      <c r="B851" s="8" t="str">
        <f>'Criaturas - Base de Dados'!B143</f>
        <v>Rocha Ancestral</v>
      </c>
      <c r="C851" s="8" t="str">
        <f>'Criaturas - Base de Dados'!C143</f>
        <v>Terra</v>
      </c>
      <c r="D851" s="8" t="str">
        <f>'Criaturas - Base de Dados'!D143</f>
        <v>Troll da Montanha</v>
      </c>
      <c r="E851" s="8" t="str">
        <f>'Sistema de Raridade e Evolução'!B5</f>
        <v>Ouro</v>
      </c>
      <c r="F851" s="9">
        <f>ROUND(('Criaturas - Base de Dados'!H143*'Sistema de Raridade e Evolução'!E5)*1000,2)</f>
        <v>216000</v>
      </c>
      <c r="G851" s="8">
        <f>ROUND('Criaturas - Base de Dados'!I143*'Sistema de Raridade e Evolução'!E5,0)</f>
        <v>126</v>
      </c>
      <c r="H851" s="8">
        <f>ROUND('Criaturas - Base de Dados'!J143*'Sistema de Raridade e Evolução'!E5,0)</f>
        <v>108</v>
      </c>
      <c r="I851" s="8">
        <f>ROUND('Criaturas - Base de Dados'!K143*'Sistema de Raridade e Evolução'!E5,0)</f>
        <v>684</v>
      </c>
      <c r="J851" s="8">
        <f>'Sistema de Raridade e Evolução'!D5</f>
        <v>31</v>
      </c>
      <c r="K851" s="8" t="s">
        <v>11</v>
      </c>
      <c r="L851" s="9">
        <f t="shared" si="13"/>
        <v>514285.71</v>
      </c>
    </row>
    <row r="852" spans="1:12" ht="14.25" hidden="1" customHeight="1" x14ac:dyDescent="0.3">
      <c r="A852" s="8">
        <v>851</v>
      </c>
      <c r="B852" s="8" t="str">
        <f>'Criaturas - Base de Dados'!B143</f>
        <v>Rocha Ancestral</v>
      </c>
      <c r="C852" s="8" t="str">
        <f>'Criaturas - Base de Dados'!C143</f>
        <v>Terra</v>
      </c>
      <c r="D852" s="8" t="str">
        <f>'Criaturas - Base de Dados'!D143</f>
        <v>Troll da Montanha</v>
      </c>
      <c r="E852" s="8" t="str">
        <f>'Sistema de Raridade e Evolução'!B6</f>
        <v>Platina</v>
      </c>
      <c r="F852" s="9">
        <f>ROUND(('Criaturas - Base de Dados'!H143*'Sistema de Raridade e Evolução'!E6)*1000,2)</f>
        <v>600000</v>
      </c>
      <c r="G852" s="8">
        <f>ROUND('Criaturas - Base de Dados'!I143*'Sistema de Raridade e Evolução'!E6,0)</f>
        <v>350</v>
      </c>
      <c r="H852" s="8">
        <f>ROUND('Criaturas - Base de Dados'!J143*'Sistema de Raridade e Evolução'!E6,0)</f>
        <v>300</v>
      </c>
      <c r="I852" s="8">
        <f>ROUND('Criaturas - Base de Dados'!K143*'Sistema de Raridade e Evolução'!E6,0)</f>
        <v>1900</v>
      </c>
      <c r="J852" s="8">
        <f>'Sistema de Raridade e Evolução'!D6</f>
        <v>56</v>
      </c>
      <c r="K852" s="8" t="s">
        <v>12</v>
      </c>
      <c r="L852" s="9">
        <f t="shared" si="13"/>
        <v>1428571.43</v>
      </c>
    </row>
    <row r="853" spans="1:12" ht="14.25" hidden="1" customHeight="1" x14ac:dyDescent="0.3">
      <c r="A853" s="8">
        <v>852</v>
      </c>
      <c r="B853" s="8" t="str">
        <f>'Criaturas - Base de Dados'!B143</f>
        <v>Rocha Ancestral</v>
      </c>
      <c r="C853" s="8" t="str">
        <f>'Criaturas - Base de Dados'!C143</f>
        <v>Terra</v>
      </c>
      <c r="D853" s="8" t="str">
        <f>'Criaturas - Base de Dados'!D143</f>
        <v>Troll da Montanha</v>
      </c>
      <c r="E853" s="8" t="str">
        <f>'Sistema de Raridade e Evolução'!B7</f>
        <v>Lendário</v>
      </c>
      <c r="F853" s="9">
        <f>ROUND(('Criaturas - Base de Dados'!H143*'Sistema de Raridade e Evolução'!E7)*1000,2)</f>
        <v>1800000</v>
      </c>
      <c r="G853" s="8">
        <f>ROUND('Criaturas - Base de Dados'!I143*'Sistema de Raridade e Evolução'!E7,0)</f>
        <v>1050</v>
      </c>
      <c r="H853" s="8">
        <f>ROUND('Criaturas - Base de Dados'!J143*'Sistema de Raridade e Evolução'!E7,0)</f>
        <v>900</v>
      </c>
      <c r="I853" s="8">
        <f>ROUND('Criaturas - Base de Dados'!K143*'Sistema de Raridade e Evolução'!E7,0)</f>
        <v>5700</v>
      </c>
      <c r="J853" s="8">
        <f>'Sistema de Raridade e Evolução'!D7</f>
        <v>91</v>
      </c>
      <c r="K853" s="8" t="s">
        <v>925</v>
      </c>
      <c r="L853" s="9">
        <f t="shared" si="13"/>
        <v>4285714.29</v>
      </c>
    </row>
    <row r="854" spans="1:12" ht="14.25" customHeight="1" x14ac:dyDescent="0.3">
      <c r="A854" s="8">
        <v>853</v>
      </c>
      <c r="B854" s="8" t="str">
        <f>'Criaturas - Base de Dados'!B144</f>
        <v>Rocha Ancestral</v>
      </c>
      <c r="C854" s="8" t="str">
        <f>'Criaturas - Base de Dados'!C144</f>
        <v>Terra</v>
      </c>
      <c r="D854" s="8" t="str">
        <f>'Criaturas - Base de Dados'!D144</f>
        <v>Ciclope Ferreiro</v>
      </c>
      <c r="E854" s="8" t="str">
        <f>'Sistema de Raridade e Evolução'!B2</f>
        <v>Default</v>
      </c>
      <c r="F854" s="9" t="e">
        <f>ROUND(('Criaturas - Base de Dados'!H144*'Sistema de Raridade e Evolução'!E2)*1000,2)</f>
        <v>#VALUE!</v>
      </c>
      <c r="G854" s="8" t="e">
        <f>ROUND('Criaturas - Base de Dados'!I144*'Sistema de Raridade e Evolução'!E2,0)</f>
        <v>#VALUE!</v>
      </c>
      <c r="H854" s="8" t="e">
        <f>ROUND('Criaturas - Base de Dados'!J144*'Sistema de Raridade e Evolução'!E2,0)</f>
        <v>#VALUE!</v>
      </c>
      <c r="I854" s="8" t="e">
        <f>ROUND('Criaturas - Base de Dados'!K144*'Sistema de Raridade e Evolução'!E2,0)</f>
        <v>#VALUE!</v>
      </c>
      <c r="J854" s="8">
        <f>'Sistema de Raridade e Evolução'!D2</f>
        <v>1</v>
      </c>
      <c r="K854" s="8" t="s">
        <v>8</v>
      </c>
      <c r="L854" s="9" t="e">
        <f t="shared" si="13"/>
        <v>#VALUE!</v>
      </c>
    </row>
    <row r="855" spans="1:12" ht="14.25" hidden="1" customHeight="1" x14ac:dyDescent="0.3">
      <c r="A855" s="8">
        <v>854</v>
      </c>
      <c r="B855" s="8" t="str">
        <f>'Criaturas - Base de Dados'!B144</f>
        <v>Rocha Ancestral</v>
      </c>
      <c r="C855" s="8" t="str">
        <f>'Criaturas - Base de Dados'!C144</f>
        <v>Terra</v>
      </c>
      <c r="D855" s="8" t="str">
        <f>'Criaturas - Base de Dados'!D144</f>
        <v>Ciclope Ferreiro</v>
      </c>
      <c r="E855" s="8" t="str">
        <f>'Sistema de Raridade e Evolução'!B3</f>
        <v>Bronze</v>
      </c>
      <c r="F855" s="9">
        <f>ROUND(('Criaturas - Base de Dados'!H144*'Sistema de Raridade e Evolução'!E3)*1000,2)</f>
        <v>14000</v>
      </c>
      <c r="G855" s="8">
        <f>ROUND('Criaturas - Base de Dados'!I144*'Sistema de Raridade e Evolução'!E3,0)</f>
        <v>8</v>
      </c>
      <c r="H855" s="8">
        <f>ROUND('Criaturas - Base de Dados'!J144*'Sistema de Raridade e Evolução'!E3,0)</f>
        <v>7</v>
      </c>
      <c r="I855" s="8">
        <f>ROUND('Criaturas - Base de Dados'!K144*'Sistema de Raridade e Evolução'!E3,0)</f>
        <v>45</v>
      </c>
      <c r="J855" s="8">
        <f>'Sistema de Raridade e Evolução'!D3</f>
        <v>6</v>
      </c>
      <c r="K855" s="8" t="s">
        <v>9</v>
      </c>
      <c r="L855" s="9">
        <f t="shared" si="13"/>
        <v>33333.33</v>
      </c>
    </row>
    <row r="856" spans="1:12" ht="14.25" hidden="1" customHeight="1" x14ac:dyDescent="0.3">
      <c r="A856" s="8">
        <v>855</v>
      </c>
      <c r="B856" s="8" t="str">
        <f>'Criaturas - Base de Dados'!B144</f>
        <v>Rocha Ancestral</v>
      </c>
      <c r="C856" s="8" t="str">
        <f>'Criaturas - Base de Dados'!C144</f>
        <v>Terra</v>
      </c>
      <c r="D856" s="8" t="str">
        <f>'Criaturas - Base de Dados'!D144</f>
        <v>Ciclope Ferreiro</v>
      </c>
      <c r="E856" s="8" t="str">
        <f>'Sistema de Raridade e Evolução'!B4</f>
        <v>Prata</v>
      </c>
      <c r="F856" s="9">
        <f>ROUND(('Criaturas - Base de Dados'!H144*'Sistema de Raridade e Evolução'!E4)*1000,2)</f>
        <v>84000</v>
      </c>
      <c r="G856" s="8">
        <f>ROUND('Criaturas - Base de Dados'!I144*'Sistema de Raridade e Evolução'!E4,0)</f>
        <v>48</v>
      </c>
      <c r="H856" s="8">
        <f>ROUND('Criaturas - Base de Dados'!J144*'Sistema de Raridade e Evolução'!E4,0)</f>
        <v>42</v>
      </c>
      <c r="I856" s="8">
        <f>ROUND('Criaturas - Base de Dados'!K144*'Sistema de Raridade e Evolução'!E4,0)</f>
        <v>270</v>
      </c>
      <c r="J856" s="8">
        <f>'Sistema de Raridade e Evolução'!D4</f>
        <v>16</v>
      </c>
      <c r="K856" s="8" t="s">
        <v>10</v>
      </c>
      <c r="L856" s="9">
        <f t="shared" si="13"/>
        <v>200000</v>
      </c>
    </row>
    <row r="857" spans="1:12" ht="14.25" hidden="1" customHeight="1" x14ac:dyDescent="0.3">
      <c r="A857" s="8">
        <v>856</v>
      </c>
      <c r="B857" s="8" t="str">
        <f>'Criaturas - Base de Dados'!B144</f>
        <v>Rocha Ancestral</v>
      </c>
      <c r="C857" s="8" t="str">
        <f>'Criaturas - Base de Dados'!C144</f>
        <v>Terra</v>
      </c>
      <c r="D857" s="8" t="str">
        <f>'Criaturas - Base de Dados'!D144</f>
        <v>Ciclope Ferreiro</v>
      </c>
      <c r="E857" s="8" t="str">
        <f>'Sistema de Raridade e Evolução'!B5</f>
        <v>Ouro</v>
      </c>
      <c r="F857" s="9">
        <f>ROUND(('Criaturas - Base de Dados'!H144*'Sistema de Raridade e Evolução'!E5)*1000,2)</f>
        <v>252000</v>
      </c>
      <c r="G857" s="8">
        <f>ROUND('Criaturas - Base de Dados'!I144*'Sistema de Raridade e Evolução'!E5,0)</f>
        <v>144</v>
      </c>
      <c r="H857" s="8">
        <f>ROUND('Criaturas - Base de Dados'!J144*'Sistema de Raridade e Evolução'!E5,0)</f>
        <v>126</v>
      </c>
      <c r="I857" s="8">
        <f>ROUND('Criaturas - Base de Dados'!K144*'Sistema de Raridade e Evolução'!E5,0)</f>
        <v>810</v>
      </c>
      <c r="J857" s="8">
        <f>'Sistema de Raridade e Evolução'!D5</f>
        <v>31</v>
      </c>
      <c r="K857" s="8" t="s">
        <v>11</v>
      </c>
      <c r="L857" s="9">
        <f t="shared" si="13"/>
        <v>600000</v>
      </c>
    </row>
    <row r="858" spans="1:12" ht="14.25" hidden="1" customHeight="1" x14ac:dyDescent="0.3">
      <c r="A858" s="8">
        <v>857</v>
      </c>
      <c r="B858" s="8" t="str">
        <f>'Criaturas - Base de Dados'!B144</f>
        <v>Rocha Ancestral</v>
      </c>
      <c r="C858" s="8" t="str">
        <f>'Criaturas - Base de Dados'!C144</f>
        <v>Terra</v>
      </c>
      <c r="D858" s="8" t="str">
        <f>'Criaturas - Base de Dados'!D144</f>
        <v>Ciclope Ferreiro</v>
      </c>
      <c r="E858" s="8" t="str">
        <f>'Sistema de Raridade e Evolução'!B6</f>
        <v>Platina</v>
      </c>
      <c r="F858" s="9">
        <f>ROUND(('Criaturas - Base de Dados'!H144*'Sistema de Raridade e Evolução'!E6)*1000,2)</f>
        <v>700000</v>
      </c>
      <c r="G858" s="8">
        <f>ROUND('Criaturas - Base de Dados'!I144*'Sistema de Raridade e Evolução'!E6,0)</f>
        <v>400</v>
      </c>
      <c r="H858" s="8">
        <f>ROUND('Criaturas - Base de Dados'!J144*'Sistema de Raridade e Evolução'!E6,0)</f>
        <v>350</v>
      </c>
      <c r="I858" s="8">
        <f>ROUND('Criaturas - Base de Dados'!K144*'Sistema de Raridade e Evolução'!E6,0)</f>
        <v>2250</v>
      </c>
      <c r="J858" s="8">
        <f>'Sistema de Raridade e Evolução'!D6</f>
        <v>56</v>
      </c>
      <c r="K858" s="8" t="s">
        <v>12</v>
      </c>
      <c r="L858" s="9">
        <f t="shared" si="13"/>
        <v>1666666.67</v>
      </c>
    </row>
    <row r="859" spans="1:12" ht="14.25" hidden="1" customHeight="1" x14ac:dyDescent="0.3">
      <c r="A859" s="8">
        <v>858</v>
      </c>
      <c r="B859" s="8" t="str">
        <f>'Criaturas - Base de Dados'!B144</f>
        <v>Rocha Ancestral</v>
      </c>
      <c r="C859" s="8" t="str">
        <f>'Criaturas - Base de Dados'!C144</f>
        <v>Terra</v>
      </c>
      <c r="D859" s="8" t="str">
        <f>'Criaturas - Base de Dados'!D144</f>
        <v>Ciclope Ferreiro</v>
      </c>
      <c r="E859" s="8" t="str">
        <f>'Sistema de Raridade e Evolução'!B7</f>
        <v>Lendário</v>
      </c>
      <c r="F859" s="9">
        <f>ROUND(('Criaturas - Base de Dados'!H144*'Sistema de Raridade e Evolução'!E7)*1000,2)</f>
        <v>2100000</v>
      </c>
      <c r="G859" s="8">
        <f>ROUND('Criaturas - Base de Dados'!I144*'Sistema de Raridade e Evolução'!E7,0)</f>
        <v>1200</v>
      </c>
      <c r="H859" s="8">
        <f>ROUND('Criaturas - Base de Dados'!J144*'Sistema de Raridade e Evolução'!E7,0)</f>
        <v>1050</v>
      </c>
      <c r="I859" s="8">
        <f>ROUND('Criaturas - Base de Dados'!K144*'Sistema de Raridade e Evolução'!E7,0)</f>
        <v>6750</v>
      </c>
      <c r="J859" s="8">
        <f>'Sistema de Raridade e Evolução'!D7</f>
        <v>91</v>
      </c>
      <c r="K859" s="8" t="s">
        <v>925</v>
      </c>
      <c r="L859" s="9">
        <f t="shared" si="13"/>
        <v>5000000</v>
      </c>
    </row>
    <row r="860" spans="1:12" ht="14.25" customHeight="1" x14ac:dyDescent="0.3">
      <c r="A860" s="8">
        <v>859</v>
      </c>
      <c r="B860" s="8" t="str">
        <f>'Criaturas - Base de Dados'!B145</f>
        <v>Rocha Ancestral</v>
      </c>
      <c r="C860" s="8" t="str">
        <f>'Criaturas - Base de Dados'!C145</f>
        <v>Terra</v>
      </c>
      <c r="D860" s="8" t="str">
        <f>'Criaturas - Base de Dados'!D145</f>
        <v>Gigante de Granito</v>
      </c>
      <c r="E860" s="8" t="str">
        <f>'Sistema de Raridade e Evolução'!B2</f>
        <v>Default</v>
      </c>
      <c r="F860" s="9" t="e">
        <f>ROUND(('Criaturas - Base de Dados'!H145*'Sistema de Raridade e Evolução'!E2)*1000,2)</f>
        <v>#VALUE!</v>
      </c>
      <c r="G860" s="8" t="e">
        <f>ROUND('Criaturas - Base de Dados'!I145*'Sistema de Raridade e Evolução'!E2,0)</f>
        <v>#VALUE!</v>
      </c>
      <c r="H860" s="8" t="e">
        <f>ROUND('Criaturas - Base de Dados'!J145*'Sistema de Raridade e Evolução'!E2,0)</f>
        <v>#VALUE!</v>
      </c>
      <c r="I860" s="8" t="e">
        <f>ROUND('Criaturas - Base de Dados'!K145*'Sistema de Raridade e Evolução'!E2,0)</f>
        <v>#VALUE!</v>
      </c>
      <c r="J860" s="8">
        <f>'Sistema de Raridade e Evolução'!D2</f>
        <v>1</v>
      </c>
      <c r="K860" s="8" t="s">
        <v>8</v>
      </c>
      <c r="L860" s="9" t="e">
        <f t="shared" si="13"/>
        <v>#VALUE!</v>
      </c>
    </row>
    <row r="861" spans="1:12" ht="14.25" hidden="1" customHeight="1" x14ac:dyDescent="0.3">
      <c r="A861" s="8">
        <v>860</v>
      </c>
      <c r="B861" s="8" t="str">
        <f>'Criaturas - Base de Dados'!B145</f>
        <v>Rocha Ancestral</v>
      </c>
      <c r="C861" s="8" t="str">
        <f>'Criaturas - Base de Dados'!C145</f>
        <v>Terra</v>
      </c>
      <c r="D861" s="8" t="str">
        <f>'Criaturas - Base de Dados'!D145</f>
        <v>Gigante de Granito</v>
      </c>
      <c r="E861" s="8" t="str">
        <f>'Sistema de Raridade e Evolução'!B3</f>
        <v>Bronze</v>
      </c>
      <c r="F861" s="9">
        <f>ROUND(('Criaturas - Base de Dados'!H145*'Sistema de Raridade e Evolução'!E3)*1000,2)</f>
        <v>16000</v>
      </c>
      <c r="G861" s="8">
        <f>ROUND('Criaturas - Base de Dados'!I145*'Sistema de Raridade e Evolução'!E3,0)</f>
        <v>10</v>
      </c>
      <c r="H861" s="8">
        <f>ROUND('Criaturas - Base de Dados'!J145*'Sistema de Raridade e Evolução'!E3,0)</f>
        <v>8</v>
      </c>
      <c r="I861" s="8">
        <f>ROUND('Criaturas - Base de Dados'!K145*'Sistema de Raridade e Evolução'!E3,0)</f>
        <v>51</v>
      </c>
      <c r="J861" s="8">
        <f>'Sistema de Raridade e Evolução'!D3</f>
        <v>6</v>
      </c>
      <c r="K861" s="8" t="s">
        <v>9</v>
      </c>
      <c r="L861" s="9">
        <f t="shared" si="13"/>
        <v>38095.24</v>
      </c>
    </row>
    <row r="862" spans="1:12" ht="14.25" hidden="1" customHeight="1" x14ac:dyDescent="0.3">
      <c r="A862" s="8">
        <v>861</v>
      </c>
      <c r="B862" s="8" t="str">
        <f>'Criaturas - Base de Dados'!B145</f>
        <v>Rocha Ancestral</v>
      </c>
      <c r="C862" s="8" t="str">
        <f>'Criaturas - Base de Dados'!C145</f>
        <v>Terra</v>
      </c>
      <c r="D862" s="8" t="str">
        <f>'Criaturas - Base de Dados'!D145</f>
        <v>Gigante de Granito</v>
      </c>
      <c r="E862" s="8" t="str">
        <f>'Sistema de Raridade e Evolução'!B4</f>
        <v>Prata</v>
      </c>
      <c r="F862" s="9">
        <f>ROUND(('Criaturas - Base de Dados'!H145*'Sistema de Raridade e Evolução'!E4)*1000,2)</f>
        <v>96000</v>
      </c>
      <c r="G862" s="8">
        <f>ROUND('Criaturas - Base de Dados'!I145*'Sistema de Raridade e Evolução'!E4,0)</f>
        <v>60</v>
      </c>
      <c r="H862" s="8">
        <f>ROUND('Criaturas - Base de Dados'!J145*'Sistema de Raridade e Evolução'!E4,0)</f>
        <v>48</v>
      </c>
      <c r="I862" s="8">
        <f>ROUND('Criaturas - Base de Dados'!K145*'Sistema de Raridade e Evolução'!E4,0)</f>
        <v>306</v>
      </c>
      <c r="J862" s="8">
        <f>'Sistema de Raridade e Evolução'!D4</f>
        <v>16</v>
      </c>
      <c r="K862" s="8" t="s">
        <v>10</v>
      </c>
      <c r="L862" s="9">
        <f t="shared" si="13"/>
        <v>228571.43</v>
      </c>
    </row>
    <row r="863" spans="1:12" ht="14.25" hidden="1" customHeight="1" x14ac:dyDescent="0.3">
      <c r="A863" s="8">
        <v>862</v>
      </c>
      <c r="B863" s="8" t="str">
        <f>'Criaturas - Base de Dados'!B145</f>
        <v>Rocha Ancestral</v>
      </c>
      <c r="C863" s="8" t="str">
        <f>'Criaturas - Base de Dados'!C145</f>
        <v>Terra</v>
      </c>
      <c r="D863" s="8" t="str">
        <f>'Criaturas - Base de Dados'!D145</f>
        <v>Gigante de Granito</v>
      </c>
      <c r="E863" s="8" t="str">
        <f>'Sistema de Raridade e Evolução'!B5</f>
        <v>Ouro</v>
      </c>
      <c r="F863" s="9">
        <f>ROUND(('Criaturas - Base de Dados'!H145*'Sistema de Raridade e Evolução'!E5)*1000,2)</f>
        <v>288000</v>
      </c>
      <c r="G863" s="8">
        <f>ROUND('Criaturas - Base de Dados'!I145*'Sistema de Raridade e Evolução'!E5,0)</f>
        <v>180</v>
      </c>
      <c r="H863" s="8">
        <f>ROUND('Criaturas - Base de Dados'!J145*'Sistema de Raridade e Evolução'!E5,0)</f>
        <v>144</v>
      </c>
      <c r="I863" s="8">
        <f>ROUND('Criaturas - Base de Dados'!K145*'Sistema de Raridade e Evolução'!E5,0)</f>
        <v>918</v>
      </c>
      <c r="J863" s="8">
        <f>'Sistema de Raridade e Evolução'!D5</f>
        <v>31</v>
      </c>
      <c r="K863" s="8" t="s">
        <v>11</v>
      </c>
      <c r="L863" s="9">
        <f t="shared" si="13"/>
        <v>685714.29</v>
      </c>
    </row>
    <row r="864" spans="1:12" ht="14.25" hidden="1" customHeight="1" x14ac:dyDescent="0.3">
      <c r="A864" s="8">
        <v>863</v>
      </c>
      <c r="B864" s="8" t="str">
        <f>'Criaturas - Base de Dados'!B145</f>
        <v>Rocha Ancestral</v>
      </c>
      <c r="C864" s="8" t="str">
        <f>'Criaturas - Base de Dados'!C145</f>
        <v>Terra</v>
      </c>
      <c r="D864" s="8" t="str">
        <f>'Criaturas - Base de Dados'!D145</f>
        <v>Gigante de Granito</v>
      </c>
      <c r="E864" s="8" t="str">
        <f>'Sistema de Raridade e Evolução'!B6</f>
        <v>Platina</v>
      </c>
      <c r="F864" s="9">
        <f>ROUND(('Criaturas - Base de Dados'!H145*'Sistema de Raridade e Evolução'!E6)*1000,2)</f>
        <v>800000</v>
      </c>
      <c r="G864" s="8">
        <f>ROUND('Criaturas - Base de Dados'!I145*'Sistema de Raridade e Evolução'!E6,0)</f>
        <v>500</v>
      </c>
      <c r="H864" s="8">
        <f>ROUND('Criaturas - Base de Dados'!J145*'Sistema de Raridade e Evolução'!E6,0)</f>
        <v>400</v>
      </c>
      <c r="I864" s="8">
        <f>ROUND('Criaturas - Base de Dados'!K145*'Sistema de Raridade e Evolução'!E6,0)</f>
        <v>2550</v>
      </c>
      <c r="J864" s="8">
        <f>'Sistema de Raridade e Evolução'!D6</f>
        <v>56</v>
      </c>
      <c r="K864" s="8" t="s">
        <v>12</v>
      </c>
      <c r="L864" s="9">
        <f t="shared" si="13"/>
        <v>1904761.9</v>
      </c>
    </row>
    <row r="865" spans="1:12" ht="14.25" hidden="1" customHeight="1" x14ac:dyDescent="0.3">
      <c r="A865" s="8">
        <v>864</v>
      </c>
      <c r="B865" s="8" t="str">
        <f>'Criaturas - Base de Dados'!B145</f>
        <v>Rocha Ancestral</v>
      </c>
      <c r="C865" s="8" t="str">
        <f>'Criaturas - Base de Dados'!C145</f>
        <v>Terra</v>
      </c>
      <c r="D865" s="8" t="str">
        <f>'Criaturas - Base de Dados'!D145</f>
        <v>Gigante de Granito</v>
      </c>
      <c r="E865" s="8" t="str">
        <f>'Sistema de Raridade e Evolução'!B7</f>
        <v>Lendário</v>
      </c>
      <c r="F865" s="9">
        <f>ROUND(('Criaturas - Base de Dados'!H145*'Sistema de Raridade e Evolução'!E7)*1000,2)</f>
        <v>2400000</v>
      </c>
      <c r="G865" s="8">
        <f>ROUND('Criaturas - Base de Dados'!I145*'Sistema de Raridade e Evolução'!E7,0)</f>
        <v>1500</v>
      </c>
      <c r="H865" s="8">
        <f>ROUND('Criaturas - Base de Dados'!J145*'Sistema de Raridade e Evolução'!E7,0)</f>
        <v>1200</v>
      </c>
      <c r="I865" s="8">
        <f>ROUND('Criaturas - Base de Dados'!K145*'Sistema de Raridade e Evolução'!E7,0)</f>
        <v>7650</v>
      </c>
      <c r="J865" s="8">
        <f>'Sistema de Raridade e Evolução'!D7</f>
        <v>91</v>
      </c>
      <c r="K865" s="8" t="s">
        <v>925</v>
      </c>
      <c r="L865" s="9">
        <f t="shared" si="13"/>
        <v>5714285.71</v>
      </c>
    </row>
    <row r="866" spans="1:12" ht="14.25" customHeight="1" x14ac:dyDescent="0.3">
      <c r="A866" s="8">
        <v>865</v>
      </c>
      <c r="B866" s="8" t="str">
        <f>'Criaturas - Base de Dados'!B146</f>
        <v>Rocha Ancestral</v>
      </c>
      <c r="C866" s="8" t="str">
        <f>'Criaturas - Base de Dados'!C146</f>
        <v>Terra</v>
      </c>
      <c r="D866" s="8" t="str">
        <f>'Criaturas - Base de Dados'!D146</f>
        <v>Behemoth Ancestral</v>
      </c>
      <c r="E866" s="8" t="str">
        <f>'Sistema de Raridade e Evolução'!B2</f>
        <v>Default</v>
      </c>
      <c r="F866" s="9" t="e">
        <f>ROUND(('Criaturas - Base de Dados'!H146*'Sistema de Raridade e Evolução'!E2)*1000,2)</f>
        <v>#VALUE!</v>
      </c>
      <c r="G866" s="8" t="e">
        <f>ROUND('Criaturas - Base de Dados'!I146*'Sistema de Raridade e Evolução'!E2,0)</f>
        <v>#VALUE!</v>
      </c>
      <c r="H866" s="8" t="e">
        <f>ROUND('Criaturas - Base de Dados'!J146*'Sistema de Raridade e Evolução'!E2,0)</f>
        <v>#VALUE!</v>
      </c>
      <c r="I866" s="8" t="e">
        <f>ROUND('Criaturas - Base de Dados'!K146*'Sistema de Raridade e Evolução'!E2,0)</f>
        <v>#VALUE!</v>
      </c>
      <c r="J866" s="8">
        <f>'Sistema de Raridade e Evolução'!D2</f>
        <v>1</v>
      </c>
      <c r="K866" s="8" t="s">
        <v>8</v>
      </c>
      <c r="L866" s="9" t="e">
        <f t="shared" si="13"/>
        <v>#VALUE!</v>
      </c>
    </row>
    <row r="867" spans="1:12" ht="14.25" hidden="1" customHeight="1" x14ac:dyDescent="0.3">
      <c r="A867" s="8">
        <v>866</v>
      </c>
      <c r="B867" s="8" t="str">
        <f>'Criaturas - Base de Dados'!B146</f>
        <v>Rocha Ancestral</v>
      </c>
      <c r="C867" s="8" t="str">
        <f>'Criaturas - Base de Dados'!C146</f>
        <v>Terra</v>
      </c>
      <c r="D867" s="8" t="str">
        <f>'Criaturas - Base de Dados'!D146</f>
        <v>Behemoth Ancestral</v>
      </c>
      <c r="E867" s="8" t="str">
        <f>'Sistema de Raridade e Evolução'!B3</f>
        <v>Bronze</v>
      </c>
      <c r="F867" s="9">
        <f>ROUND(('Criaturas - Base de Dados'!H146*'Sistema de Raridade e Evolução'!E3)*1000,2)</f>
        <v>16000</v>
      </c>
      <c r="G867" s="8">
        <f>ROUND('Criaturas - Base de Dados'!I146*'Sistema de Raridade e Evolução'!E3,0)</f>
        <v>10</v>
      </c>
      <c r="H867" s="8">
        <f>ROUND('Criaturas - Base de Dados'!J146*'Sistema de Raridade e Evolução'!E3,0)</f>
        <v>8</v>
      </c>
      <c r="I867" s="8">
        <f>ROUND('Criaturas - Base de Dados'!K146*'Sistema de Raridade e Evolução'!E3,0)</f>
        <v>51</v>
      </c>
      <c r="J867" s="8">
        <f>'Sistema de Raridade e Evolução'!D3</f>
        <v>6</v>
      </c>
      <c r="K867" s="8" t="s">
        <v>9</v>
      </c>
      <c r="L867" s="9">
        <f t="shared" si="13"/>
        <v>38095.24</v>
      </c>
    </row>
    <row r="868" spans="1:12" ht="14.25" hidden="1" customHeight="1" x14ac:dyDescent="0.3">
      <c r="A868" s="8">
        <v>867</v>
      </c>
      <c r="B868" s="8" t="str">
        <f>'Criaturas - Base de Dados'!B146</f>
        <v>Rocha Ancestral</v>
      </c>
      <c r="C868" s="8" t="str">
        <f>'Criaturas - Base de Dados'!C146</f>
        <v>Terra</v>
      </c>
      <c r="D868" s="8" t="str">
        <f>'Criaturas - Base de Dados'!D146</f>
        <v>Behemoth Ancestral</v>
      </c>
      <c r="E868" s="8" t="str">
        <f>'Sistema de Raridade e Evolução'!B4</f>
        <v>Prata</v>
      </c>
      <c r="F868" s="9">
        <f>ROUND(('Criaturas - Base de Dados'!H146*'Sistema de Raridade e Evolução'!E4)*1000,2)</f>
        <v>96000</v>
      </c>
      <c r="G868" s="8">
        <f>ROUND('Criaturas - Base de Dados'!I146*'Sistema de Raridade e Evolução'!E4,0)</f>
        <v>60</v>
      </c>
      <c r="H868" s="8">
        <f>ROUND('Criaturas - Base de Dados'!J146*'Sistema de Raridade e Evolução'!E4,0)</f>
        <v>48</v>
      </c>
      <c r="I868" s="8">
        <f>ROUND('Criaturas - Base de Dados'!K146*'Sistema de Raridade e Evolução'!E4,0)</f>
        <v>306</v>
      </c>
      <c r="J868" s="8">
        <f>'Sistema de Raridade e Evolução'!D4</f>
        <v>16</v>
      </c>
      <c r="K868" s="8" t="s">
        <v>10</v>
      </c>
      <c r="L868" s="9">
        <f t="shared" si="13"/>
        <v>228571.43</v>
      </c>
    </row>
    <row r="869" spans="1:12" ht="14.25" hidden="1" customHeight="1" x14ac:dyDescent="0.3">
      <c r="A869" s="8">
        <v>868</v>
      </c>
      <c r="B869" s="8" t="str">
        <f>'Criaturas - Base de Dados'!B146</f>
        <v>Rocha Ancestral</v>
      </c>
      <c r="C869" s="8" t="str">
        <f>'Criaturas - Base de Dados'!C146</f>
        <v>Terra</v>
      </c>
      <c r="D869" s="8" t="str">
        <f>'Criaturas - Base de Dados'!D146</f>
        <v>Behemoth Ancestral</v>
      </c>
      <c r="E869" s="8" t="str">
        <f>'Sistema de Raridade e Evolução'!B5</f>
        <v>Ouro</v>
      </c>
      <c r="F869" s="9">
        <f>ROUND(('Criaturas - Base de Dados'!H146*'Sistema de Raridade e Evolução'!E5)*1000,2)</f>
        <v>288000</v>
      </c>
      <c r="G869" s="8">
        <f>ROUND('Criaturas - Base de Dados'!I146*'Sistema de Raridade e Evolução'!E5,0)</f>
        <v>180</v>
      </c>
      <c r="H869" s="8">
        <f>ROUND('Criaturas - Base de Dados'!J146*'Sistema de Raridade e Evolução'!E5,0)</f>
        <v>144</v>
      </c>
      <c r="I869" s="8">
        <f>ROUND('Criaturas - Base de Dados'!K146*'Sistema de Raridade e Evolução'!E5,0)</f>
        <v>918</v>
      </c>
      <c r="J869" s="8">
        <f>'Sistema de Raridade e Evolução'!D5</f>
        <v>31</v>
      </c>
      <c r="K869" s="8" t="s">
        <v>11</v>
      </c>
      <c r="L869" s="9">
        <f t="shared" si="13"/>
        <v>685714.29</v>
      </c>
    </row>
    <row r="870" spans="1:12" ht="14.25" hidden="1" customHeight="1" x14ac:dyDescent="0.3">
      <c r="A870" s="8">
        <v>869</v>
      </c>
      <c r="B870" s="8" t="str">
        <f>'Criaturas - Base de Dados'!B146</f>
        <v>Rocha Ancestral</v>
      </c>
      <c r="C870" s="8" t="str">
        <f>'Criaturas - Base de Dados'!C146</f>
        <v>Terra</v>
      </c>
      <c r="D870" s="8" t="str">
        <f>'Criaturas - Base de Dados'!D146</f>
        <v>Behemoth Ancestral</v>
      </c>
      <c r="E870" s="8" t="str">
        <f>'Sistema de Raridade e Evolução'!B6</f>
        <v>Platina</v>
      </c>
      <c r="F870" s="9">
        <f>ROUND(('Criaturas - Base de Dados'!H146*'Sistema de Raridade e Evolução'!E6)*1000,2)</f>
        <v>800000</v>
      </c>
      <c r="G870" s="8">
        <f>ROUND('Criaturas - Base de Dados'!I146*'Sistema de Raridade e Evolução'!E6,0)</f>
        <v>500</v>
      </c>
      <c r="H870" s="8">
        <f>ROUND('Criaturas - Base de Dados'!J146*'Sistema de Raridade e Evolução'!E6,0)</f>
        <v>400</v>
      </c>
      <c r="I870" s="8">
        <f>ROUND('Criaturas - Base de Dados'!K146*'Sistema de Raridade e Evolução'!E6,0)</f>
        <v>2550</v>
      </c>
      <c r="J870" s="8">
        <f>'Sistema de Raridade e Evolução'!D6</f>
        <v>56</v>
      </c>
      <c r="K870" s="8" t="s">
        <v>12</v>
      </c>
      <c r="L870" s="9">
        <f t="shared" si="13"/>
        <v>1904761.9</v>
      </c>
    </row>
    <row r="871" spans="1:12" ht="14.25" hidden="1" customHeight="1" x14ac:dyDescent="0.3">
      <c r="A871" s="8">
        <v>870</v>
      </c>
      <c r="B871" s="8" t="str">
        <f>'Criaturas - Base de Dados'!B146</f>
        <v>Rocha Ancestral</v>
      </c>
      <c r="C871" s="8" t="str">
        <f>'Criaturas - Base de Dados'!C146</f>
        <v>Terra</v>
      </c>
      <c r="D871" s="8" t="str">
        <f>'Criaturas - Base de Dados'!D146</f>
        <v>Behemoth Ancestral</v>
      </c>
      <c r="E871" s="8" t="str">
        <f>'Sistema de Raridade e Evolução'!B7</f>
        <v>Lendário</v>
      </c>
      <c r="F871" s="9">
        <f>ROUND(('Criaturas - Base de Dados'!H146*'Sistema de Raridade e Evolução'!E7)*1000,2)</f>
        <v>2400000</v>
      </c>
      <c r="G871" s="8">
        <f>ROUND('Criaturas - Base de Dados'!I146*'Sistema de Raridade e Evolução'!E7,0)</f>
        <v>1500</v>
      </c>
      <c r="H871" s="8">
        <f>ROUND('Criaturas - Base de Dados'!J146*'Sistema de Raridade e Evolução'!E7,0)</f>
        <v>1200</v>
      </c>
      <c r="I871" s="8">
        <f>ROUND('Criaturas - Base de Dados'!K146*'Sistema de Raridade e Evolução'!E7,0)</f>
        <v>7650</v>
      </c>
      <c r="J871" s="8">
        <f>'Sistema de Raridade e Evolução'!D7</f>
        <v>91</v>
      </c>
      <c r="K871" s="8" t="s">
        <v>925</v>
      </c>
      <c r="L871" s="9">
        <f t="shared" si="13"/>
        <v>5714285.71</v>
      </c>
    </row>
    <row r="872" spans="1:12" ht="14.25" customHeight="1" x14ac:dyDescent="0.3">
      <c r="A872" s="8">
        <v>871</v>
      </c>
      <c r="B872" s="8" t="str">
        <f>'Criaturas - Base de Dados'!B147</f>
        <v>Rocha Ancestral</v>
      </c>
      <c r="C872" s="8" t="str">
        <f>'Criaturas - Base de Dados'!C147</f>
        <v>Terra</v>
      </c>
      <c r="D872" s="8" t="str">
        <f>'Criaturas - Base de Dados'!D147</f>
        <v>Gnomo Guardião</v>
      </c>
      <c r="E872" s="8" t="str">
        <f>'Sistema de Raridade e Evolução'!B2</f>
        <v>Default</v>
      </c>
      <c r="F872" s="9" t="e">
        <f>ROUND(('Criaturas - Base de Dados'!H147*'Sistema de Raridade e Evolução'!E2)*1000,2)</f>
        <v>#VALUE!</v>
      </c>
      <c r="G872" s="8" t="e">
        <f>ROUND('Criaturas - Base de Dados'!I147*'Sistema de Raridade e Evolução'!E2,0)</f>
        <v>#VALUE!</v>
      </c>
      <c r="H872" s="8" t="e">
        <f>ROUND('Criaturas - Base de Dados'!J147*'Sistema de Raridade e Evolução'!E2,0)</f>
        <v>#VALUE!</v>
      </c>
      <c r="I872" s="8" t="e">
        <f>ROUND('Criaturas - Base de Dados'!K147*'Sistema de Raridade e Evolução'!E2,0)</f>
        <v>#VALUE!</v>
      </c>
      <c r="J872" s="8">
        <f>'Sistema de Raridade e Evolução'!D2</f>
        <v>1</v>
      </c>
      <c r="K872" s="8" t="s">
        <v>8</v>
      </c>
      <c r="L872" s="9" t="e">
        <f t="shared" si="13"/>
        <v>#VALUE!</v>
      </c>
    </row>
    <row r="873" spans="1:12" ht="14.25" hidden="1" customHeight="1" x14ac:dyDescent="0.3">
      <c r="A873" s="8">
        <v>872</v>
      </c>
      <c r="B873" s="8" t="str">
        <f>'Criaturas - Base de Dados'!B147</f>
        <v>Rocha Ancestral</v>
      </c>
      <c r="C873" s="8" t="str">
        <f>'Criaturas - Base de Dados'!C147</f>
        <v>Terra</v>
      </c>
      <c r="D873" s="8" t="str">
        <f>'Criaturas - Base de Dados'!D147</f>
        <v>Gnomo Guardião</v>
      </c>
      <c r="E873" s="8" t="str">
        <f>'Sistema de Raridade e Evolução'!B3</f>
        <v>Bronze</v>
      </c>
      <c r="F873" s="9">
        <f>ROUND(('Criaturas - Base de Dados'!H147*'Sistema de Raridade e Evolução'!E3)*1000,2)</f>
        <v>18000</v>
      </c>
      <c r="G873" s="8">
        <f>ROUND('Criaturas - Base de Dados'!I147*'Sistema de Raridade e Evolução'!E3,0)</f>
        <v>11</v>
      </c>
      <c r="H873" s="8">
        <f>ROUND('Criaturas - Base de Dados'!J147*'Sistema de Raridade e Evolução'!E3,0)</f>
        <v>9</v>
      </c>
      <c r="I873" s="8">
        <f>ROUND('Criaturas - Base de Dados'!K147*'Sistema de Raridade e Evolução'!E3,0)</f>
        <v>58</v>
      </c>
      <c r="J873" s="8">
        <f>'Sistema de Raridade e Evolução'!D3</f>
        <v>6</v>
      </c>
      <c r="K873" s="8" t="s">
        <v>9</v>
      </c>
      <c r="L873" s="9">
        <f t="shared" si="13"/>
        <v>42857.14</v>
      </c>
    </row>
    <row r="874" spans="1:12" ht="14.25" hidden="1" customHeight="1" x14ac:dyDescent="0.3">
      <c r="A874" s="8">
        <v>873</v>
      </c>
      <c r="B874" s="8" t="str">
        <f>'Criaturas - Base de Dados'!B147</f>
        <v>Rocha Ancestral</v>
      </c>
      <c r="C874" s="8" t="str">
        <f>'Criaturas - Base de Dados'!C147</f>
        <v>Terra</v>
      </c>
      <c r="D874" s="8" t="str">
        <f>'Criaturas - Base de Dados'!D147</f>
        <v>Gnomo Guardião</v>
      </c>
      <c r="E874" s="8" t="str">
        <f>'Sistema de Raridade e Evolução'!B4</f>
        <v>Prata</v>
      </c>
      <c r="F874" s="9">
        <f>ROUND(('Criaturas - Base de Dados'!H147*'Sistema de Raridade e Evolução'!E4)*1000,2)</f>
        <v>108000</v>
      </c>
      <c r="G874" s="8">
        <f>ROUND('Criaturas - Base de Dados'!I147*'Sistema de Raridade e Evolução'!E4,0)</f>
        <v>66</v>
      </c>
      <c r="H874" s="8">
        <f>ROUND('Criaturas - Base de Dados'!J147*'Sistema de Raridade e Evolução'!E4,0)</f>
        <v>54</v>
      </c>
      <c r="I874" s="8">
        <f>ROUND('Criaturas - Base de Dados'!K147*'Sistema de Raridade e Evolução'!E4,0)</f>
        <v>348</v>
      </c>
      <c r="J874" s="8">
        <f>'Sistema de Raridade e Evolução'!D4</f>
        <v>16</v>
      </c>
      <c r="K874" s="8" t="s">
        <v>10</v>
      </c>
      <c r="L874" s="9">
        <f t="shared" si="13"/>
        <v>257142.86</v>
      </c>
    </row>
    <row r="875" spans="1:12" ht="14.25" hidden="1" customHeight="1" x14ac:dyDescent="0.3">
      <c r="A875" s="8">
        <v>874</v>
      </c>
      <c r="B875" s="8" t="str">
        <f>'Criaturas - Base de Dados'!B147</f>
        <v>Rocha Ancestral</v>
      </c>
      <c r="C875" s="8" t="str">
        <f>'Criaturas - Base de Dados'!C147</f>
        <v>Terra</v>
      </c>
      <c r="D875" s="8" t="str">
        <f>'Criaturas - Base de Dados'!D147</f>
        <v>Gnomo Guardião</v>
      </c>
      <c r="E875" s="8" t="str">
        <f>'Sistema de Raridade e Evolução'!B5</f>
        <v>Ouro</v>
      </c>
      <c r="F875" s="9">
        <f>ROUND(('Criaturas - Base de Dados'!H147*'Sistema de Raridade e Evolução'!E5)*1000,2)</f>
        <v>324000</v>
      </c>
      <c r="G875" s="8">
        <f>ROUND('Criaturas - Base de Dados'!I147*'Sistema de Raridade e Evolução'!E5,0)</f>
        <v>198</v>
      </c>
      <c r="H875" s="8">
        <f>ROUND('Criaturas - Base de Dados'!J147*'Sistema de Raridade e Evolução'!E5,0)</f>
        <v>162</v>
      </c>
      <c r="I875" s="8">
        <f>ROUND('Criaturas - Base de Dados'!K147*'Sistema de Raridade e Evolução'!E5,0)</f>
        <v>1044</v>
      </c>
      <c r="J875" s="8">
        <f>'Sistema de Raridade e Evolução'!D5</f>
        <v>31</v>
      </c>
      <c r="K875" s="8" t="s">
        <v>11</v>
      </c>
      <c r="L875" s="9">
        <f t="shared" si="13"/>
        <v>771428.57</v>
      </c>
    </row>
    <row r="876" spans="1:12" ht="14.25" hidden="1" customHeight="1" x14ac:dyDescent="0.3">
      <c r="A876" s="8">
        <v>875</v>
      </c>
      <c r="B876" s="8" t="str">
        <f>'Criaturas - Base de Dados'!B147</f>
        <v>Rocha Ancestral</v>
      </c>
      <c r="C876" s="8" t="str">
        <f>'Criaturas - Base de Dados'!C147</f>
        <v>Terra</v>
      </c>
      <c r="D876" s="8" t="str">
        <f>'Criaturas - Base de Dados'!D147</f>
        <v>Gnomo Guardião</v>
      </c>
      <c r="E876" s="8" t="str">
        <f>'Sistema de Raridade e Evolução'!B6</f>
        <v>Platina</v>
      </c>
      <c r="F876" s="9">
        <f>ROUND(('Criaturas - Base de Dados'!H147*'Sistema de Raridade e Evolução'!E6)*1000,2)</f>
        <v>900000</v>
      </c>
      <c r="G876" s="8">
        <f>ROUND('Criaturas - Base de Dados'!I147*'Sistema de Raridade e Evolução'!E6,0)</f>
        <v>550</v>
      </c>
      <c r="H876" s="8">
        <f>ROUND('Criaturas - Base de Dados'!J147*'Sistema de Raridade e Evolução'!E6,0)</f>
        <v>450</v>
      </c>
      <c r="I876" s="8">
        <f>ROUND('Criaturas - Base de Dados'!K147*'Sistema de Raridade e Evolução'!E6,0)</f>
        <v>2900</v>
      </c>
      <c r="J876" s="8">
        <f>'Sistema de Raridade e Evolução'!D6</f>
        <v>56</v>
      </c>
      <c r="K876" s="8" t="s">
        <v>12</v>
      </c>
      <c r="L876" s="9">
        <f t="shared" si="13"/>
        <v>2142857.14</v>
      </c>
    </row>
    <row r="877" spans="1:12" ht="14.25" hidden="1" customHeight="1" x14ac:dyDescent="0.3">
      <c r="A877" s="8">
        <v>876</v>
      </c>
      <c r="B877" s="8" t="str">
        <f>'Criaturas - Base de Dados'!B147</f>
        <v>Rocha Ancestral</v>
      </c>
      <c r="C877" s="8" t="str">
        <f>'Criaturas - Base de Dados'!C147</f>
        <v>Terra</v>
      </c>
      <c r="D877" s="8" t="str">
        <f>'Criaturas - Base de Dados'!D147</f>
        <v>Gnomo Guardião</v>
      </c>
      <c r="E877" s="8" t="str">
        <f>'Sistema de Raridade e Evolução'!B7</f>
        <v>Lendário</v>
      </c>
      <c r="F877" s="9">
        <f>ROUND(('Criaturas - Base de Dados'!H147*'Sistema de Raridade e Evolução'!E7)*1000,2)</f>
        <v>2700000</v>
      </c>
      <c r="G877" s="8">
        <f>ROUND('Criaturas - Base de Dados'!I147*'Sistema de Raridade e Evolução'!E7,0)</f>
        <v>1650</v>
      </c>
      <c r="H877" s="8">
        <f>ROUND('Criaturas - Base de Dados'!J147*'Sistema de Raridade e Evolução'!E7,0)</f>
        <v>1350</v>
      </c>
      <c r="I877" s="8">
        <f>ROUND('Criaturas - Base de Dados'!K147*'Sistema de Raridade e Evolução'!E7,0)</f>
        <v>8700</v>
      </c>
      <c r="J877" s="8">
        <f>'Sistema de Raridade e Evolução'!D7</f>
        <v>91</v>
      </c>
      <c r="K877" s="8" t="s">
        <v>925</v>
      </c>
      <c r="L877" s="9">
        <f t="shared" si="13"/>
        <v>6428571.4299999997</v>
      </c>
    </row>
    <row r="878" spans="1:12" ht="14.25" customHeight="1" x14ac:dyDescent="0.3">
      <c r="A878" s="8">
        <v>877</v>
      </c>
      <c r="B878" s="8" t="str">
        <f>'Criaturas - Base de Dados'!B148</f>
        <v>Rocha Ancestral</v>
      </c>
      <c r="C878" s="8" t="str">
        <f>'Criaturas - Base de Dados'!C148</f>
        <v>Terra</v>
      </c>
      <c r="D878" s="8" t="str">
        <f>'Criaturas - Base de Dados'!D148</f>
        <v>Anão Ferreiro Ancestral</v>
      </c>
      <c r="E878" s="8" t="str">
        <f>'Sistema de Raridade e Evolução'!B2</f>
        <v>Default</v>
      </c>
      <c r="F878" s="9" t="e">
        <f>ROUND(('Criaturas - Base de Dados'!H148*'Sistema de Raridade e Evolução'!E2)*1000,2)</f>
        <v>#VALUE!</v>
      </c>
      <c r="G878" s="8" t="e">
        <f>ROUND('Criaturas - Base de Dados'!I148*'Sistema de Raridade e Evolução'!E2,0)</f>
        <v>#VALUE!</v>
      </c>
      <c r="H878" s="8" t="e">
        <f>ROUND('Criaturas - Base de Dados'!J148*'Sistema de Raridade e Evolução'!E2,0)</f>
        <v>#VALUE!</v>
      </c>
      <c r="I878" s="8" t="e">
        <f>ROUND('Criaturas - Base de Dados'!K148*'Sistema de Raridade e Evolução'!E2,0)</f>
        <v>#VALUE!</v>
      </c>
      <c r="J878" s="8">
        <f>'Sistema de Raridade e Evolução'!D2</f>
        <v>1</v>
      </c>
      <c r="K878" s="8" t="s">
        <v>8</v>
      </c>
      <c r="L878" s="9" t="e">
        <f t="shared" si="13"/>
        <v>#VALUE!</v>
      </c>
    </row>
    <row r="879" spans="1:12" ht="14.25" hidden="1" customHeight="1" x14ac:dyDescent="0.3">
      <c r="A879" s="8">
        <v>878</v>
      </c>
      <c r="B879" s="8" t="str">
        <f>'Criaturas - Base de Dados'!B148</f>
        <v>Rocha Ancestral</v>
      </c>
      <c r="C879" s="8" t="str">
        <f>'Criaturas - Base de Dados'!C148</f>
        <v>Terra</v>
      </c>
      <c r="D879" s="8" t="str">
        <f>'Criaturas - Base de Dados'!D148</f>
        <v>Anão Ferreiro Ancestral</v>
      </c>
      <c r="E879" s="8" t="str">
        <f>'Sistema de Raridade e Evolução'!B3</f>
        <v>Bronze</v>
      </c>
      <c r="F879" s="9">
        <f>ROUND(('Criaturas - Base de Dados'!H148*'Sistema de Raridade e Evolução'!E3)*1000,2)</f>
        <v>20000</v>
      </c>
      <c r="G879" s="8">
        <f>ROUND('Criaturas - Base de Dados'!I148*'Sistema de Raridade e Evolução'!E3,0)</f>
        <v>12</v>
      </c>
      <c r="H879" s="8">
        <f>ROUND('Criaturas - Base de Dados'!J148*'Sistema de Raridade e Evolução'!E3,0)</f>
        <v>10</v>
      </c>
      <c r="I879" s="8">
        <f>ROUND('Criaturas - Base de Dados'!K148*'Sistema de Raridade e Evolução'!E3,0)</f>
        <v>64</v>
      </c>
      <c r="J879" s="8">
        <f>'Sistema de Raridade e Evolução'!D3</f>
        <v>6</v>
      </c>
      <c r="K879" s="8" t="s">
        <v>9</v>
      </c>
      <c r="L879" s="9">
        <f t="shared" si="13"/>
        <v>47619.05</v>
      </c>
    </row>
    <row r="880" spans="1:12" ht="14.25" hidden="1" customHeight="1" x14ac:dyDescent="0.3">
      <c r="A880" s="8">
        <v>879</v>
      </c>
      <c r="B880" s="8" t="str">
        <f>'Criaturas - Base de Dados'!B148</f>
        <v>Rocha Ancestral</v>
      </c>
      <c r="C880" s="8" t="str">
        <f>'Criaturas - Base de Dados'!C148</f>
        <v>Terra</v>
      </c>
      <c r="D880" s="8" t="str">
        <f>'Criaturas - Base de Dados'!D148</f>
        <v>Anão Ferreiro Ancestral</v>
      </c>
      <c r="E880" s="8" t="str">
        <f>'Sistema de Raridade e Evolução'!B4</f>
        <v>Prata</v>
      </c>
      <c r="F880" s="9">
        <f>ROUND(('Criaturas - Base de Dados'!H148*'Sistema de Raridade e Evolução'!E4)*1000,2)</f>
        <v>120000</v>
      </c>
      <c r="G880" s="8">
        <f>ROUND('Criaturas - Base de Dados'!I148*'Sistema de Raridade e Evolução'!E4,0)</f>
        <v>72</v>
      </c>
      <c r="H880" s="8">
        <f>ROUND('Criaturas - Base de Dados'!J148*'Sistema de Raridade e Evolução'!E4,0)</f>
        <v>60</v>
      </c>
      <c r="I880" s="8">
        <f>ROUND('Criaturas - Base de Dados'!K148*'Sistema de Raridade e Evolução'!E4,0)</f>
        <v>384</v>
      </c>
      <c r="J880" s="8">
        <f>'Sistema de Raridade e Evolução'!D4</f>
        <v>16</v>
      </c>
      <c r="K880" s="8" t="s">
        <v>10</v>
      </c>
      <c r="L880" s="9">
        <f t="shared" si="13"/>
        <v>285714.28999999998</v>
      </c>
    </row>
    <row r="881" spans="1:12" ht="14.25" hidden="1" customHeight="1" x14ac:dyDescent="0.3">
      <c r="A881" s="8">
        <v>880</v>
      </c>
      <c r="B881" s="8" t="str">
        <f>'Criaturas - Base de Dados'!B148</f>
        <v>Rocha Ancestral</v>
      </c>
      <c r="C881" s="8" t="str">
        <f>'Criaturas - Base de Dados'!C148</f>
        <v>Terra</v>
      </c>
      <c r="D881" s="8" t="str">
        <f>'Criaturas - Base de Dados'!D148</f>
        <v>Anão Ferreiro Ancestral</v>
      </c>
      <c r="E881" s="8" t="str">
        <f>'Sistema de Raridade e Evolução'!B5</f>
        <v>Ouro</v>
      </c>
      <c r="F881" s="9">
        <f>ROUND(('Criaturas - Base de Dados'!H148*'Sistema de Raridade e Evolução'!E5)*1000,2)</f>
        <v>360000</v>
      </c>
      <c r="G881" s="8">
        <f>ROUND('Criaturas - Base de Dados'!I148*'Sistema de Raridade e Evolução'!E5,0)</f>
        <v>216</v>
      </c>
      <c r="H881" s="8">
        <f>ROUND('Criaturas - Base de Dados'!J148*'Sistema de Raridade e Evolução'!E5,0)</f>
        <v>180</v>
      </c>
      <c r="I881" s="8">
        <f>ROUND('Criaturas - Base de Dados'!K148*'Sistema de Raridade e Evolução'!E5,0)</f>
        <v>1152</v>
      </c>
      <c r="J881" s="8">
        <f>'Sistema de Raridade e Evolução'!D5</f>
        <v>31</v>
      </c>
      <c r="K881" s="8" t="s">
        <v>11</v>
      </c>
      <c r="L881" s="9">
        <f t="shared" si="13"/>
        <v>857142.86</v>
      </c>
    </row>
    <row r="882" spans="1:12" ht="14.25" hidden="1" customHeight="1" x14ac:dyDescent="0.3">
      <c r="A882" s="8">
        <v>881</v>
      </c>
      <c r="B882" s="8" t="str">
        <f>'Criaturas - Base de Dados'!B148</f>
        <v>Rocha Ancestral</v>
      </c>
      <c r="C882" s="8" t="str">
        <f>'Criaturas - Base de Dados'!C148</f>
        <v>Terra</v>
      </c>
      <c r="D882" s="8" t="str">
        <f>'Criaturas - Base de Dados'!D148</f>
        <v>Anão Ferreiro Ancestral</v>
      </c>
      <c r="E882" s="8" t="str">
        <f>'Sistema de Raridade e Evolução'!B6</f>
        <v>Platina</v>
      </c>
      <c r="F882" s="9">
        <f>ROUND(('Criaturas - Base de Dados'!H148*'Sistema de Raridade e Evolução'!E6)*1000,2)</f>
        <v>1000000</v>
      </c>
      <c r="G882" s="8">
        <f>ROUND('Criaturas - Base de Dados'!I148*'Sistema de Raridade e Evolução'!E6,0)</f>
        <v>600</v>
      </c>
      <c r="H882" s="8">
        <f>ROUND('Criaturas - Base de Dados'!J148*'Sistema de Raridade e Evolução'!E6,0)</f>
        <v>500</v>
      </c>
      <c r="I882" s="8">
        <f>ROUND('Criaturas - Base de Dados'!K148*'Sistema de Raridade e Evolução'!E6,0)</f>
        <v>3200</v>
      </c>
      <c r="J882" s="8">
        <f>'Sistema de Raridade e Evolução'!D6</f>
        <v>56</v>
      </c>
      <c r="K882" s="8" t="s">
        <v>12</v>
      </c>
      <c r="L882" s="9">
        <f t="shared" si="13"/>
        <v>2380952.38</v>
      </c>
    </row>
    <row r="883" spans="1:12" ht="14.25" hidden="1" customHeight="1" x14ac:dyDescent="0.3">
      <c r="A883" s="8">
        <v>882</v>
      </c>
      <c r="B883" s="8" t="str">
        <f>'Criaturas - Base de Dados'!B148</f>
        <v>Rocha Ancestral</v>
      </c>
      <c r="C883" s="8" t="str">
        <f>'Criaturas - Base de Dados'!C148</f>
        <v>Terra</v>
      </c>
      <c r="D883" s="8" t="str">
        <f>'Criaturas - Base de Dados'!D148</f>
        <v>Anão Ferreiro Ancestral</v>
      </c>
      <c r="E883" s="8" t="str">
        <f>'Sistema de Raridade e Evolução'!B7</f>
        <v>Lendário</v>
      </c>
      <c r="F883" s="9">
        <f>ROUND(('Criaturas - Base de Dados'!H148*'Sistema de Raridade e Evolução'!E7)*1000,2)</f>
        <v>3000000</v>
      </c>
      <c r="G883" s="8">
        <f>ROUND('Criaturas - Base de Dados'!I148*'Sistema de Raridade e Evolução'!E7,0)</f>
        <v>1800</v>
      </c>
      <c r="H883" s="8">
        <f>ROUND('Criaturas - Base de Dados'!J148*'Sistema de Raridade e Evolução'!E7,0)</f>
        <v>1500</v>
      </c>
      <c r="I883" s="8">
        <f>ROUND('Criaturas - Base de Dados'!K148*'Sistema de Raridade e Evolução'!E7,0)</f>
        <v>9600</v>
      </c>
      <c r="J883" s="8">
        <f>'Sistema de Raridade e Evolução'!D7</f>
        <v>91</v>
      </c>
      <c r="K883" s="8" t="s">
        <v>925</v>
      </c>
      <c r="L883" s="9">
        <f t="shared" si="13"/>
        <v>7142857.1399999997</v>
      </c>
    </row>
    <row r="884" spans="1:12" ht="14.25" customHeight="1" x14ac:dyDescent="0.3">
      <c r="A884" s="8">
        <v>883</v>
      </c>
      <c r="B884" s="8" t="str">
        <f>'Criaturas - Base de Dados'!B149</f>
        <v>Rocha Ancestral</v>
      </c>
      <c r="C884" s="8" t="str">
        <f>'Criaturas - Base de Dados'!C149</f>
        <v>Terra</v>
      </c>
      <c r="D884" s="8" t="str">
        <f>'Criaturas - Base de Dados'!D149</f>
        <v>Quimera de Granito</v>
      </c>
      <c r="E884" s="8" t="str">
        <f>'Sistema de Raridade e Evolução'!B2</f>
        <v>Default</v>
      </c>
      <c r="F884" s="9" t="e">
        <f>ROUND(('Criaturas - Base de Dados'!H149*'Sistema de Raridade e Evolução'!E2)*1000,2)</f>
        <v>#VALUE!</v>
      </c>
      <c r="G884" s="8" t="e">
        <f>ROUND('Criaturas - Base de Dados'!I149*'Sistema de Raridade e Evolução'!E2,0)</f>
        <v>#VALUE!</v>
      </c>
      <c r="H884" s="8" t="e">
        <f>ROUND('Criaturas - Base de Dados'!J149*'Sistema de Raridade e Evolução'!E2,0)</f>
        <v>#VALUE!</v>
      </c>
      <c r="I884" s="8" t="e">
        <f>ROUND('Criaturas - Base de Dados'!K149*'Sistema de Raridade e Evolução'!E2,0)</f>
        <v>#VALUE!</v>
      </c>
      <c r="J884" s="8">
        <f>'Sistema de Raridade e Evolução'!D2</f>
        <v>1</v>
      </c>
      <c r="K884" s="8" t="s">
        <v>8</v>
      </c>
      <c r="L884" s="9" t="e">
        <f t="shared" si="13"/>
        <v>#VALUE!</v>
      </c>
    </row>
    <row r="885" spans="1:12" ht="14.25" hidden="1" customHeight="1" x14ac:dyDescent="0.3">
      <c r="A885" s="8">
        <v>884</v>
      </c>
      <c r="B885" s="8" t="str">
        <f>'Criaturas - Base de Dados'!B149</f>
        <v>Rocha Ancestral</v>
      </c>
      <c r="C885" s="8" t="str">
        <f>'Criaturas - Base de Dados'!C149</f>
        <v>Terra</v>
      </c>
      <c r="D885" s="8" t="str">
        <f>'Criaturas - Base de Dados'!D149</f>
        <v>Quimera de Granito</v>
      </c>
      <c r="E885" s="8" t="str">
        <f>'Sistema de Raridade e Evolução'!B3</f>
        <v>Bronze</v>
      </c>
      <c r="F885" s="9">
        <f>ROUND(('Criaturas - Base de Dados'!H149*'Sistema de Raridade e Evolução'!E3)*1000,2)</f>
        <v>22000</v>
      </c>
      <c r="G885" s="8">
        <f>ROUND('Criaturas - Base de Dados'!I149*'Sistema de Raridade e Evolução'!E3,0)</f>
        <v>13</v>
      </c>
      <c r="H885" s="8">
        <f>ROUND('Criaturas - Base de Dados'!J149*'Sistema de Raridade e Evolução'!E3,0)</f>
        <v>11</v>
      </c>
      <c r="I885" s="8">
        <f>ROUND('Criaturas - Base de Dados'!K149*'Sistema de Raridade e Evolução'!E3,0)</f>
        <v>70</v>
      </c>
      <c r="J885" s="8">
        <f>'Sistema de Raridade e Evolução'!D3</f>
        <v>6</v>
      </c>
      <c r="K885" s="8" t="s">
        <v>9</v>
      </c>
      <c r="L885" s="9">
        <f t="shared" si="13"/>
        <v>52380.95</v>
      </c>
    </row>
    <row r="886" spans="1:12" ht="14.25" hidden="1" customHeight="1" x14ac:dyDescent="0.3">
      <c r="A886" s="8">
        <v>885</v>
      </c>
      <c r="B886" s="8" t="str">
        <f>'Criaturas - Base de Dados'!B149</f>
        <v>Rocha Ancestral</v>
      </c>
      <c r="C886" s="8" t="str">
        <f>'Criaturas - Base de Dados'!C149</f>
        <v>Terra</v>
      </c>
      <c r="D886" s="8" t="str">
        <f>'Criaturas - Base de Dados'!D149</f>
        <v>Quimera de Granito</v>
      </c>
      <c r="E886" s="8" t="str">
        <f>'Sistema de Raridade e Evolução'!B4</f>
        <v>Prata</v>
      </c>
      <c r="F886" s="9">
        <f>ROUND(('Criaturas - Base de Dados'!H149*'Sistema de Raridade e Evolução'!E4)*1000,2)</f>
        <v>132000</v>
      </c>
      <c r="G886" s="8">
        <f>ROUND('Criaturas - Base de Dados'!I149*'Sistema de Raridade e Evolução'!E4,0)</f>
        <v>78</v>
      </c>
      <c r="H886" s="8">
        <f>ROUND('Criaturas - Base de Dados'!J149*'Sistema de Raridade e Evolução'!E4,0)</f>
        <v>66</v>
      </c>
      <c r="I886" s="8">
        <f>ROUND('Criaturas - Base de Dados'!K149*'Sistema de Raridade e Evolução'!E4,0)</f>
        <v>420</v>
      </c>
      <c r="J886" s="8">
        <f>'Sistema de Raridade e Evolução'!D4</f>
        <v>16</v>
      </c>
      <c r="K886" s="8" t="s">
        <v>10</v>
      </c>
      <c r="L886" s="9">
        <f t="shared" si="13"/>
        <v>314285.71000000002</v>
      </c>
    </row>
    <row r="887" spans="1:12" ht="14.25" hidden="1" customHeight="1" x14ac:dyDescent="0.3">
      <c r="A887" s="8">
        <v>886</v>
      </c>
      <c r="B887" s="8" t="str">
        <f>'Criaturas - Base de Dados'!B149</f>
        <v>Rocha Ancestral</v>
      </c>
      <c r="C887" s="8" t="str">
        <f>'Criaturas - Base de Dados'!C149</f>
        <v>Terra</v>
      </c>
      <c r="D887" s="8" t="str">
        <f>'Criaturas - Base de Dados'!D149</f>
        <v>Quimera de Granito</v>
      </c>
      <c r="E887" s="8" t="str">
        <f>'Sistema de Raridade e Evolução'!B5</f>
        <v>Ouro</v>
      </c>
      <c r="F887" s="9">
        <f>ROUND(('Criaturas - Base de Dados'!H149*'Sistema de Raridade e Evolução'!E5)*1000,2)</f>
        <v>396000</v>
      </c>
      <c r="G887" s="8">
        <f>ROUND('Criaturas - Base de Dados'!I149*'Sistema de Raridade e Evolução'!E5,0)</f>
        <v>234</v>
      </c>
      <c r="H887" s="8">
        <f>ROUND('Criaturas - Base de Dados'!J149*'Sistema de Raridade e Evolução'!E5,0)</f>
        <v>198</v>
      </c>
      <c r="I887" s="8">
        <f>ROUND('Criaturas - Base de Dados'!K149*'Sistema de Raridade e Evolução'!E5,0)</f>
        <v>1260</v>
      </c>
      <c r="J887" s="8">
        <f>'Sistema de Raridade e Evolução'!D5</f>
        <v>31</v>
      </c>
      <c r="K887" s="8" t="s">
        <v>11</v>
      </c>
      <c r="L887" s="9">
        <f t="shared" si="13"/>
        <v>942857.14</v>
      </c>
    </row>
    <row r="888" spans="1:12" ht="14.25" hidden="1" customHeight="1" x14ac:dyDescent="0.3">
      <c r="A888" s="8">
        <v>887</v>
      </c>
      <c r="B888" s="8" t="str">
        <f>'Criaturas - Base de Dados'!B149</f>
        <v>Rocha Ancestral</v>
      </c>
      <c r="C888" s="8" t="str">
        <f>'Criaturas - Base de Dados'!C149</f>
        <v>Terra</v>
      </c>
      <c r="D888" s="8" t="str">
        <f>'Criaturas - Base de Dados'!D149</f>
        <v>Quimera de Granito</v>
      </c>
      <c r="E888" s="8" t="str">
        <f>'Sistema de Raridade e Evolução'!B6</f>
        <v>Platina</v>
      </c>
      <c r="F888" s="9">
        <f>ROUND(('Criaturas - Base de Dados'!H149*'Sistema de Raridade e Evolução'!E6)*1000,2)</f>
        <v>1100000</v>
      </c>
      <c r="G888" s="8">
        <f>ROUND('Criaturas - Base de Dados'!I149*'Sistema de Raridade e Evolução'!E6,0)</f>
        <v>650</v>
      </c>
      <c r="H888" s="8">
        <f>ROUND('Criaturas - Base de Dados'!J149*'Sistema de Raridade e Evolução'!E6,0)</f>
        <v>550</v>
      </c>
      <c r="I888" s="8">
        <f>ROUND('Criaturas - Base de Dados'!K149*'Sistema de Raridade e Evolução'!E6,0)</f>
        <v>3500</v>
      </c>
      <c r="J888" s="8">
        <f>'Sistema de Raridade e Evolução'!D6</f>
        <v>56</v>
      </c>
      <c r="K888" s="8" t="s">
        <v>12</v>
      </c>
      <c r="L888" s="9">
        <f t="shared" si="13"/>
        <v>2619047.62</v>
      </c>
    </row>
    <row r="889" spans="1:12" ht="14.25" hidden="1" customHeight="1" x14ac:dyDescent="0.3">
      <c r="A889" s="8">
        <v>888</v>
      </c>
      <c r="B889" s="8" t="str">
        <f>'Criaturas - Base de Dados'!B149</f>
        <v>Rocha Ancestral</v>
      </c>
      <c r="C889" s="8" t="str">
        <f>'Criaturas - Base de Dados'!C149</f>
        <v>Terra</v>
      </c>
      <c r="D889" s="8" t="str">
        <f>'Criaturas - Base de Dados'!D149</f>
        <v>Quimera de Granito</v>
      </c>
      <c r="E889" s="8" t="str">
        <f>'Sistema de Raridade e Evolução'!B7</f>
        <v>Lendário</v>
      </c>
      <c r="F889" s="9">
        <f>ROUND(('Criaturas - Base de Dados'!H149*'Sistema de Raridade e Evolução'!E7)*1000,2)</f>
        <v>3300000</v>
      </c>
      <c r="G889" s="8">
        <f>ROUND('Criaturas - Base de Dados'!I149*'Sistema de Raridade e Evolução'!E7,0)</f>
        <v>1950</v>
      </c>
      <c r="H889" s="8">
        <f>ROUND('Criaturas - Base de Dados'!J149*'Sistema de Raridade e Evolução'!E7,0)</f>
        <v>1650</v>
      </c>
      <c r="I889" s="8">
        <f>ROUND('Criaturas - Base de Dados'!K149*'Sistema de Raridade e Evolução'!E7,0)</f>
        <v>10500</v>
      </c>
      <c r="J889" s="8">
        <f>'Sistema de Raridade e Evolução'!D7</f>
        <v>91</v>
      </c>
      <c r="K889" s="8" t="s">
        <v>925</v>
      </c>
      <c r="L889" s="9">
        <f t="shared" si="13"/>
        <v>7857142.8600000003</v>
      </c>
    </row>
    <row r="890" spans="1:12" ht="14.25" customHeight="1" x14ac:dyDescent="0.3">
      <c r="A890" s="8">
        <v>889</v>
      </c>
      <c r="B890" s="8" t="str">
        <f>'Criaturas - Base de Dados'!B150</f>
        <v>Rocha Ancestral</v>
      </c>
      <c r="C890" s="8" t="str">
        <f>'Criaturas - Base de Dados'!C150</f>
        <v>Terra</v>
      </c>
      <c r="D890" s="8" t="str">
        <f>'Criaturas - Base de Dados'!D150</f>
        <v>Górgona Petrificante</v>
      </c>
      <c r="E890" s="8" t="str">
        <f>'Sistema de Raridade e Evolução'!B2</f>
        <v>Default</v>
      </c>
      <c r="F890" s="9" t="e">
        <f>ROUND(('Criaturas - Base de Dados'!H150*'Sistema de Raridade e Evolução'!E2)*1000,2)</f>
        <v>#VALUE!</v>
      </c>
      <c r="G890" s="8" t="e">
        <f>ROUND('Criaturas - Base de Dados'!I150*'Sistema de Raridade e Evolução'!E2,0)</f>
        <v>#VALUE!</v>
      </c>
      <c r="H890" s="8" t="e">
        <f>ROUND('Criaturas - Base de Dados'!J150*'Sistema de Raridade e Evolução'!E2,0)</f>
        <v>#VALUE!</v>
      </c>
      <c r="I890" s="8" t="e">
        <f>ROUND('Criaturas - Base de Dados'!K150*'Sistema de Raridade e Evolução'!E2,0)</f>
        <v>#VALUE!</v>
      </c>
      <c r="J890" s="8">
        <f>'Sistema de Raridade e Evolução'!D2</f>
        <v>1</v>
      </c>
      <c r="K890" s="8" t="s">
        <v>8</v>
      </c>
      <c r="L890" s="9" t="e">
        <f t="shared" si="13"/>
        <v>#VALUE!</v>
      </c>
    </row>
    <row r="891" spans="1:12" ht="14.25" hidden="1" customHeight="1" x14ac:dyDescent="0.3">
      <c r="A891" s="8">
        <v>890</v>
      </c>
      <c r="B891" s="8" t="str">
        <f>'Criaturas - Base de Dados'!B150</f>
        <v>Rocha Ancestral</v>
      </c>
      <c r="C891" s="8" t="str">
        <f>'Criaturas - Base de Dados'!C150</f>
        <v>Terra</v>
      </c>
      <c r="D891" s="8" t="str">
        <f>'Criaturas - Base de Dados'!D150</f>
        <v>Górgona Petrificante</v>
      </c>
      <c r="E891" s="8" t="str">
        <f>'Sistema de Raridade e Evolução'!B3</f>
        <v>Bronze</v>
      </c>
      <c r="F891" s="9">
        <f>ROUND(('Criaturas - Base de Dados'!H150*'Sistema de Raridade e Evolução'!E3)*1000,2)</f>
        <v>24000</v>
      </c>
      <c r="G891" s="8">
        <f>ROUND('Criaturas - Base de Dados'!I150*'Sistema de Raridade e Evolução'!E3,0)</f>
        <v>14</v>
      </c>
      <c r="H891" s="8">
        <f>ROUND('Criaturas - Base de Dados'!J150*'Sistema de Raridade e Evolução'!E3,0)</f>
        <v>12</v>
      </c>
      <c r="I891" s="8">
        <f>ROUND('Criaturas - Base de Dados'!K150*'Sistema de Raridade e Evolução'!E3,0)</f>
        <v>77</v>
      </c>
      <c r="J891" s="8">
        <f>'Sistema de Raridade e Evolução'!D3</f>
        <v>6</v>
      </c>
      <c r="K891" s="8" t="s">
        <v>9</v>
      </c>
      <c r="L891" s="9">
        <f t="shared" si="13"/>
        <v>57142.86</v>
      </c>
    </row>
    <row r="892" spans="1:12" ht="14.25" hidden="1" customHeight="1" x14ac:dyDescent="0.3">
      <c r="A892" s="8">
        <v>891</v>
      </c>
      <c r="B892" s="8" t="str">
        <f>'Criaturas - Base de Dados'!B150</f>
        <v>Rocha Ancestral</v>
      </c>
      <c r="C892" s="8" t="str">
        <f>'Criaturas - Base de Dados'!C150</f>
        <v>Terra</v>
      </c>
      <c r="D892" s="8" t="str">
        <f>'Criaturas - Base de Dados'!D150</f>
        <v>Górgona Petrificante</v>
      </c>
      <c r="E892" s="8" t="str">
        <f>'Sistema de Raridade e Evolução'!B4</f>
        <v>Prata</v>
      </c>
      <c r="F892" s="9">
        <f>ROUND(('Criaturas - Base de Dados'!H150*'Sistema de Raridade e Evolução'!E4)*1000,2)</f>
        <v>144000</v>
      </c>
      <c r="G892" s="8">
        <f>ROUND('Criaturas - Base de Dados'!I150*'Sistema de Raridade e Evolução'!E4,0)</f>
        <v>84</v>
      </c>
      <c r="H892" s="8">
        <f>ROUND('Criaturas - Base de Dados'!J150*'Sistema de Raridade e Evolução'!E4,0)</f>
        <v>72</v>
      </c>
      <c r="I892" s="8">
        <f>ROUND('Criaturas - Base de Dados'!K150*'Sistema de Raridade e Evolução'!E4,0)</f>
        <v>462</v>
      </c>
      <c r="J892" s="8">
        <f>'Sistema de Raridade e Evolução'!D4</f>
        <v>16</v>
      </c>
      <c r="K892" s="8" t="s">
        <v>10</v>
      </c>
      <c r="L892" s="9">
        <f t="shared" si="13"/>
        <v>342857.14</v>
      </c>
    </row>
    <row r="893" spans="1:12" ht="14.25" hidden="1" customHeight="1" x14ac:dyDescent="0.3">
      <c r="A893" s="8">
        <v>892</v>
      </c>
      <c r="B893" s="8" t="str">
        <f>'Criaturas - Base de Dados'!B150</f>
        <v>Rocha Ancestral</v>
      </c>
      <c r="C893" s="8" t="str">
        <f>'Criaturas - Base de Dados'!C150</f>
        <v>Terra</v>
      </c>
      <c r="D893" s="8" t="str">
        <f>'Criaturas - Base de Dados'!D150</f>
        <v>Górgona Petrificante</v>
      </c>
      <c r="E893" s="8" t="str">
        <f>'Sistema de Raridade e Evolução'!B5</f>
        <v>Ouro</v>
      </c>
      <c r="F893" s="9">
        <f>ROUND(('Criaturas - Base de Dados'!H150*'Sistema de Raridade e Evolução'!E5)*1000,2)</f>
        <v>432000</v>
      </c>
      <c r="G893" s="8">
        <f>ROUND('Criaturas - Base de Dados'!I150*'Sistema de Raridade e Evolução'!E5,0)</f>
        <v>252</v>
      </c>
      <c r="H893" s="8">
        <f>ROUND('Criaturas - Base de Dados'!J150*'Sistema de Raridade e Evolução'!E5,0)</f>
        <v>216</v>
      </c>
      <c r="I893" s="8">
        <f>ROUND('Criaturas - Base de Dados'!K150*'Sistema de Raridade e Evolução'!E5,0)</f>
        <v>1386</v>
      </c>
      <c r="J893" s="8">
        <f>'Sistema de Raridade e Evolução'!D5</f>
        <v>31</v>
      </c>
      <c r="K893" s="8" t="s">
        <v>11</v>
      </c>
      <c r="L893" s="9">
        <f t="shared" si="13"/>
        <v>1028571.43</v>
      </c>
    </row>
    <row r="894" spans="1:12" ht="14.25" hidden="1" customHeight="1" x14ac:dyDescent="0.3">
      <c r="A894" s="8">
        <v>893</v>
      </c>
      <c r="B894" s="8" t="str">
        <f>'Criaturas - Base de Dados'!B150</f>
        <v>Rocha Ancestral</v>
      </c>
      <c r="C894" s="8" t="str">
        <f>'Criaturas - Base de Dados'!C150</f>
        <v>Terra</v>
      </c>
      <c r="D894" s="8" t="str">
        <f>'Criaturas - Base de Dados'!D150</f>
        <v>Górgona Petrificante</v>
      </c>
      <c r="E894" s="8" t="str">
        <f>'Sistema de Raridade e Evolução'!B6</f>
        <v>Platina</v>
      </c>
      <c r="F894" s="9">
        <f>ROUND(('Criaturas - Base de Dados'!H150*'Sistema de Raridade e Evolução'!E6)*1000,2)</f>
        <v>1200000</v>
      </c>
      <c r="G894" s="8">
        <f>ROUND('Criaturas - Base de Dados'!I150*'Sistema de Raridade e Evolução'!E6,0)</f>
        <v>700</v>
      </c>
      <c r="H894" s="8">
        <f>ROUND('Criaturas - Base de Dados'!J150*'Sistema de Raridade e Evolução'!E6,0)</f>
        <v>600</v>
      </c>
      <c r="I894" s="8">
        <f>ROUND('Criaturas - Base de Dados'!K150*'Sistema de Raridade e Evolução'!E6,0)</f>
        <v>3850</v>
      </c>
      <c r="J894" s="8">
        <f>'Sistema de Raridade e Evolução'!D6</f>
        <v>56</v>
      </c>
      <c r="K894" s="8" t="s">
        <v>12</v>
      </c>
      <c r="L894" s="9">
        <f t="shared" si="13"/>
        <v>2857142.86</v>
      </c>
    </row>
    <row r="895" spans="1:12" ht="14.25" hidden="1" customHeight="1" x14ac:dyDescent="0.3">
      <c r="A895" s="8">
        <v>894</v>
      </c>
      <c r="B895" s="8" t="str">
        <f>'Criaturas - Base de Dados'!B150</f>
        <v>Rocha Ancestral</v>
      </c>
      <c r="C895" s="8" t="str">
        <f>'Criaturas - Base de Dados'!C150</f>
        <v>Terra</v>
      </c>
      <c r="D895" s="8" t="str">
        <f>'Criaturas - Base de Dados'!D150</f>
        <v>Górgona Petrificante</v>
      </c>
      <c r="E895" s="8" t="str">
        <f>'Sistema de Raridade e Evolução'!B7</f>
        <v>Lendário</v>
      </c>
      <c r="F895" s="9">
        <f>ROUND(('Criaturas - Base de Dados'!H150*'Sistema de Raridade e Evolução'!E7)*1000,2)</f>
        <v>3600000</v>
      </c>
      <c r="G895" s="8">
        <f>ROUND('Criaturas - Base de Dados'!I150*'Sistema de Raridade e Evolução'!E7,0)</f>
        <v>2100</v>
      </c>
      <c r="H895" s="8">
        <f>ROUND('Criaturas - Base de Dados'!J150*'Sistema de Raridade e Evolução'!E7,0)</f>
        <v>1800</v>
      </c>
      <c r="I895" s="8">
        <f>ROUND('Criaturas - Base de Dados'!K150*'Sistema de Raridade e Evolução'!E7,0)</f>
        <v>11550</v>
      </c>
      <c r="J895" s="8">
        <f>'Sistema de Raridade e Evolução'!D7</f>
        <v>91</v>
      </c>
      <c r="K895" s="8" t="s">
        <v>925</v>
      </c>
      <c r="L895" s="9">
        <f t="shared" si="13"/>
        <v>8571428.5700000003</v>
      </c>
    </row>
    <row r="896" spans="1:12" ht="14.25" customHeight="1" x14ac:dyDescent="0.3">
      <c r="A896" s="8">
        <v>895</v>
      </c>
      <c r="B896" s="8" t="str">
        <f>'Criaturas - Base de Dados'!B151</f>
        <v>Rocha Ancestral</v>
      </c>
      <c r="C896" s="8" t="str">
        <f>'Criaturas - Base de Dados'!C151</f>
        <v>Terra</v>
      </c>
      <c r="D896" s="8" t="str">
        <f>'Criaturas - Base de Dados'!D151</f>
        <v>Tartaruga-Montanha</v>
      </c>
      <c r="E896" s="8" t="str">
        <f>'Sistema de Raridade e Evolução'!B2</f>
        <v>Default</v>
      </c>
      <c r="F896" s="9" t="e">
        <f>ROUND(('Criaturas - Base de Dados'!H151*'Sistema de Raridade e Evolução'!E2)*1000,2)</f>
        <v>#VALUE!</v>
      </c>
      <c r="G896" s="8" t="e">
        <f>ROUND('Criaturas - Base de Dados'!I151*'Sistema de Raridade e Evolução'!E2,0)</f>
        <v>#VALUE!</v>
      </c>
      <c r="H896" s="8" t="e">
        <f>ROUND('Criaturas - Base de Dados'!J151*'Sistema de Raridade e Evolução'!E2,0)</f>
        <v>#VALUE!</v>
      </c>
      <c r="I896" s="8" t="e">
        <f>ROUND('Criaturas - Base de Dados'!K151*'Sistema de Raridade e Evolução'!E2,0)</f>
        <v>#VALUE!</v>
      </c>
      <c r="J896" s="8">
        <f>'Sistema de Raridade e Evolução'!D2</f>
        <v>1</v>
      </c>
      <c r="K896" s="8" t="s">
        <v>8</v>
      </c>
      <c r="L896" s="9" t="e">
        <f t="shared" si="13"/>
        <v>#VALUE!</v>
      </c>
    </row>
    <row r="897" spans="1:12" ht="14.25" hidden="1" customHeight="1" x14ac:dyDescent="0.3">
      <c r="A897" s="8">
        <v>896</v>
      </c>
      <c r="B897" s="8" t="str">
        <f>'Criaturas - Base de Dados'!B151</f>
        <v>Rocha Ancestral</v>
      </c>
      <c r="C897" s="8" t="str">
        <f>'Criaturas - Base de Dados'!C151</f>
        <v>Terra</v>
      </c>
      <c r="D897" s="8" t="str">
        <f>'Criaturas - Base de Dados'!D151</f>
        <v>Tartaruga-Montanha</v>
      </c>
      <c r="E897" s="8" t="str">
        <f>'Sistema de Raridade e Evolução'!B3</f>
        <v>Bronze</v>
      </c>
      <c r="F897" s="9">
        <f>ROUND(('Criaturas - Base de Dados'!H151*'Sistema de Raridade e Evolução'!E3)*1000,2)</f>
        <v>26000</v>
      </c>
      <c r="G897" s="8">
        <f>ROUND('Criaturas - Base de Dados'!I151*'Sistema de Raridade e Evolução'!E3,0)</f>
        <v>16</v>
      </c>
      <c r="H897" s="8">
        <f>ROUND('Criaturas - Base de Dados'!J151*'Sistema de Raridade e Evolução'!E3,0)</f>
        <v>13</v>
      </c>
      <c r="I897" s="8">
        <f>ROUND('Criaturas - Base de Dados'!K151*'Sistema de Raridade e Evolução'!E3,0)</f>
        <v>83</v>
      </c>
      <c r="J897" s="8">
        <f>'Sistema de Raridade e Evolução'!D3</f>
        <v>6</v>
      </c>
      <c r="K897" s="8" t="s">
        <v>9</v>
      </c>
      <c r="L897" s="9">
        <f t="shared" si="13"/>
        <v>61904.76</v>
      </c>
    </row>
    <row r="898" spans="1:12" ht="14.25" hidden="1" customHeight="1" x14ac:dyDescent="0.3">
      <c r="A898" s="8">
        <v>897</v>
      </c>
      <c r="B898" s="8" t="str">
        <f>'Criaturas - Base de Dados'!B151</f>
        <v>Rocha Ancestral</v>
      </c>
      <c r="C898" s="8" t="str">
        <f>'Criaturas - Base de Dados'!C151</f>
        <v>Terra</v>
      </c>
      <c r="D898" s="8" t="str">
        <f>'Criaturas - Base de Dados'!D151</f>
        <v>Tartaruga-Montanha</v>
      </c>
      <c r="E898" s="8" t="str">
        <f>'Sistema de Raridade e Evolução'!B4</f>
        <v>Prata</v>
      </c>
      <c r="F898" s="9">
        <f>ROUND(('Criaturas - Base de Dados'!H151*'Sistema de Raridade e Evolução'!E4)*1000,2)</f>
        <v>156000</v>
      </c>
      <c r="G898" s="8">
        <f>ROUND('Criaturas - Base de Dados'!I151*'Sistema de Raridade e Evolução'!E4,0)</f>
        <v>96</v>
      </c>
      <c r="H898" s="8">
        <f>ROUND('Criaturas - Base de Dados'!J151*'Sistema de Raridade e Evolução'!E4,0)</f>
        <v>78</v>
      </c>
      <c r="I898" s="8">
        <f>ROUND('Criaturas - Base de Dados'!K151*'Sistema de Raridade e Evolução'!E4,0)</f>
        <v>498</v>
      </c>
      <c r="J898" s="8">
        <f>'Sistema de Raridade e Evolução'!D4</f>
        <v>16</v>
      </c>
      <c r="K898" s="8" t="s">
        <v>10</v>
      </c>
      <c r="L898" s="9">
        <f t="shared" ref="L898:L961" si="14">ROUND(F898*(2.5/1.05),2)</f>
        <v>371428.57</v>
      </c>
    </row>
    <row r="899" spans="1:12" ht="14.25" hidden="1" customHeight="1" x14ac:dyDescent="0.3">
      <c r="A899" s="8">
        <v>898</v>
      </c>
      <c r="B899" s="8" t="str">
        <f>'Criaturas - Base de Dados'!B151</f>
        <v>Rocha Ancestral</v>
      </c>
      <c r="C899" s="8" t="str">
        <f>'Criaturas - Base de Dados'!C151</f>
        <v>Terra</v>
      </c>
      <c r="D899" s="8" t="str">
        <f>'Criaturas - Base de Dados'!D151</f>
        <v>Tartaruga-Montanha</v>
      </c>
      <c r="E899" s="8" t="str">
        <f>'Sistema de Raridade e Evolução'!B5</f>
        <v>Ouro</v>
      </c>
      <c r="F899" s="9">
        <f>ROUND(('Criaturas - Base de Dados'!H151*'Sistema de Raridade e Evolução'!E5)*1000,2)</f>
        <v>468000</v>
      </c>
      <c r="G899" s="8">
        <f>ROUND('Criaturas - Base de Dados'!I151*'Sistema de Raridade e Evolução'!E5,0)</f>
        <v>288</v>
      </c>
      <c r="H899" s="8">
        <f>ROUND('Criaturas - Base de Dados'!J151*'Sistema de Raridade e Evolução'!E5,0)</f>
        <v>234</v>
      </c>
      <c r="I899" s="8">
        <f>ROUND('Criaturas - Base de Dados'!K151*'Sistema de Raridade e Evolução'!E5,0)</f>
        <v>1494</v>
      </c>
      <c r="J899" s="8">
        <f>'Sistema de Raridade e Evolução'!D5</f>
        <v>31</v>
      </c>
      <c r="K899" s="8" t="s">
        <v>11</v>
      </c>
      <c r="L899" s="9">
        <f t="shared" si="14"/>
        <v>1114285.71</v>
      </c>
    </row>
    <row r="900" spans="1:12" ht="14.25" hidden="1" customHeight="1" x14ac:dyDescent="0.3">
      <c r="A900" s="8">
        <v>899</v>
      </c>
      <c r="B900" s="8" t="str">
        <f>'Criaturas - Base de Dados'!B151</f>
        <v>Rocha Ancestral</v>
      </c>
      <c r="C900" s="8" t="str">
        <f>'Criaturas - Base de Dados'!C151</f>
        <v>Terra</v>
      </c>
      <c r="D900" s="8" t="str">
        <f>'Criaturas - Base de Dados'!D151</f>
        <v>Tartaruga-Montanha</v>
      </c>
      <c r="E900" s="8" t="str">
        <f>'Sistema de Raridade e Evolução'!B6</f>
        <v>Platina</v>
      </c>
      <c r="F900" s="9">
        <f>ROUND(('Criaturas - Base de Dados'!H151*'Sistema de Raridade e Evolução'!E6)*1000,2)</f>
        <v>1300000</v>
      </c>
      <c r="G900" s="8">
        <f>ROUND('Criaturas - Base de Dados'!I151*'Sistema de Raridade e Evolução'!E6,0)</f>
        <v>800</v>
      </c>
      <c r="H900" s="8">
        <f>ROUND('Criaturas - Base de Dados'!J151*'Sistema de Raridade e Evolução'!E6,0)</f>
        <v>650</v>
      </c>
      <c r="I900" s="8">
        <f>ROUND('Criaturas - Base de Dados'!K151*'Sistema de Raridade e Evolução'!E6,0)</f>
        <v>4150</v>
      </c>
      <c r="J900" s="8">
        <f>'Sistema de Raridade e Evolução'!D6</f>
        <v>56</v>
      </c>
      <c r="K900" s="8" t="s">
        <v>12</v>
      </c>
      <c r="L900" s="9">
        <f t="shared" si="14"/>
        <v>3095238.1</v>
      </c>
    </row>
    <row r="901" spans="1:12" ht="14.25" hidden="1" customHeight="1" x14ac:dyDescent="0.3">
      <c r="A901" s="8">
        <v>900</v>
      </c>
      <c r="B901" s="8" t="str">
        <f>'Criaturas - Base de Dados'!B151</f>
        <v>Rocha Ancestral</v>
      </c>
      <c r="C901" s="8" t="str">
        <f>'Criaturas - Base de Dados'!C151</f>
        <v>Terra</v>
      </c>
      <c r="D901" s="8" t="str">
        <f>'Criaturas - Base de Dados'!D151</f>
        <v>Tartaruga-Montanha</v>
      </c>
      <c r="E901" s="8" t="str">
        <f>'Sistema de Raridade e Evolução'!B7</f>
        <v>Lendário</v>
      </c>
      <c r="F901" s="9">
        <f>ROUND(('Criaturas - Base de Dados'!H151*'Sistema de Raridade e Evolução'!E7)*1000,2)</f>
        <v>3900000</v>
      </c>
      <c r="G901" s="8">
        <f>ROUND('Criaturas - Base de Dados'!I151*'Sistema de Raridade e Evolução'!E7,0)</f>
        <v>2400</v>
      </c>
      <c r="H901" s="8">
        <f>ROUND('Criaturas - Base de Dados'!J151*'Sistema de Raridade e Evolução'!E7,0)</f>
        <v>1950</v>
      </c>
      <c r="I901" s="8">
        <f>ROUND('Criaturas - Base de Dados'!K151*'Sistema de Raridade e Evolução'!E7,0)</f>
        <v>12450</v>
      </c>
      <c r="J901" s="8">
        <f>'Sistema de Raridade e Evolução'!D7</f>
        <v>91</v>
      </c>
      <c r="K901" s="8" t="s">
        <v>925</v>
      </c>
      <c r="L901" s="9">
        <f t="shared" si="14"/>
        <v>9285714.2899999991</v>
      </c>
    </row>
    <row r="902" spans="1:12" ht="14.25" customHeight="1" x14ac:dyDescent="0.3">
      <c r="A902" s="8">
        <v>901</v>
      </c>
      <c r="B902" s="8" t="str">
        <f>'Criaturas - Base de Dados'!B152</f>
        <v>Rocha Ancestral</v>
      </c>
      <c r="C902" s="8" t="str">
        <f>'Criaturas - Base de Dados'!C152</f>
        <v>Terra</v>
      </c>
      <c r="D902" s="8" t="str">
        <f>'Criaturas - Base de Dados'!D152</f>
        <v>Yaoguai de Pedra</v>
      </c>
      <c r="E902" s="8" t="str">
        <f>'Sistema de Raridade e Evolução'!B2</f>
        <v>Default</v>
      </c>
      <c r="F902" s="9" t="e">
        <f>ROUND(('Criaturas - Base de Dados'!H152*'Sistema de Raridade e Evolução'!E2)*1000,2)</f>
        <v>#VALUE!</v>
      </c>
      <c r="G902" s="8" t="e">
        <f>ROUND('Criaturas - Base de Dados'!I152*'Sistema de Raridade e Evolução'!E2,0)</f>
        <v>#VALUE!</v>
      </c>
      <c r="H902" s="8" t="e">
        <f>ROUND('Criaturas - Base de Dados'!J152*'Sistema de Raridade e Evolução'!E2,0)</f>
        <v>#VALUE!</v>
      </c>
      <c r="I902" s="8" t="e">
        <f>ROUND('Criaturas - Base de Dados'!K152*'Sistema de Raridade e Evolução'!E2,0)</f>
        <v>#VALUE!</v>
      </c>
      <c r="J902" s="8">
        <f>'Sistema de Raridade e Evolução'!D2</f>
        <v>1</v>
      </c>
      <c r="K902" s="8" t="s">
        <v>8</v>
      </c>
      <c r="L902" s="9" t="e">
        <f t="shared" si="14"/>
        <v>#VALUE!</v>
      </c>
    </row>
    <row r="903" spans="1:12" ht="14.25" hidden="1" customHeight="1" x14ac:dyDescent="0.3">
      <c r="A903" s="8">
        <v>902</v>
      </c>
      <c r="B903" s="8" t="str">
        <f>'Criaturas - Base de Dados'!B152</f>
        <v>Rocha Ancestral</v>
      </c>
      <c r="C903" s="8" t="str">
        <f>'Criaturas - Base de Dados'!C152</f>
        <v>Terra</v>
      </c>
      <c r="D903" s="8" t="str">
        <f>'Criaturas - Base de Dados'!D152</f>
        <v>Yaoguai de Pedra</v>
      </c>
      <c r="E903" s="8" t="str">
        <f>'Sistema de Raridade e Evolução'!B3</f>
        <v>Bronze</v>
      </c>
      <c r="F903" s="9">
        <f>ROUND(('Criaturas - Base de Dados'!H152*'Sistema de Raridade e Evolução'!E3)*1000,2)</f>
        <v>28000</v>
      </c>
      <c r="G903" s="8">
        <f>ROUND('Criaturas - Base de Dados'!I152*'Sistema de Raridade e Evolução'!E3,0)</f>
        <v>17</v>
      </c>
      <c r="H903" s="8">
        <f>ROUND('Criaturas - Base de Dados'!J152*'Sistema de Raridade e Evolução'!E3,0)</f>
        <v>14</v>
      </c>
      <c r="I903" s="8">
        <f>ROUND('Criaturas - Base de Dados'!K152*'Sistema de Raridade e Evolução'!E3,0)</f>
        <v>90</v>
      </c>
      <c r="J903" s="8">
        <f>'Sistema de Raridade e Evolução'!D3</f>
        <v>6</v>
      </c>
      <c r="K903" s="8" t="s">
        <v>9</v>
      </c>
      <c r="L903" s="9">
        <f t="shared" si="14"/>
        <v>66666.67</v>
      </c>
    </row>
    <row r="904" spans="1:12" ht="14.25" hidden="1" customHeight="1" x14ac:dyDescent="0.3">
      <c r="A904" s="8">
        <v>903</v>
      </c>
      <c r="B904" s="8" t="str">
        <f>'Criaturas - Base de Dados'!B152</f>
        <v>Rocha Ancestral</v>
      </c>
      <c r="C904" s="8" t="str">
        <f>'Criaturas - Base de Dados'!C152</f>
        <v>Terra</v>
      </c>
      <c r="D904" s="8" t="str">
        <f>'Criaturas - Base de Dados'!D152</f>
        <v>Yaoguai de Pedra</v>
      </c>
      <c r="E904" s="8" t="str">
        <f>'Sistema de Raridade e Evolução'!B4</f>
        <v>Prata</v>
      </c>
      <c r="F904" s="9">
        <f>ROUND(('Criaturas - Base de Dados'!H152*'Sistema de Raridade e Evolução'!E4)*1000,2)</f>
        <v>168000</v>
      </c>
      <c r="G904" s="8">
        <f>ROUND('Criaturas - Base de Dados'!I152*'Sistema de Raridade e Evolução'!E4,0)</f>
        <v>102</v>
      </c>
      <c r="H904" s="8">
        <f>ROUND('Criaturas - Base de Dados'!J152*'Sistema de Raridade e Evolução'!E4,0)</f>
        <v>84</v>
      </c>
      <c r="I904" s="8">
        <f>ROUND('Criaturas - Base de Dados'!K152*'Sistema de Raridade e Evolução'!E4,0)</f>
        <v>540</v>
      </c>
      <c r="J904" s="8">
        <f>'Sistema de Raridade e Evolução'!D4</f>
        <v>16</v>
      </c>
      <c r="K904" s="8" t="s">
        <v>10</v>
      </c>
      <c r="L904" s="9">
        <f t="shared" si="14"/>
        <v>400000</v>
      </c>
    </row>
    <row r="905" spans="1:12" ht="14.25" hidden="1" customHeight="1" x14ac:dyDescent="0.3">
      <c r="A905" s="8">
        <v>904</v>
      </c>
      <c r="B905" s="8" t="str">
        <f>'Criaturas - Base de Dados'!B152</f>
        <v>Rocha Ancestral</v>
      </c>
      <c r="C905" s="8" t="str">
        <f>'Criaturas - Base de Dados'!C152</f>
        <v>Terra</v>
      </c>
      <c r="D905" s="8" t="str">
        <f>'Criaturas - Base de Dados'!D152</f>
        <v>Yaoguai de Pedra</v>
      </c>
      <c r="E905" s="8" t="str">
        <f>'Sistema de Raridade e Evolução'!B5</f>
        <v>Ouro</v>
      </c>
      <c r="F905" s="9">
        <f>ROUND(('Criaturas - Base de Dados'!H152*'Sistema de Raridade e Evolução'!E5)*1000,2)</f>
        <v>504000</v>
      </c>
      <c r="G905" s="8">
        <f>ROUND('Criaturas - Base de Dados'!I152*'Sistema de Raridade e Evolução'!E5,0)</f>
        <v>306</v>
      </c>
      <c r="H905" s="8">
        <f>ROUND('Criaturas - Base de Dados'!J152*'Sistema de Raridade e Evolução'!E5,0)</f>
        <v>252</v>
      </c>
      <c r="I905" s="8">
        <f>ROUND('Criaturas - Base de Dados'!K152*'Sistema de Raridade e Evolução'!E5,0)</f>
        <v>1620</v>
      </c>
      <c r="J905" s="8">
        <f>'Sistema de Raridade e Evolução'!D5</f>
        <v>31</v>
      </c>
      <c r="K905" s="8" t="s">
        <v>11</v>
      </c>
      <c r="L905" s="9">
        <f t="shared" si="14"/>
        <v>1200000</v>
      </c>
    </row>
    <row r="906" spans="1:12" ht="14.25" hidden="1" customHeight="1" x14ac:dyDescent="0.3">
      <c r="A906" s="8">
        <v>905</v>
      </c>
      <c r="B906" s="8" t="str">
        <f>'Criaturas - Base de Dados'!B152</f>
        <v>Rocha Ancestral</v>
      </c>
      <c r="C906" s="8" t="str">
        <f>'Criaturas - Base de Dados'!C152</f>
        <v>Terra</v>
      </c>
      <c r="D906" s="8" t="str">
        <f>'Criaturas - Base de Dados'!D152</f>
        <v>Yaoguai de Pedra</v>
      </c>
      <c r="E906" s="8" t="str">
        <f>'Sistema de Raridade e Evolução'!B6</f>
        <v>Platina</v>
      </c>
      <c r="F906" s="9">
        <f>ROUND(('Criaturas - Base de Dados'!H152*'Sistema de Raridade e Evolução'!E6)*1000,2)</f>
        <v>1400000</v>
      </c>
      <c r="G906" s="8">
        <f>ROUND('Criaturas - Base de Dados'!I152*'Sistema de Raridade e Evolução'!E6,0)</f>
        <v>850</v>
      </c>
      <c r="H906" s="8">
        <f>ROUND('Criaturas - Base de Dados'!J152*'Sistema de Raridade e Evolução'!E6,0)</f>
        <v>700</v>
      </c>
      <c r="I906" s="8">
        <f>ROUND('Criaturas - Base de Dados'!K152*'Sistema de Raridade e Evolução'!E6,0)</f>
        <v>4500</v>
      </c>
      <c r="J906" s="8">
        <f>'Sistema de Raridade e Evolução'!D6</f>
        <v>56</v>
      </c>
      <c r="K906" s="8" t="s">
        <v>12</v>
      </c>
      <c r="L906" s="9">
        <f t="shared" si="14"/>
        <v>3333333.33</v>
      </c>
    </row>
    <row r="907" spans="1:12" ht="14.25" hidden="1" customHeight="1" x14ac:dyDescent="0.3">
      <c r="A907" s="8">
        <v>906</v>
      </c>
      <c r="B907" s="8" t="str">
        <f>'Criaturas - Base de Dados'!B152</f>
        <v>Rocha Ancestral</v>
      </c>
      <c r="C907" s="8" t="str">
        <f>'Criaturas - Base de Dados'!C152</f>
        <v>Terra</v>
      </c>
      <c r="D907" s="8" t="str">
        <f>'Criaturas - Base de Dados'!D152</f>
        <v>Yaoguai de Pedra</v>
      </c>
      <c r="E907" s="8" t="str">
        <f>'Sistema de Raridade e Evolução'!B7</f>
        <v>Lendário</v>
      </c>
      <c r="F907" s="9">
        <f>ROUND(('Criaturas - Base de Dados'!H152*'Sistema de Raridade e Evolução'!E7)*1000,2)</f>
        <v>4200000</v>
      </c>
      <c r="G907" s="8">
        <f>ROUND('Criaturas - Base de Dados'!I152*'Sistema de Raridade e Evolução'!E7,0)</f>
        <v>2550</v>
      </c>
      <c r="H907" s="8">
        <f>ROUND('Criaturas - Base de Dados'!J152*'Sistema de Raridade e Evolução'!E7,0)</f>
        <v>2100</v>
      </c>
      <c r="I907" s="8">
        <f>ROUND('Criaturas - Base de Dados'!K152*'Sistema de Raridade e Evolução'!E7,0)</f>
        <v>13500</v>
      </c>
      <c r="J907" s="8">
        <f>'Sistema de Raridade e Evolução'!D7</f>
        <v>91</v>
      </c>
      <c r="K907" s="8" t="s">
        <v>925</v>
      </c>
      <c r="L907" s="9">
        <f t="shared" si="14"/>
        <v>10000000</v>
      </c>
    </row>
    <row r="908" spans="1:12" ht="14.25" customHeight="1" x14ac:dyDescent="0.3">
      <c r="A908" s="8">
        <v>907</v>
      </c>
      <c r="B908" s="8" t="str">
        <f>'Criaturas - Base de Dados'!B153</f>
        <v>Rocha Ancestral</v>
      </c>
      <c r="C908" s="8" t="str">
        <f>'Criaturas - Base de Dados'!C153</f>
        <v>Terra</v>
      </c>
      <c r="D908" s="8" t="str">
        <f>'Criaturas - Base de Dados'!D153</f>
        <v>Efreet de Terra</v>
      </c>
      <c r="E908" s="8" t="str">
        <f>'Sistema de Raridade e Evolução'!B2</f>
        <v>Default</v>
      </c>
      <c r="F908" s="9" t="e">
        <f>ROUND(('Criaturas - Base de Dados'!H153*'Sistema de Raridade e Evolução'!E2)*1000,2)</f>
        <v>#VALUE!</v>
      </c>
      <c r="G908" s="8" t="e">
        <f>ROUND('Criaturas - Base de Dados'!I153*'Sistema de Raridade e Evolução'!E2,0)</f>
        <v>#VALUE!</v>
      </c>
      <c r="H908" s="8" t="e">
        <f>ROUND('Criaturas - Base de Dados'!J153*'Sistema de Raridade e Evolução'!E2,0)</f>
        <v>#VALUE!</v>
      </c>
      <c r="I908" s="8" t="e">
        <f>ROUND('Criaturas - Base de Dados'!K153*'Sistema de Raridade e Evolução'!E2,0)</f>
        <v>#VALUE!</v>
      </c>
      <c r="J908" s="8">
        <f>'Sistema de Raridade e Evolução'!D2</f>
        <v>1</v>
      </c>
      <c r="K908" s="8" t="s">
        <v>8</v>
      </c>
      <c r="L908" s="9" t="e">
        <f t="shared" si="14"/>
        <v>#VALUE!</v>
      </c>
    </row>
    <row r="909" spans="1:12" ht="14.25" hidden="1" customHeight="1" x14ac:dyDescent="0.3">
      <c r="A909" s="8">
        <v>908</v>
      </c>
      <c r="B909" s="8" t="str">
        <f>'Criaturas - Base de Dados'!B153</f>
        <v>Rocha Ancestral</v>
      </c>
      <c r="C909" s="8" t="str">
        <f>'Criaturas - Base de Dados'!C153</f>
        <v>Terra</v>
      </c>
      <c r="D909" s="8" t="str">
        <f>'Criaturas - Base de Dados'!D153</f>
        <v>Efreet de Terra</v>
      </c>
      <c r="E909" s="8" t="str">
        <f>'Sistema de Raridade e Evolução'!B3</f>
        <v>Bronze</v>
      </c>
      <c r="F909" s="9">
        <f>ROUND(('Criaturas - Base de Dados'!H153*'Sistema de Raridade e Evolução'!E3)*1000,2)</f>
        <v>30000</v>
      </c>
      <c r="G909" s="8">
        <f>ROUND('Criaturas - Base de Dados'!I153*'Sistema de Raridade e Evolução'!E3,0)</f>
        <v>18</v>
      </c>
      <c r="H909" s="8">
        <f>ROUND('Criaturas - Base de Dados'!J153*'Sistema de Raridade e Evolução'!E3,0)</f>
        <v>15</v>
      </c>
      <c r="I909" s="8">
        <f>ROUND('Criaturas - Base de Dados'!K153*'Sistema de Raridade e Evolução'!E3,0)</f>
        <v>96</v>
      </c>
      <c r="J909" s="8">
        <f>'Sistema de Raridade e Evolução'!D3</f>
        <v>6</v>
      </c>
      <c r="K909" s="8" t="s">
        <v>9</v>
      </c>
      <c r="L909" s="9">
        <f t="shared" si="14"/>
        <v>71428.570000000007</v>
      </c>
    </row>
    <row r="910" spans="1:12" ht="14.25" hidden="1" customHeight="1" x14ac:dyDescent="0.3">
      <c r="A910" s="8">
        <v>909</v>
      </c>
      <c r="B910" s="8" t="str">
        <f>'Criaturas - Base de Dados'!B153</f>
        <v>Rocha Ancestral</v>
      </c>
      <c r="C910" s="8" t="str">
        <f>'Criaturas - Base de Dados'!C153</f>
        <v>Terra</v>
      </c>
      <c r="D910" s="8" t="str">
        <f>'Criaturas - Base de Dados'!D153</f>
        <v>Efreet de Terra</v>
      </c>
      <c r="E910" s="8" t="str">
        <f>'Sistema de Raridade e Evolução'!B4</f>
        <v>Prata</v>
      </c>
      <c r="F910" s="9">
        <f>ROUND(('Criaturas - Base de Dados'!H153*'Sistema de Raridade e Evolução'!E4)*1000,2)</f>
        <v>180000</v>
      </c>
      <c r="G910" s="8">
        <f>ROUND('Criaturas - Base de Dados'!I153*'Sistema de Raridade e Evolução'!E4,0)</f>
        <v>108</v>
      </c>
      <c r="H910" s="8">
        <f>ROUND('Criaturas - Base de Dados'!J153*'Sistema de Raridade e Evolução'!E4,0)</f>
        <v>90</v>
      </c>
      <c r="I910" s="8">
        <f>ROUND('Criaturas - Base de Dados'!K153*'Sistema de Raridade e Evolução'!E4,0)</f>
        <v>576</v>
      </c>
      <c r="J910" s="8">
        <f>'Sistema de Raridade e Evolução'!D4</f>
        <v>16</v>
      </c>
      <c r="K910" s="8" t="s">
        <v>10</v>
      </c>
      <c r="L910" s="9">
        <f t="shared" si="14"/>
        <v>428571.43</v>
      </c>
    </row>
    <row r="911" spans="1:12" ht="14.25" hidden="1" customHeight="1" x14ac:dyDescent="0.3">
      <c r="A911" s="8">
        <v>910</v>
      </c>
      <c r="B911" s="8" t="str">
        <f>'Criaturas - Base de Dados'!B153</f>
        <v>Rocha Ancestral</v>
      </c>
      <c r="C911" s="8" t="str">
        <f>'Criaturas - Base de Dados'!C153</f>
        <v>Terra</v>
      </c>
      <c r="D911" s="8" t="str">
        <f>'Criaturas - Base de Dados'!D153</f>
        <v>Efreet de Terra</v>
      </c>
      <c r="E911" s="8" t="str">
        <f>'Sistema de Raridade e Evolução'!B5</f>
        <v>Ouro</v>
      </c>
      <c r="F911" s="9">
        <f>ROUND(('Criaturas - Base de Dados'!H153*'Sistema de Raridade e Evolução'!E5)*1000,2)</f>
        <v>540000</v>
      </c>
      <c r="G911" s="8">
        <f>ROUND('Criaturas - Base de Dados'!I153*'Sistema de Raridade e Evolução'!E5,0)</f>
        <v>324</v>
      </c>
      <c r="H911" s="8">
        <f>ROUND('Criaturas - Base de Dados'!J153*'Sistema de Raridade e Evolução'!E5,0)</f>
        <v>270</v>
      </c>
      <c r="I911" s="8">
        <f>ROUND('Criaturas - Base de Dados'!K153*'Sistema de Raridade e Evolução'!E5,0)</f>
        <v>1728</v>
      </c>
      <c r="J911" s="8">
        <f>'Sistema de Raridade e Evolução'!D5</f>
        <v>31</v>
      </c>
      <c r="K911" s="8" t="s">
        <v>11</v>
      </c>
      <c r="L911" s="9">
        <f t="shared" si="14"/>
        <v>1285714.29</v>
      </c>
    </row>
    <row r="912" spans="1:12" ht="14.25" hidden="1" customHeight="1" x14ac:dyDescent="0.3">
      <c r="A912" s="8">
        <v>911</v>
      </c>
      <c r="B912" s="8" t="str">
        <f>'Criaturas - Base de Dados'!B153</f>
        <v>Rocha Ancestral</v>
      </c>
      <c r="C912" s="8" t="str">
        <f>'Criaturas - Base de Dados'!C153</f>
        <v>Terra</v>
      </c>
      <c r="D912" s="8" t="str">
        <f>'Criaturas - Base de Dados'!D153</f>
        <v>Efreet de Terra</v>
      </c>
      <c r="E912" s="8" t="str">
        <f>'Sistema de Raridade e Evolução'!B6</f>
        <v>Platina</v>
      </c>
      <c r="F912" s="9">
        <f>ROUND(('Criaturas - Base de Dados'!H153*'Sistema de Raridade e Evolução'!E6)*1000,2)</f>
        <v>1500000</v>
      </c>
      <c r="G912" s="8">
        <f>ROUND('Criaturas - Base de Dados'!I153*'Sistema de Raridade e Evolução'!E6,0)</f>
        <v>900</v>
      </c>
      <c r="H912" s="8">
        <f>ROUND('Criaturas - Base de Dados'!J153*'Sistema de Raridade e Evolução'!E6,0)</f>
        <v>750</v>
      </c>
      <c r="I912" s="8">
        <f>ROUND('Criaturas - Base de Dados'!K153*'Sistema de Raridade e Evolução'!E6,0)</f>
        <v>4800</v>
      </c>
      <c r="J912" s="8">
        <f>'Sistema de Raridade e Evolução'!D6</f>
        <v>56</v>
      </c>
      <c r="K912" s="8" t="s">
        <v>12</v>
      </c>
      <c r="L912" s="9">
        <f t="shared" si="14"/>
        <v>3571428.57</v>
      </c>
    </row>
    <row r="913" spans="1:12" ht="14.25" hidden="1" customHeight="1" x14ac:dyDescent="0.3">
      <c r="A913" s="8">
        <v>912</v>
      </c>
      <c r="B913" s="8" t="str">
        <f>'Criaturas - Base de Dados'!B153</f>
        <v>Rocha Ancestral</v>
      </c>
      <c r="C913" s="8" t="str">
        <f>'Criaturas - Base de Dados'!C153</f>
        <v>Terra</v>
      </c>
      <c r="D913" s="8" t="str">
        <f>'Criaturas - Base de Dados'!D153</f>
        <v>Efreet de Terra</v>
      </c>
      <c r="E913" s="8" t="str">
        <f>'Sistema de Raridade e Evolução'!B7</f>
        <v>Lendário</v>
      </c>
      <c r="F913" s="9">
        <f>ROUND(('Criaturas - Base de Dados'!H153*'Sistema de Raridade e Evolução'!E7)*1000,2)</f>
        <v>4500000</v>
      </c>
      <c r="G913" s="8">
        <f>ROUND('Criaturas - Base de Dados'!I153*'Sistema de Raridade e Evolução'!E7,0)</f>
        <v>2700</v>
      </c>
      <c r="H913" s="8">
        <f>ROUND('Criaturas - Base de Dados'!J153*'Sistema de Raridade e Evolução'!E7,0)</f>
        <v>2250</v>
      </c>
      <c r="I913" s="8">
        <f>ROUND('Criaturas - Base de Dados'!K153*'Sistema de Raridade e Evolução'!E7,0)</f>
        <v>14400</v>
      </c>
      <c r="J913" s="8">
        <f>'Sistema de Raridade e Evolução'!D7</f>
        <v>91</v>
      </c>
      <c r="K913" s="8" t="s">
        <v>925</v>
      </c>
      <c r="L913" s="9">
        <f t="shared" si="14"/>
        <v>10714285.710000001</v>
      </c>
    </row>
    <row r="914" spans="1:12" ht="14.25" customHeight="1" x14ac:dyDescent="0.3">
      <c r="A914" s="8">
        <v>913</v>
      </c>
      <c r="B914" s="8" t="str">
        <f>'Criaturas - Base de Dados'!B154</f>
        <v>Rocha Ancestral</v>
      </c>
      <c r="C914" s="8" t="str">
        <f>'Criaturas - Base de Dados'!C154</f>
        <v>Terra</v>
      </c>
      <c r="D914" s="8" t="str">
        <f>'Criaturas - Base de Dados'!D154</f>
        <v>Colosso Ancestral</v>
      </c>
      <c r="E914" s="8" t="str">
        <f>'Sistema de Raridade e Evolução'!B2</f>
        <v>Default</v>
      </c>
      <c r="F914" s="9" t="e">
        <f>ROUND(('Criaturas - Base de Dados'!H154*'Sistema de Raridade e Evolução'!E2)*1000,2)</f>
        <v>#VALUE!</v>
      </c>
      <c r="G914" s="8" t="e">
        <f>ROUND('Criaturas - Base de Dados'!I154*'Sistema de Raridade e Evolução'!E2,0)</f>
        <v>#VALUE!</v>
      </c>
      <c r="H914" s="8" t="e">
        <f>ROUND('Criaturas - Base de Dados'!J154*'Sistema de Raridade e Evolução'!E2,0)</f>
        <v>#VALUE!</v>
      </c>
      <c r="I914" s="8" t="e">
        <f>ROUND('Criaturas - Base de Dados'!K154*'Sistema de Raridade e Evolução'!E2,0)</f>
        <v>#VALUE!</v>
      </c>
      <c r="J914" s="8">
        <f>'Sistema de Raridade e Evolução'!D2</f>
        <v>1</v>
      </c>
      <c r="K914" s="8" t="s">
        <v>8</v>
      </c>
      <c r="L914" s="9" t="e">
        <f t="shared" si="14"/>
        <v>#VALUE!</v>
      </c>
    </row>
    <row r="915" spans="1:12" ht="14.25" hidden="1" customHeight="1" x14ac:dyDescent="0.3">
      <c r="A915" s="8">
        <v>914</v>
      </c>
      <c r="B915" s="8" t="str">
        <f>'Criaturas - Base de Dados'!B154</f>
        <v>Rocha Ancestral</v>
      </c>
      <c r="C915" s="8" t="str">
        <f>'Criaturas - Base de Dados'!C154</f>
        <v>Terra</v>
      </c>
      <c r="D915" s="8" t="str">
        <f>'Criaturas - Base de Dados'!D154</f>
        <v>Colosso Ancestral</v>
      </c>
      <c r="E915" s="8" t="str">
        <f>'Sistema de Raridade e Evolução'!B3</f>
        <v>Bronze</v>
      </c>
      <c r="F915" s="9">
        <f>ROUND(('Criaturas - Base de Dados'!H154*'Sistema de Raridade e Evolução'!E3)*1000,2)</f>
        <v>34000</v>
      </c>
      <c r="G915" s="8">
        <f>ROUND('Criaturas - Base de Dados'!I154*'Sistema de Raridade e Evolução'!E3,0)</f>
        <v>20</v>
      </c>
      <c r="H915" s="8">
        <f>ROUND('Criaturas - Base de Dados'!J154*'Sistema de Raridade e Evolução'!E3,0)</f>
        <v>17</v>
      </c>
      <c r="I915" s="8">
        <f>ROUND('Criaturas - Base de Dados'!K154*'Sistema de Raridade e Evolução'!E3,0)</f>
        <v>109</v>
      </c>
      <c r="J915" s="8">
        <f>'Sistema de Raridade e Evolução'!D3</f>
        <v>6</v>
      </c>
      <c r="K915" s="8" t="s">
        <v>9</v>
      </c>
      <c r="L915" s="9">
        <f t="shared" si="14"/>
        <v>80952.38</v>
      </c>
    </row>
    <row r="916" spans="1:12" ht="14.25" hidden="1" customHeight="1" x14ac:dyDescent="0.3">
      <c r="A916" s="8">
        <v>915</v>
      </c>
      <c r="B916" s="8" t="str">
        <f>'Criaturas - Base de Dados'!B154</f>
        <v>Rocha Ancestral</v>
      </c>
      <c r="C916" s="8" t="str">
        <f>'Criaturas - Base de Dados'!C154</f>
        <v>Terra</v>
      </c>
      <c r="D916" s="8" t="str">
        <f>'Criaturas - Base de Dados'!D154</f>
        <v>Colosso Ancestral</v>
      </c>
      <c r="E916" s="8" t="str">
        <f>'Sistema de Raridade e Evolução'!B4</f>
        <v>Prata</v>
      </c>
      <c r="F916" s="9">
        <f>ROUND(('Criaturas - Base de Dados'!H154*'Sistema de Raridade e Evolução'!E4)*1000,2)</f>
        <v>204000</v>
      </c>
      <c r="G916" s="8">
        <f>ROUND('Criaturas - Base de Dados'!I154*'Sistema de Raridade e Evolução'!E4,0)</f>
        <v>120</v>
      </c>
      <c r="H916" s="8">
        <f>ROUND('Criaturas - Base de Dados'!J154*'Sistema de Raridade e Evolução'!E4,0)</f>
        <v>102</v>
      </c>
      <c r="I916" s="8">
        <f>ROUND('Criaturas - Base de Dados'!K154*'Sistema de Raridade e Evolução'!E4,0)</f>
        <v>654</v>
      </c>
      <c r="J916" s="8">
        <f>'Sistema de Raridade e Evolução'!D4</f>
        <v>16</v>
      </c>
      <c r="K916" s="8" t="s">
        <v>10</v>
      </c>
      <c r="L916" s="9">
        <f t="shared" si="14"/>
        <v>485714.29</v>
      </c>
    </row>
    <row r="917" spans="1:12" ht="14.25" hidden="1" customHeight="1" x14ac:dyDescent="0.3">
      <c r="A917" s="8">
        <v>916</v>
      </c>
      <c r="B917" s="8" t="str">
        <f>'Criaturas - Base de Dados'!B154</f>
        <v>Rocha Ancestral</v>
      </c>
      <c r="C917" s="8" t="str">
        <f>'Criaturas - Base de Dados'!C154</f>
        <v>Terra</v>
      </c>
      <c r="D917" s="8" t="str">
        <f>'Criaturas - Base de Dados'!D154</f>
        <v>Colosso Ancestral</v>
      </c>
      <c r="E917" s="8" t="str">
        <f>'Sistema de Raridade e Evolução'!B5</f>
        <v>Ouro</v>
      </c>
      <c r="F917" s="9">
        <f>ROUND(('Criaturas - Base de Dados'!H154*'Sistema de Raridade e Evolução'!E5)*1000,2)</f>
        <v>612000</v>
      </c>
      <c r="G917" s="8">
        <f>ROUND('Criaturas - Base de Dados'!I154*'Sistema de Raridade e Evolução'!E5,0)</f>
        <v>360</v>
      </c>
      <c r="H917" s="8">
        <f>ROUND('Criaturas - Base de Dados'!J154*'Sistema de Raridade e Evolução'!E5,0)</f>
        <v>306</v>
      </c>
      <c r="I917" s="8">
        <f>ROUND('Criaturas - Base de Dados'!K154*'Sistema de Raridade e Evolução'!E5,0)</f>
        <v>1962</v>
      </c>
      <c r="J917" s="8">
        <f>'Sistema de Raridade e Evolução'!D5</f>
        <v>31</v>
      </c>
      <c r="K917" s="8" t="s">
        <v>11</v>
      </c>
      <c r="L917" s="9">
        <f t="shared" si="14"/>
        <v>1457142.86</v>
      </c>
    </row>
    <row r="918" spans="1:12" ht="14.25" hidden="1" customHeight="1" x14ac:dyDescent="0.3">
      <c r="A918" s="8">
        <v>917</v>
      </c>
      <c r="B918" s="8" t="str">
        <f>'Criaturas - Base de Dados'!B154</f>
        <v>Rocha Ancestral</v>
      </c>
      <c r="C918" s="8" t="str">
        <f>'Criaturas - Base de Dados'!C154</f>
        <v>Terra</v>
      </c>
      <c r="D918" s="8" t="str">
        <f>'Criaturas - Base de Dados'!D154</f>
        <v>Colosso Ancestral</v>
      </c>
      <c r="E918" s="8" t="str">
        <f>'Sistema de Raridade e Evolução'!B6</f>
        <v>Platina</v>
      </c>
      <c r="F918" s="9">
        <f>ROUND(('Criaturas - Base de Dados'!H154*'Sistema de Raridade e Evolução'!E6)*1000,2)</f>
        <v>1700000</v>
      </c>
      <c r="G918" s="8">
        <f>ROUND('Criaturas - Base de Dados'!I154*'Sistema de Raridade e Evolução'!E6,0)</f>
        <v>1000</v>
      </c>
      <c r="H918" s="8">
        <f>ROUND('Criaturas - Base de Dados'!J154*'Sistema de Raridade e Evolução'!E6,0)</f>
        <v>850</v>
      </c>
      <c r="I918" s="8">
        <f>ROUND('Criaturas - Base de Dados'!K154*'Sistema de Raridade e Evolução'!E6,0)</f>
        <v>5450</v>
      </c>
      <c r="J918" s="8">
        <f>'Sistema de Raridade e Evolução'!D6</f>
        <v>56</v>
      </c>
      <c r="K918" s="8" t="s">
        <v>12</v>
      </c>
      <c r="L918" s="9">
        <f t="shared" si="14"/>
        <v>4047619.05</v>
      </c>
    </row>
    <row r="919" spans="1:12" ht="14.25" hidden="1" customHeight="1" x14ac:dyDescent="0.3">
      <c r="A919" s="8">
        <v>918</v>
      </c>
      <c r="B919" s="8" t="str">
        <f>'Criaturas - Base de Dados'!B154</f>
        <v>Rocha Ancestral</v>
      </c>
      <c r="C919" s="8" t="str">
        <f>'Criaturas - Base de Dados'!C154</f>
        <v>Terra</v>
      </c>
      <c r="D919" s="8" t="str">
        <f>'Criaturas - Base de Dados'!D154</f>
        <v>Colosso Ancestral</v>
      </c>
      <c r="E919" s="8" t="str">
        <f>'Sistema de Raridade e Evolução'!B7</f>
        <v>Lendário</v>
      </c>
      <c r="F919" s="9">
        <f>ROUND(('Criaturas - Base de Dados'!H154*'Sistema de Raridade e Evolução'!E7)*1000,2)</f>
        <v>5100000</v>
      </c>
      <c r="G919" s="8">
        <f>ROUND('Criaturas - Base de Dados'!I154*'Sistema de Raridade e Evolução'!E7,0)</f>
        <v>3000</v>
      </c>
      <c r="H919" s="8">
        <f>ROUND('Criaturas - Base de Dados'!J154*'Sistema de Raridade e Evolução'!E7,0)</f>
        <v>2550</v>
      </c>
      <c r="I919" s="8">
        <f>ROUND('Criaturas - Base de Dados'!K154*'Sistema de Raridade e Evolução'!E7,0)</f>
        <v>16350</v>
      </c>
      <c r="J919" s="8">
        <f>'Sistema de Raridade e Evolução'!D7</f>
        <v>91</v>
      </c>
      <c r="K919" s="8" t="s">
        <v>925</v>
      </c>
      <c r="L919" s="9">
        <f t="shared" si="14"/>
        <v>12142857.140000001</v>
      </c>
    </row>
    <row r="920" spans="1:12" ht="14.25" customHeight="1" x14ac:dyDescent="0.3">
      <c r="A920" s="8">
        <v>919</v>
      </c>
      <c r="B920" s="8" t="str">
        <f>'Criaturas - Base de Dados'!B155</f>
        <v>Rocha Ancestral</v>
      </c>
      <c r="C920" s="8" t="str">
        <f>'Criaturas - Base de Dados'!C155</f>
        <v>Terra</v>
      </c>
      <c r="D920" s="8" t="str">
        <f>'Criaturas - Base de Dados'!D155</f>
        <v>Argos de Cem Olhos</v>
      </c>
      <c r="E920" s="8" t="str">
        <f>'Sistema de Raridade e Evolução'!B2</f>
        <v>Default</v>
      </c>
      <c r="F920" s="9" t="e">
        <f>ROUND(('Criaturas - Base de Dados'!H155*'Sistema de Raridade e Evolução'!E2)*1000,2)</f>
        <v>#VALUE!</v>
      </c>
      <c r="G920" s="8" t="e">
        <f>ROUND('Criaturas - Base de Dados'!I155*'Sistema de Raridade e Evolução'!E2,0)</f>
        <v>#VALUE!</v>
      </c>
      <c r="H920" s="8" t="e">
        <f>ROUND('Criaturas - Base de Dados'!J155*'Sistema de Raridade e Evolução'!E2,0)</f>
        <v>#VALUE!</v>
      </c>
      <c r="I920" s="8" t="e">
        <f>ROUND('Criaturas - Base de Dados'!K155*'Sistema de Raridade e Evolução'!E2,0)</f>
        <v>#VALUE!</v>
      </c>
      <c r="J920" s="8">
        <f>'Sistema de Raridade e Evolução'!D2</f>
        <v>1</v>
      </c>
      <c r="K920" s="8" t="s">
        <v>8</v>
      </c>
      <c r="L920" s="9" t="e">
        <f t="shared" si="14"/>
        <v>#VALUE!</v>
      </c>
    </row>
    <row r="921" spans="1:12" ht="14.25" hidden="1" customHeight="1" x14ac:dyDescent="0.3">
      <c r="A921" s="8">
        <v>920</v>
      </c>
      <c r="B921" s="8" t="str">
        <f>'Criaturas - Base de Dados'!B155</f>
        <v>Rocha Ancestral</v>
      </c>
      <c r="C921" s="8" t="str">
        <f>'Criaturas - Base de Dados'!C155</f>
        <v>Terra</v>
      </c>
      <c r="D921" s="8" t="str">
        <f>'Criaturas - Base de Dados'!D155</f>
        <v>Argos de Cem Olhos</v>
      </c>
      <c r="E921" s="8" t="str">
        <f>'Sistema de Raridade e Evolução'!B3</f>
        <v>Bronze</v>
      </c>
      <c r="F921" s="9">
        <f>ROUND(('Criaturas - Base de Dados'!H155*'Sistema de Raridade e Evolução'!E3)*1000,2)</f>
        <v>36000</v>
      </c>
      <c r="G921" s="8">
        <f>ROUND('Criaturas - Base de Dados'!I155*'Sistema de Raridade e Evolução'!E3,0)</f>
        <v>22</v>
      </c>
      <c r="H921" s="8">
        <f>ROUND('Criaturas - Base de Dados'!J155*'Sistema de Raridade e Evolução'!E3,0)</f>
        <v>18</v>
      </c>
      <c r="I921" s="8">
        <f>ROUND('Criaturas - Base de Dados'!K155*'Sistema de Raridade e Evolução'!E3,0)</f>
        <v>115</v>
      </c>
      <c r="J921" s="8">
        <f>'Sistema de Raridade e Evolução'!D3</f>
        <v>6</v>
      </c>
      <c r="K921" s="8" t="s">
        <v>9</v>
      </c>
      <c r="L921" s="9">
        <f t="shared" si="14"/>
        <v>85714.29</v>
      </c>
    </row>
    <row r="922" spans="1:12" ht="14.25" hidden="1" customHeight="1" x14ac:dyDescent="0.3">
      <c r="A922" s="8">
        <v>921</v>
      </c>
      <c r="B922" s="8" t="str">
        <f>'Criaturas - Base de Dados'!B155</f>
        <v>Rocha Ancestral</v>
      </c>
      <c r="C922" s="8" t="str">
        <f>'Criaturas - Base de Dados'!C155</f>
        <v>Terra</v>
      </c>
      <c r="D922" s="8" t="str">
        <f>'Criaturas - Base de Dados'!D155</f>
        <v>Argos de Cem Olhos</v>
      </c>
      <c r="E922" s="8" t="str">
        <f>'Sistema de Raridade e Evolução'!B4</f>
        <v>Prata</v>
      </c>
      <c r="F922" s="9">
        <f>ROUND(('Criaturas - Base de Dados'!H155*'Sistema de Raridade e Evolução'!E4)*1000,2)</f>
        <v>216000</v>
      </c>
      <c r="G922" s="8">
        <f>ROUND('Criaturas - Base de Dados'!I155*'Sistema de Raridade e Evolução'!E4,0)</f>
        <v>132</v>
      </c>
      <c r="H922" s="8">
        <f>ROUND('Criaturas - Base de Dados'!J155*'Sistema de Raridade e Evolução'!E4,0)</f>
        <v>108</v>
      </c>
      <c r="I922" s="8">
        <f>ROUND('Criaturas - Base de Dados'!K155*'Sistema de Raridade e Evolução'!E4,0)</f>
        <v>690</v>
      </c>
      <c r="J922" s="8">
        <f>'Sistema de Raridade e Evolução'!D4</f>
        <v>16</v>
      </c>
      <c r="K922" s="8" t="s">
        <v>10</v>
      </c>
      <c r="L922" s="9">
        <f t="shared" si="14"/>
        <v>514285.71</v>
      </c>
    </row>
    <row r="923" spans="1:12" ht="14.25" hidden="1" customHeight="1" x14ac:dyDescent="0.3">
      <c r="A923" s="8">
        <v>922</v>
      </c>
      <c r="B923" s="8" t="str">
        <f>'Criaturas - Base de Dados'!B155</f>
        <v>Rocha Ancestral</v>
      </c>
      <c r="C923" s="8" t="str">
        <f>'Criaturas - Base de Dados'!C155</f>
        <v>Terra</v>
      </c>
      <c r="D923" s="8" t="str">
        <f>'Criaturas - Base de Dados'!D155</f>
        <v>Argos de Cem Olhos</v>
      </c>
      <c r="E923" s="8" t="str">
        <f>'Sistema de Raridade e Evolução'!B5</f>
        <v>Ouro</v>
      </c>
      <c r="F923" s="9">
        <f>ROUND(('Criaturas - Base de Dados'!H155*'Sistema de Raridade e Evolução'!E5)*1000,2)</f>
        <v>648000</v>
      </c>
      <c r="G923" s="8">
        <f>ROUND('Criaturas - Base de Dados'!I155*'Sistema de Raridade e Evolução'!E5,0)</f>
        <v>396</v>
      </c>
      <c r="H923" s="8">
        <f>ROUND('Criaturas - Base de Dados'!J155*'Sistema de Raridade e Evolução'!E5,0)</f>
        <v>324</v>
      </c>
      <c r="I923" s="8">
        <f>ROUND('Criaturas - Base de Dados'!K155*'Sistema de Raridade e Evolução'!E5,0)</f>
        <v>2070</v>
      </c>
      <c r="J923" s="8">
        <f>'Sistema de Raridade e Evolução'!D5</f>
        <v>31</v>
      </c>
      <c r="K923" s="8" t="s">
        <v>11</v>
      </c>
      <c r="L923" s="9">
        <f t="shared" si="14"/>
        <v>1542857.14</v>
      </c>
    </row>
    <row r="924" spans="1:12" ht="14.25" hidden="1" customHeight="1" x14ac:dyDescent="0.3">
      <c r="A924" s="8">
        <v>923</v>
      </c>
      <c r="B924" s="8" t="str">
        <f>'Criaturas - Base de Dados'!B155</f>
        <v>Rocha Ancestral</v>
      </c>
      <c r="C924" s="8" t="str">
        <f>'Criaturas - Base de Dados'!C155</f>
        <v>Terra</v>
      </c>
      <c r="D924" s="8" t="str">
        <f>'Criaturas - Base de Dados'!D155</f>
        <v>Argos de Cem Olhos</v>
      </c>
      <c r="E924" s="8" t="str">
        <f>'Sistema de Raridade e Evolução'!B6</f>
        <v>Platina</v>
      </c>
      <c r="F924" s="9">
        <f>ROUND(('Criaturas - Base de Dados'!H155*'Sistema de Raridade e Evolução'!E6)*1000,2)</f>
        <v>1800000</v>
      </c>
      <c r="G924" s="8">
        <f>ROUND('Criaturas - Base de Dados'!I155*'Sistema de Raridade e Evolução'!E6,0)</f>
        <v>1100</v>
      </c>
      <c r="H924" s="8">
        <f>ROUND('Criaturas - Base de Dados'!J155*'Sistema de Raridade e Evolução'!E6,0)</f>
        <v>900</v>
      </c>
      <c r="I924" s="8">
        <f>ROUND('Criaturas - Base de Dados'!K155*'Sistema de Raridade e Evolução'!E6,0)</f>
        <v>5750</v>
      </c>
      <c r="J924" s="8">
        <f>'Sistema de Raridade e Evolução'!D6</f>
        <v>56</v>
      </c>
      <c r="K924" s="8" t="s">
        <v>12</v>
      </c>
      <c r="L924" s="9">
        <f t="shared" si="14"/>
        <v>4285714.29</v>
      </c>
    </row>
    <row r="925" spans="1:12" ht="14.25" hidden="1" customHeight="1" x14ac:dyDescent="0.3">
      <c r="A925" s="8">
        <v>924</v>
      </c>
      <c r="B925" s="8" t="str">
        <f>'Criaturas - Base de Dados'!B155</f>
        <v>Rocha Ancestral</v>
      </c>
      <c r="C925" s="8" t="str">
        <f>'Criaturas - Base de Dados'!C155</f>
        <v>Terra</v>
      </c>
      <c r="D925" s="8" t="str">
        <f>'Criaturas - Base de Dados'!D155</f>
        <v>Argos de Cem Olhos</v>
      </c>
      <c r="E925" s="8" t="str">
        <f>'Sistema de Raridade e Evolução'!B7</f>
        <v>Lendário</v>
      </c>
      <c r="F925" s="9">
        <f>ROUND(('Criaturas - Base de Dados'!H155*'Sistema de Raridade e Evolução'!E7)*1000,2)</f>
        <v>5400000</v>
      </c>
      <c r="G925" s="8">
        <f>ROUND('Criaturas - Base de Dados'!I155*'Sistema de Raridade e Evolução'!E7,0)</f>
        <v>3300</v>
      </c>
      <c r="H925" s="8">
        <f>ROUND('Criaturas - Base de Dados'!J155*'Sistema de Raridade e Evolução'!E7,0)</f>
        <v>2700</v>
      </c>
      <c r="I925" s="8">
        <f>ROUND('Criaturas - Base de Dados'!K155*'Sistema de Raridade e Evolução'!E7,0)</f>
        <v>17250</v>
      </c>
      <c r="J925" s="8">
        <f>'Sistema de Raridade e Evolução'!D7</f>
        <v>91</v>
      </c>
      <c r="K925" s="8" t="s">
        <v>925</v>
      </c>
      <c r="L925" s="9">
        <f t="shared" si="14"/>
        <v>12857142.859999999</v>
      </c>
    </row>
    <row r="926" spans="1:12" ht="14.25" customHeight="1" x14ac:dyDescent="0.3">
      <c r="A926" s="8">
        <v>925</v>
      </c>
      <c r="B926" s="8" t="str">
        <f>'Criaturas - Base de Dados'!B156</f>
        <v>Rocha Ancestral</v>
      </c>
      <c r="C926" s="8" t="str">
        <f>'Criaturas - Base de Dados'!C156</f>
        <v>Terra</v>
      </c>
      <c r="D926" s="8" t="str">
        <f>'Criaturas - Base de Dados'!D156</f>
        <v>Espírito da Caverna</v>
      </c>
      <c r="E926" s="8" t="str">
        <f>'Sistema de Raridade e Evolução'!B2</f>
        <v>Default</v>
      </c>
      <c r="F926" s="9" t="e">
        <f>ROUND(('Criaturas - Base de Dados'!H156*'Sistema de Raridade e Evolução'!E2)*1000,2)</f>
        <v>#VALUE!</v>
      </c>
      <c r="G926" s="8" t="e">
        <f>ROUND('Criaturas - Base de Dados'!I156*'Sistema de Raridade e Evolução'!E2,0)</f>
        <v>#VALUE!</v>
      </c>
      <c r="H926" s="8" t="e">
        <f>ROUND('Criaturas - Base de Dados'!J156*'Sistema de Raridade e Evolução'!E2,0)</f>
        <v>#VALUE!</v>
      </c>
      <c r="I926" s="8" t="e">
        <f>ROUND('Criaturas - Base de Dados'!K156*'Sistema de Raridade e Evolução'!E2,0)</f>
        <v>#VALUE!</v>
      </c>
      <c r="J926" s="8">
        <f>'Sistema de Raridade e Evolução'!D2</f>
        <v>1</v>
      </c>
      <c r="K926" s="8" t="s">
        <v>8</v>
      </c>
      <c r="L926" s="9" t="e">
        <f t="shared" si="14"/>
        <v>#VALUE!</v>
      </c>
    </row>
    <row r="927" spans="1:12" ht="14.25" hidden="1" customHeight="1" x14ac:dyDescent="0.3">
      <c r="A927" s="8">
        <v>926</v>
      </c>
      <c r="B927" s="8" t="str">
        <f>'Criaturas - Base de Dados'!B156</f>
        <v>Rocha Ancestral</v>
      </c>
      <c r="C927" s="8" t="str">
        <f>'Criaturas - Base de Dados'!C156</f>
        <v>Terra</v>
      </c>
      <c r="D927" s="8" t="str">
        <f>'Criaturas - Base de Dados'!D156</f>
        <v>Espírito da Caverna</v>
      </c>
      <c r="E927" s="8" t="str">
        <f>'Sistema de Raridade e Evolução'!B3</f>
        <v>Bronze</v>
      </c>
      <c r="F927" s="9">
        <f>ROUND(('Criaturas - Base de Dados'!H156*'Sistema de Raridade e Evolução'!E3)*1000,2)</f>
        <v>38000</v>
      </c>
      <c r="G927" s="8">
        <f>ROUND('Criaturas - Base de Dados'!I156*'Sistema de Raridade e Evolução'!E3,0)</f>
        <v>23</v>
      </c>
      <c r="H927" s="8">
        <f>ROUND('Criaturas - Base de Dados'!J156*'Sistema de Raridade e Evolução'!E3,0)</f>
        <v>19</v>
      </c>
      <c r="I927" s="8">
        <f>ROUND('Criaturas - Base de Dados'!K156*'Sistema de Raridade e Evolução'!E3,0)</f>
        <v>122</v>
      </c>
      <c r="J927" s="8">
        <f>'Sistema de Raridade e Evolução'!D3</f>
        <v>6</v>
      </c>
      <c r="K927" s="8" t="s">
        <v>9</v>
      </c>
      <c r="L927" s="9">
        <f t="shared" si="14"/>
        <v>90476.19</v>
      </c>
    </row>
    <row r="928" spans="1:12" ht="14.25" hidden="1" customHeight="1" x14ac:dyDescent="0.3">
      <c r="A928" s="8">
        <v>927</v>
      </c>
      <c r="B928" s="8" t="str">
        <f>'Criaturas - Base de Dados'!B156</f>
        <v>Rocha Ancestral</v>
      </c>
      <c r="C928" s="8" t="str">
        <f>'Criaturas - Base de Dados'!C156</f>
        <v>Terra</v>
      </c>
      <c r="D928" s="8" t="str">
        <f>'Criaturas - Base de Dados'!D156</f>
        <v>Espírito da Caverna</v>
      </c>
      <c r="E928" s="8" t="str">
        <f>'Sistema de Raridade e Evolução'!B4</f>
        <v>Prata</v>
      </c>
      <c r="F928" s="9">
        <f>ROUND(('Criaturas - Base de Dados'!H156*'Sistema de Raridade e Evolução'!E4)*1000,2)</f>
        <v>228000</v>
      </c>
      <c r="G928" s="8">
        <f>ROUND('Criaturas - Base de Dados'!I156*'Sistema de Raridade e Evolução'!E4,0)</f>
        <v>138</v>
      </c>
      <c r="H928" s="8">
        <f>ROUND('Criaturas - Base de Dados'!J156*'Sistema de Raridade e Evolução'!E4,0)</f>
        <v>114</v>
      </c>
      <c r="I928" s="8">
        <f>ROUND('Criaturas - Base de Dados'!K156*'Sistema de Raridade e Evolução'!E4,0)</f>
        <v>732</v>
      </c>
      <c r="J928" s="8">
        <f>'Sistema de Raridade e Evolução'!D4</f>
        <v>16</v>
      </c>
      <c r="K928" s="8" t="s">
        <v>10</v>
      </c>
      <c r="L928" s="9">
        <f t="shared" si="14"/>
        <v>542857.14</v>
      </c>
    </row>
    <row r="929" spans="1:12" ht="14.25" hidden="1" customHeight="1" x14ac:dyDescent="0.3">
      <c r="A929" s="8">
        <v>928</v>
      </c>
      <c r="B929" s="8" t="str">
        <f>'Criaturas - Base de Dados'!B156</f>
        <v>Rocha Ancestral</v>
      </c>
      <c r="C929" s="8" t="str">
        <f>'Criaturas - Base de Dados'!C156</f>
        <v>Terra</v>
      </c>
      <c r="D929" s="8" t="str">
        <f>'Criaturas - Base de Dados'!D156</f>
        <v>Espírito da Caverna</v>
      </c>
      <c r="E929" s="8" t="str">
        <f>'Sistema de Raridade e Evolução'!B5</f>
        <v>Ouro</v>
      </c>
      <c r="F929" s="9">
        <f>ROUND(('Criaturas - Base de Dados'!H156*'Sistema de Raridade e Evolução'!E5)*1000,2)</f>
        <v>684000</v>
      </c>
      <c r="G929" s="8">
        <f>ROUND('Criaturas - Base de Dados'!I156*'Sistema de Raridade e Evolução'!E5,0)</f>
        <v>414</v>
      </c>
      <c r="H929" s="8">
        <f>ROUND('Criaturas - Base de Dados'!J156*'Sistema de Raridade e Evolução'!E5,0)</f>
        <v>342</v>
      </c>
      <c r="I929" s="8">
        <f>ROUND('Criaturas - Base de Dados'!K156*'Sistema de Raridade e Evolução'!E5,0)</f>
        <v>2196</v>
      </c>
      <c r="J929" s="8">
        <f>'Sistema de Raridade e Evolução'!D5</f>
        <v>31</v>
      </c>
      <c r="K929" s="8" t="s">
        <v>11</v>
      </c>
      <c r="L929" s="9">
        <f t="shared" si="14"/>
        <v>1628571.43</v>
      </c>
    </row>
    <row r="930" spans="1:12" ht="14.25" hidden="1" customHeight="1" x14ac:dyDescent="0.3">
      <c r="A930" s="8">
        <v>929</v>
      </c>
      <c r="B930" s="8" t="str">
        <f>'Criaturas - Base de Dados'!B156</f>
        <v>Rocha Ancestral</v>
      </c>
      <c r="C930" s="8" t="str">
        <f>'Criaturas - Base de Dados'!C156</f>
        <v>Terra</v>
      </c>
      <c r="D930" s="8" t="str">
        <f>'Criaturas - Base de Dados'!D156</f>
        <v>Espírito da Caverna</v>
      </c>
      <c r="E930" s="8" t="str">
        <f>'Sistema de Raridade e Evolução'!B6</f>
        <v>Platina</v>
      </c>
      <c r="F930" s="9">
        <f>ROUND(('Criaturas - Base de Dados'!H156*'Sistema de Raridade e Evolução'!E6)*1000,2)</f>
        <v>1900000</v>
      </c>
      <c r="G930" s="8">
        <f>ROUND('Criaturas - Base de Dados'!I156*'Sistema de Raridade e Evolução'!E6,0)</f>
        <v>1150</v>
      </c>
      <c r="H930" s="8">
        <f>ROUND('Criaturas - Base de Dados'!J156*'Sistema de Raridade e Evolução'!E6,0)</f>
        <v>950</v>
      </c>
      <c r="I930" s="8">
        <f>ROUND('Criaturas - Base de Dados'!K156*'Sistema de Raridade e Evolução'!E6,0)</f>
        <v>6100</v>
      </c>
      <c r="J930" s="8">
        <f>'Sistema de Raridade e Evolução'!D6</f>
        <v>56</v>
      </c>
      <c r="K930" s="8" t="s">
        <v>12</v>
      </c>
      <c r="L930" s="9">
        <f t="shared" si="14"/>
        <v>4523809.5199999996</v>
      </c>
    </row>
    <row r="931" spans="1:12" ht="14.25" hidden="1" customHeight="1" x14ac:dyDescent="0.3">
      <c r="A931" s="8">
        <v>930</v>
      </c>
      <c r="B931" s="8" t="str">
        <f>'Criaturas - Base de Dados'!B156</f>
        <v>Rocha Ancestral</v>
      </c>
      <c r="C931" s="8" t="str">
        <f>'Criaturas - Base de Dados'!C156</f>
        <v>Terra</v>
      </c>
      <c r="D931" s="8" t="str">
        <f>'Criaturas - Base de Dados'!D156</f>
        <v>Espírito da Caverna</v>
      </c>
      <c r="E931" s="8" t="str">
        <f>'Sistema de Raridade e Evolução'!B7</f>
        <v>Lendário</v>
      </c>
      <c r="F931" s="9">
        <f>ROUND(('Criaturas - Base de Dados'!H156*'Sistema de Raridade e Evolução'!E7)*1000,2)</f>
        <v>5700000</v>
      </c>
      <c r="G931" s="8">
        <f>ROUND('Criaturas - Base de Dados'!I156*'Sistema de Raridade e Evolução'!E7,0)</f>
        <v>3450</v>
      </c>
      <c r="H931" s="8">
        <f>ROUND('Criaturas - Base de Dados'!J156*'Sistema de Raridade e Evolução'!E7,0)</f>
        <v>2850</v>
      </c>
      <c r="I931" s="8">
        <f>ROUND('Criaturas - Base de Dados'!K156*'Sistema de Raridade e Evolução'!E7,0)</f>
        <v>18300</v>
      </c>
      <c r="J931" s="8">
        <f>'Sistema de Raridade e Evolução'!D7</f>
        <v>91</v>
      </c>
      <c r="K931" s="8" t="s">
        <v>925</v>
      </c>
      <c r="L931" s="9">
        <f t="shared" si="14"/>
        <v>13571428.57</v>
      </c>
    </row>
    <row r="932" spans="1:12" ht="14.25" customHeight="1" x14ac:dyDescent="0.3">
      <c r="A932" s="8">
        <v>931</v>
      </c>
      <c r="B932" s="8" t="str">
        <f>'Criaturas - Base de Dados'!B157</f>
        <v>Rocha Ancestral</v>
      </c>
      <c r="C932" s="8" t="str">
        <f>'Criaturas - Base de Dados'!C157</f>
        <v>Terra</v>
      </c>
      <c r="D932" s="8" t="str">
        <f>'Criaturas - Base de Dados'!D157</f>
        <v>Talos, o Autômato de Bronze</v>
      </c>
      <c r="E932" s="8" t="str">
        <f>'Sistema de Raridade e Evolução'!B2</f>
        <v>Default</v>
      </c>
      <c r="F932" s="9" t="e">
        <f>ROUND(('Criaturas - Base de Dados'!H157*'Sistema de Raridade e Evolução'!E2)*1000,2)</f>
        <v>#VALUE!</v>
      </c>
      <c r="G932" s="8" t="e">
        <f>ROUND('Criaturas - Base de Dados'!I157*'Sistema de Raridade e Evolução'!E2,0)</f>
        <v>#VALUE!</v>
      </c>
      <c r="H932" s="8" t="e">
        <f>ROUND('Criaturas - Base de Dados'!J157*'Sistema de Raridade e Evolução'!E2,0)</f>
        <v>#VALUE!</v>
      </c>
      <c r="I932" s="8" t="e">
        <f>ROUND('Criaturas - Base de Dados'!K157*'Sistema de Raridade e Evolução'!E2,0)</f>
        <v>#VALUE!</v>
      </c>
      <c r="J932" s="8">
        <f>'Sistema de Raridade e Evolução'!D2</f>
        <v>1</v>
      </c>
      <c r="K932" s="8" t="s">
        <v>8</v>
      </c>
      <c r="L932" s="9" t="e">
        <f t="shared" si="14"/>
        <v>#VALUE!</v>
      </c>
    </row>
    <row r="933" spans="1:12" ht="14.25" hidden="1" customHeight="1" x14ac:dyDescent="0.3">
      <c r="A933" s="8">
        <v>932</v>
      </c>
      <c r="B933" s="8" t="str">
        <f>'Criaturas - Base de Dados'!B157</f>
        <v>Rocha Ancestral</v>
      </c>
      <c r="C933" s="8" t="str">
        <f>'Criaturas - Base de Dados'!C157</f>
        <v>Terra</v>
      </c>
      <c r="D933" s="8" t="str">
        <f>'Criaturas - Base de Dados'!D157</f>
        <v>Talos, o Autômato de Bronze</v>
      </c>
      <c r="E933" s="8" t="str">
        <f>'Sistema de Raridade e Evolução'!B3</f>
        <v>Bronze</v>
      </c>
      <c r="F933" s="9">
        <f>ROUND(('Criaturas - Base de Dados'!H157*'Sistema de Raridade e Evolução'!E3)*1000,2)</f>
        <v>54000</v>
      </c>
      <c r="G933" s="8">
        <f>ROUND('Criaturas - Base de Dados'!I157*'Sistema de Raridade e Evolução'!E3,0)</f>
        <v>32</v>
      </c>
      <c r="H933" s="8">
        <f>ROUND('Criaturas - Base de Dados'!J157*'Sistema de Raridade e Evolução'!E3,0)</f>
        <v>27</v>
      </c>
      <c r="I933" s="8">
        <f>ROUND('Criaturas - Base de Dados'!K157*'Sistema de Raridade e Evolução'!E3,0)</f>
        <v>173</v>
      </c>
      <c r="J933" s="8">
        <f>'Sistema de Raridade e Evolução'!D3</f>
        <v>6</v>
      </c>
      <c r="K933" s="8" t="s">
        <v>9</v>
      </c>
      <c r="L933" s="9">
        <f t="shared" si="14"/>
        <v>128571.43</v>
      </c>
    </row>
    <row r="934" spans="1:12" ht="14.25" hidden="1" customHeight="1" x14ac:dyDescent="0.3">
      <c r="A934" s="8">
        <v>933</v>
      </c>
      <c r="B934" s="8" t="str">
        <f>'Criaturas - Base de Dados'!B157</f>
        <v>Rocha Ancestral</v>
      </c>
      <c r="C934" s="8" t="str">
        <f>'Criaturas - Base de Dados'!C157</f>
        <v>Terra</v>
      </c>
      <c r="D934" s="8" t="str">
        <f>'Criaturas - Base de Dados'!D157</f>
        <v>Talos, o Autômato de Bronze</v>
      </c>
      <c r="E934" s="8" t="str">
        <f>'Sistema de Raridade e Evolução'!B4</f>
        <v>Prata</v>
      </c>
      <c r="F934" s="9">
        <f>ROUND(('Criaturas - Base de Dados'!H157*'Sistema de Raridade e Evolução'!E4)*1000,2)</f>
        <v>324000</v>
      </c>
      <c r="G934" s="8">
        <f>ROUND('Criaturas - Base de Dados'!I157*'Sistema de Raridade e Evolução'!E4,0)</f>
        <v>192</v>
      </c>
      <c r="H934" s="8">
        <f>ROUND('Criaturas - Base de Dados'!J157*'Sistema de Raridade e Evolução'!E4,0)</f>
        <v>162</v>
      </c>
      <c r="I934" s="8">
        <f>ROUND('Criaturas - Base de Dados'!K157*'Sistema de Raridade e Evolução'!E4,0)</f>
        <v>1038</v>
      </c>
      <c r="J934" s="8">
        <f>'Sistema de Raridade e Evolução'!D4</f>
        <v>16</v>
      </c>
      <c r="K934" s="8" t="s">
        <v>10</v>
      </c>
      <c r="L934" s="9">
        <f t="shared" si="14"/>
        <v>771428.57</v>
      </c>
    </row>
    <row r="935" spans="1:12" ht="14.25" hidden="1" customHeight="1" x14ac:dyDescent="0.3">
      <c r="A935" s="8">
        <v>934</v>
      </c>
      <c r="B935" s="8" t="str">
        <f>'Criaturas - Base de Dados'!B157</f>
        <v>Rocha Ancestral</v>
      </c>
      <c r="C935" s="8" t="str">
        <f>'Criaturas - Base de Dados'!C157</f>
        <v>Terra</v>
      </c>
      <c r="D935" s="8" t="str">
        <f>'Criaturas - Base de Dados'!D157</f>
        <v>Talos, o Autômato de Bronze</v>
      </c>
      <c r="E935" s="8" t="str">
        <f>'Sistema de Raridade e Evolução'!B5</f>
        <v>Ouro</v>
      </c>
      <c r="F935" s="9">
        <f>ROUND(('Criaturas - Base de Dados'!H157*'Sistema de Raridade e Evolução'!E5)*1000,2)</f>
        <v>972000</v>
      </c>
      <c r="G935" s="8">
        <f>ROUND('Criaturas - Base de Dados'!I157*'Sistema de Raridade e Evolução'!E5,0)</f>
        <v>576</v>
      </c>
      <c r="H935" s="8">
        <f>ROUND('Criaturas - Base de Dados'!J157*'Sistema de Raridade e Evolução'!E5,0)</f>
        <v>486</v>
      </c>
      <c r="I935" s="8">
        <f>ROUND('Criaturas - Base de Dados'!K157*'Sistema de Raridade e Evolução'!E5,0)</f>
        <v>3114</v>
      </c>
      <c r="J935" s="8">
        <f>'Sistema de Raridade e Evolução'!D5</f>
        <v>31</v>
      </c>
      <c r="K935" s="8" t="s">
        <v>11</v>
      </c>
      <c r="L935" s="9">
        <f t="shared" si="14"/>
        <v>2314285.71</v>
      </c>
    </row>
    <row r="936" spans="1:12" ht="14.25" hidden="1" customHeight="1" x14ac:dyDescent="0.3">
      <c r="A936" s="8">
        <v>935</v>
      </c>
      <c r="B936" s="8" t="str">
        <f>'Criaturas - Base de Dados'!B157</f>
        <v>Rocha Ancestral</v>
      </c>
      <c r="C936" s="8" t="str">
        <f>'Criaturas - Base de Dados'!C157</f>
        <v>Terra</v>
      </c>
      <c r="D936" s="8" t="str">
        <f>'Criaturas - Base de Dados'!D157</f>
        <v>Talos, o Autômato de Bronze</v>
      </c>
      <c r="E936" s="8" t="str">
        <f>'Sistema de Raridade e Evolução'!B6</f>
        <v>Platina</v>
      </c>
      <c r="F936" s="9">
        <f>ROUND(('Criaturas - Base de Dados'!H157*'Sistema de Raridade e Evolução'!E6)*1000,2)</f>
        <v>2700000</v>
      </c>
      <c r="G936" s="8">
        <f>ROUND('Criaturas - Base de Dados'!I157*'Sistema de Raridade e Evolução'!E6,0)</f>
        <v>1600</v>
      </c>
      <c r="H936" s="8">
        <f>ROUND('Criaturas - Base de Dados'!J157*'Sistema de Raridade e Evolução'!E6,0)</f>
        <v>1350</v>
      </c>
      <c r="I936" s="8">
        <f>ROUND('Criaturas - Base de Dados'!K157*'Sistema de Raridade e Evolução'!E6,0)</f>
        <v>8650</v>
      </c>
      <c r="J936" s="8">
        <f>'Sistema de Raridade e Evolução'!D6</f>
        <v>56</v>
      </c>
      <c r="K936" s="8" t="s">
        <v>12</v>
      </c>
      <c r="L936" s="9">
        <f t="shared" si="14"/>
        <v>6428571.4299999997</v>
      </c>
    </row>
    <row r="937" spans="1:12" ht="14.25" hidden="1" customHeight="1" x14ac:dyDescent="0.3">
      <c r="A937" s="8">
        <v>936</v>
      </c>
      <c r="B937" s="8" t="str">
        <f>'Criaturas - Base de Dados'!B157</f>
        <v>Rocha Ancestral</v>
      </c>
      <c r="C937" s="8" t="str">
        <f>'Criaturas - Base de Dados'!C157</f>
        <v>Terra</v>
      </c>
      <c r="D937" s="8" t="str">
        <f>'Criaturas - Base de Dados'!D157</f>
        <v>Talos, o Autômato de Bronze</v>
      </c>
      <c r="E937" s="8" t="str">
        <f>'Sistema de Raridade e Evolução'!B7</f>
        <v>Lendário</v>
      </c>
      <c r="F937" s="9">
        <f>ROUND(('Criaturas - Base de Dados'!H157*'Sistema de Raridade e Evolução'!E7)*1000,2)</f>
        <v>8100000</v>
      </c>
      <c r="G937" s="8">
        <f>ROUND('Criaturas - Base de Dados'!I157*'Sistema de Raridade e Evolução'!E7,0)</f>
        <v>4800</v>
      </c>
      <c r="H937" s="8">
        <f>ROUND('Criaturas - Base de Dados'!J157*'Sistema de Raridade e Evolução'!E7,0)</f>
        <v>4050</v>
      </c>
      <c r="I937" s="8">
        <f>ROUND('Criaturas - Base de Dados'!K157*'Sistema de Raridade e Evolução'!E7,0)</f>
        <v>25950</v>
      </c>
      <c r="J937" s="8">
        <f>'Sistema de Raridade e Evolução'!D7</f>
        <v>91</v>
      </c>
      <c r="K937" s="8" t="s">
        <v>925</v>
      </c>
      <c r="L937" s="9">
        <f t="shared" si="14"/>
        <v>19285714.289999999</v>
      </c>
    </row>
    <row r="938" spans="1:12" ht="14.25" customHeight="1" x14ac:dyDescent="0.3">
      <c r="A938" s="8">
        <v>937</v>
      </c>
      <c r="B938" s="8" t="str">
        <f>'Criaturas - Base de Dados'!B158</f>
        <v>Rocha Ancestral</v>
      </c>
      <c r="C938" s="8" t="str">
        <f>'Criaturas - Base de Dados'!C158</f>
        <v>Terra</v>
      </c>
      <c r="D938" s="8" t="str">
        <f>'Criaturas - Base de Dados'!D158</f>
        <v>Oni de Pedra</v>
      </c>
      <c r="E938" s="8" t="str">
        <f>'Sistema de Raridade e Evolução'!B2</f>
        <v>Default</v>
      </c>
      <c r="F938" s="9" t="e">
        <f>ROUND(('Criaturas - Base de Dados'!H158*'Sistema de Raridade e Evolução'!E2)*1000,2)</f>
        <v>#VALUE!</v>
      </c>
      <c r="G938" s="8" t="e">
        <f>ROUND('Criaturas - Base de Dados'!I158*'Sistema de Raridade e Evolução'!E2,0)</f>
        <v>#VALUE!</v>
      </c>
      <c r="H938" s="8" t="e">
        <f>ROUND('Criaturas - Base de Dados'!J158*'Sistema de Raridade e Evolução'!E2,0)</f>
        <v>#VALUE!</v>
      </c>
      <c r="I938" s="8" t="e">
        <f>ROUND('Criaturas - Base de Dados'!K158*'Sistema de Raridade e Evolução'!E2,0)</f>
        <v>#VALUE!</v>
      </c>
      <c r="J938" s="8">
        <f>'Sistema de Raridade e Evolução'!D2</f>
        <v>1</v>
      </c>
      <c r="K938" s="8" t="s">
        <v>8</v>
      </c>
      <c r="L938" s="9" t="e">
        <f t="shared" si="14"/>
        <v>#VALUE!</v>
      </c>
    </row>
    <row r="939" spans="1:12" ht="14.25" hidden="1" customHeight="1" x14ac:dyDescent="0.3">
      <c r="A939" s="8">
        <v>938</v>
      </c>
      <c r="B939" s="8" t="str">
        <f>'Criaturas - Base de Dados'!B158</f>
        <v>Rocha Ancestral</v>
      </c>
      <c r="C939" s="8" t="str">
        <f>'Criaturas - Base de Dados'!C158</f>
        <v>Terra</v>
      </c>
      <c r="D939" s="8" t="str">
        <f>'Criaturas - Base de Dados'!D158</f>
        <v>Oni de Pedra</v>
      </c>
      <c r="E939" s="8" t="str">
        <f>'Sistema de Raridade e Evolução'!B3</f>
        <v>Bronze</v>
      </c>
      <c r="F939" s="9">
        <f>ROUND(('Criaturas - Base de Dados'!H158*'Sistema de Raridade e Evolução'!E3)*1000,2)</f>
        <v>48000</v>
      </c>
      <c r="G939" s="8">
        <f>ROUND('Criaturas - Base de Dados'!I158*'Sistema de Raridade e Evolução'!E3,0)</f>
        <v>29</v>
      </c>
      <c r="H939" s="8">
        <f>ROUND('Criaturas - Base de Dados'!J158*'Sistema de Raridade e Evolução'!E3,0)</f>
        <v>24</v>
      </c>
      <c r="I939" s="8">
        <f>ROUND('Criaturas - Base de Dados'!K158*'Sistema de Raridade e Evolução'!E3,0)</f>
        <v>154</v>
      </c>
      <c r="J939" s="8">
        <f>'Sistema de Raridade e Evolução'!D3</f>
        <v>6</v>
      </c>
      <c r="K939" s="8" t="s">
        <v>9</v>
      </c>
      <c r="L939" s="9">
        <f t="shared" si="14"/>
        <v>114285.71</v>
      </c>
    </row>
    <row r="940" spans="1:12" ht="14.25" hidden="1" customHeight="1" x14ac:dyDescent="0.3">
      <c r="A940" s="8">
        <v>939</v>
      </c>
      <c r="B940" s="8" t="str">
        <f>'Criaturas - Base de Dados'!B158</f>
        <v>Rocha Ancestral</v>
      </c>
      <c r="C940" s="8" t="str">
        <f>'Criaturas - Base de Dados'!C158</f>
        <v>Terra</v>
      </c>
      <c r="D940" s="8" t="str">
        <f>'Criaturas - Base de Dados'!D158</f>
        <v>Oni de Pedra</v>
      </c>
      <c r="E940" s="8" t="str">
        <f>'Sistema de Raridade e Evolução'!B4</f>
        <v>Prata</v>
      </c>
      <c r="F940" s="9">
        <f>ROUND(('Criaturas - Base de Dados'!H158*'Sistema de Raridade e Evolução'!E4)*1000,2)</f>
        <v>288000</v>
      </c>
      <c r="G940" s="8">
        <f>ROUND('Criaturas - Base de Dados'!I158*'Sistema de Raridade e Evolução'!E4,0)</f>
        <v>174</v>
      </c>
      <c r="H940" s="8">
        <f>ROUND('Criaturas - Base de Dados'!J158*'Sistema de Raridade e Evolução'!E4,0)</f>
        <v>144</v>
      </c>
      <c r="I940" s="8">
        <f>ROUND('Criaturas - Base de Dados'!K158*'Sistema de Raridade e Evolução'!E4,0)</f>
        <v>924</v>
      </c>
      <c r="J940" s="8">
        <f>'Sistema de Raridade e Evolução'!D4</f>
        <v>16</v>
      </c>
      <c r="K940" s="8" t="s">
        <v>10</v>
      </c>
      <c r="L940" s="9">
        <f t="shared" si="14"/>
        <v>685714.29</v>
      </c>
    </row>
    <row r="941" spans="1:12" ht="14.25" hidden="1" customHeight="1" x14ac:dyDescent="0.3">
      <c r="A941" s="8">
        <v>940</v>
      </c>
      <c r="B941" s="8" t="str">
        <f>'Criaturas - Base de Dados'!B158</f>
        <v>Rocha Ancestral</v>
      </c>
      <c r="C941" s="8" t="str">
        <f>'Criaturas - Base de Dados'!C158</f>
        <v>Terra</v>
      </c>
      <c r="D941" s="8" t="str">
        <f>'Criaturas - Base de Dados'!D158</f>
        <v>Oni de Pedra</v>
      </c>
      <c r="E941" s="8" t="str">
        <f>'Sistema de Raridade e Evolução'!B5</f>
        <v>Ouro</v>
      </c>
      <c r="F941" s="9">
        <f>ROUND(('Criaturas - Base de Dados'!H158*'Sistema de Raridade e Evolução'!E5)*1000,2)</f>
        <v>864000</v>
      </c>
      <c r="G941" s="8">
        <f>ROUND('Criaturas - Base de Dados'!I158*'Sistema de Raridade e Evolução'!E5,0)</f>
        <v>522</v>
      </c>
      <c r="H941" s="8">
        <f>ROUND('Criaturas - Base de Dados'!J158*'Sistema de Raridade e Evolução'!E5,0)</f>
        <v>432</v>
      </c>
      <c r="I941" s="8">
        <f>ROUND('Criaturas - Base de Dados'!K158*'Sistema de Raridade e Evolução'!E5,0)</f>
        <v>2772</v>
      </c>
      <c r="J941" s="8">
        <f>'Sistema de Raridade e Evolução'!D5</f>
        <v>31</v>
      </c>
      <c r="K941" s="8" t="s">
        <v>11</v>
      </c>
      <c r="L941" s="9">
        <f t="shared" si="14"/>
        <v>2057142.86</v>
      </c>
    </row>
    <row r="942" spans="1:12" ht="14.25" hidden="1" customHeight="1" x14ac:dyDescent="0.3">
      <c r="A942" s="8">
        <v>941</v>
      </c>
      <c r="B942" s="8" t="str">
        <f>'Criaturas - Base de Dados'!B158</f>
        <v>Rocha Ancestral</v>
      </c>
      <c r="C942" s="8" t="str">
        <f>'Criaturas - Base de Dados'!C158</f>
        <v>Terra</v>
      </c>
      <c r="D942" s="8" t="str">
        <f>'Criaturas - Base de Dados'!D158</f>
        <v>Oni de Pedra</v>
      </c>
      <c r="E942" s="8" t="str">
        <f>'Sistema de Raridade e Evolução'!B6</f>
        <v>Platina</v>
      </c>
      <c r="F942" s="9">
        <f>ROUND(('Criaturas - Base de Dados'!H158*'Sistema de Raridade e Evolução'!E6)*1000,2)</f>
        <v>2400000</v>
      </c>
      <c r="G942" s="8">
        <f>ROUND('Criaturas - Base de Dados'!I158*'Sistema de Raridade e Evolução'!E6,0)</f>
        <v>1450</v>
      </c>
      <c r="H942" s="8">
        <f>ROUND('Criaturas - Base de Dados'!J158*'Sistema de Raridade e Evolução'!E6,0)</f>
        <v>1200</v>
      </c>
      <c r="I942" s="8">
        <f>ROUND('Criaturas - Base de Dados'!K158*'Sistema de Raridade e Evolução'!E6,0)</f>
        <v>7700</v>
      </c>
      <c r="J942" s="8">
        <f>'Sistema de Raridade e Evolução'!D6</f>
        <v>56</v>
      </c>
      <c r="K942" s="8" t="s">
        <v>12</v>
      </c>
      <c r="L942" s="9">
        <f t="shared" si="14"/>
        <v>5714285.71</v>
      </c>
    </row>
    <row r="943" spans="1:12" ht="14.25" hidden="1" customHeight="1" x14ac:dyDescent="0.3">
      <c r="A943" s="8">
        <v>942</v>
      </c>
      <c r="B943" s="8" t="str">
        <f>'Criaturas - Base de Dados'!B158</f>
        <v>Rocha Ancestral</v>
      </c>
      <c r="C943" s="8" t="str">
        <f>'Criaturas - Base de Dados'!C158</f>
        <v>Terra</v>
      </c>
      <c r="D943" s="8" t="str">
        <f>'Criaturas - Base de Dados'!D158</f>
        <v>Oni de Pedra</v>
      </c>
      <c r="E943" s="8" t="str">
        <f>'Sistema de Raridade e Evolução'!B7</f>
        <v>Lendário</v>
      </c>
      <c r="F943" s="9">
        <f>ROUND(('Criaturas - Base de Dados'!H158*'Sistema de Raridade e Evolução'!E7)*1000,2)</f>
        <v>7200000</v>
      </c>
      <c r="G943" s="8">
        <f>ROUND('Criaturas - Base de Dados'!I158*'Sistema de Raridade e Evolução'!E7,0)</f>
        <v>4350</v>
      </c>
      <c r="H943" s="8">
        <f>ROUND('Criaturas - Base de Dados'!J158*'Sistema de Raridade e Evolução'!E7,0)</f>
        <v>3600</v>
      </c>
      <c r="I943" s="8">
        <f>ROUND('Criaturas - Base de Dados'!K158*'Sistema de Raridade e Evolução'!E7,0)</f>
        <v>23100</v>
      </c>
      <c r="J943" s="8">
        <f>'Sistema de Raridade e Evolução'!D7</f>
        <v>91</v>
      </c>
      <c r="K943" s="8" t="s">
        <v>925</v>
      </c>
      <c r="L943" s="9">
        <f t="shared" si="14"/>
        <v>17142857.140000001</v>
      </c>
    </row>
    <row r="944" spans="1:12" ht="14.25" customHeight="1" x14ac:dyDescent="0.3">
      <c r="A944" s="8">
        <v>943</v>
      </c>
      <c r="B944" s="8" t="str">
        <f>'Criaturas - Base de Dados'!B159</f>
        <v>Rocha Ancestral</v>
      </c>
      <c r="C944" s="8" t="str">
        <f>'Criaturas - Base de Dados'!C159</f>
        <v>Terra</v>
      </c>
      <c r="D944" s="8" t="str">
        <f>'Criaturas - Base de Dados'!D159</f>
        <v>Guardião Megalítico</v>
      </c>
      <c r="E944" s="8" t="str">
        <f>'Sistema de Raridade e Evolução'!B2</f>
        <v>Default</v>
      </c>
      <c r="F944" s="9" t="e">
        <f>ROUND(('Criaturas - Base de Dados'!H159*'Sistema de Raridade e Evolução'!E2)*1000,2)</f>
        <v>#VALUE!</v>
      </c>
      <c r="G944" s="8" t="e">
        <f>ROUND('Criaturas - Base de Dados'!I159*'Sistema de Raridade e Evolução'!E2,0)</f>
        <v>#VALUE!</v>
      </c>
      <c r="H944" s="8" t="e">
        <f>ROUND('Criaturas - Base de Dados'!J159*'Sistema de Raridade e Evolução'!E2,0)</f>
        <v>#VALUE!</v>
      </c>
      <c r="I944" s="8" t="e">
        <f>ROUND('Criaturas - Base de Dados'!K159*'Sistema de Raridade e Evolução'!E2,0)</f>
        <v>#VALUE!</v>
      </c>
      <c r="J944" s="8">
        <f>'Sistema de Raridade e Evolução'!D2</f>
        <v>1</v>
      </c>
      <c r="K944" s="8" t="s">
        <v>8</v>
      </c>
      <c r="L944" s="9" t="e">
        <f t="shared" si="14"/>
        <v>#VALUE!</v>
      </c>
    </row>
    <row r="945" spans="1:12" ht="14.25" hidden="1" customHeight="1" x14ac:dyDescent="0.3">
      <c r="A945" s="8">
        <v>944</v>
      </c>
      <c r="B945" s="8" t="str">
        <f>'Criaturas - Base de Dados'!B159</f>
        <v>Rocha Ancestral</v>
      </c>
      <c r="C945" s="8" t="str">
        <f>'Criaturas - Base de Dados'!C159</f>
        <v>Terra</v>
      </c>
      <c r="D945" s="8" t="str">
        <f>'Criaturas - Base de Dados'!D159</f>
        <v>Guardião Megalítico</v>
      </c>
      <c r="E945" s="8" t="str">
        <f>'Sistema de Raridade e Evolução'!B3</f>
        <v>Bronze</v>
      </c>
      <c r="F945" s="9">
        <f>ROUND(('Criaturas - Base de Dados'!H159*'Sistema de Raridade e Evolução'!E3)*1000,2)</f>
        <v>50000</v>
      </c>
      <c r="G945" s="8">
        <f>ROUND('Criaturas - Base de Dados'!I159*'Sistema de Raridade e Evolução'!E3,0)</f>
        <v>30</v>
      </c>
      <c r="H945" s="8">
        <f>ROUND('Criaturas - Base de Dados'!J159*'Sistema de Raridade e Evolução'!E3,0)</f>
        <v>25</v>
      </c>
      <c r="I945" s="8">
        <f>ROUND('Criaturas - Base de Dados'!K159*'Sistema de Raridade e Evolução'!E3,0)</f>
        <v>160</v>
      </c>
      <c r="J945" s="8">
        <f>'Sistema de Raridade e Evolução'!D3</f>
        <v>6</v>
      </c>
      <c r="K945" s="8" t="s">
        <v>9</v>
      </c>
      <c r="L945" s="9">
        <f t="shared" si="14"/>
        <v>119047.62</v>
      </c>
    </row>
    <row r="946" spans="1:12" ht="14.25" hidden="1" customHeight="1" x14ac:dyDescent="0.3">
      <c r="A946" s="8">
        <v>945</v>
      </c>
      <c r="B946" s="8" t="str">
        <f>'Criaturas - Base de Dados'!B159</f>
        <v>Rocha Ancestral</v>
      </c>
      <c r="C946" s="8" t="str">
        <f>'Criaturas - Base de Dados'!C159</f>
        <v>Terra</v>
      </c>
      <c r="D946" s="8" t="str">
        <f>'Criaturas - Base de Dados'!D159</f>
        <v>Guardião Megalítico</v>
      </c>
      <c r="E946" s="8" t="str">
        <f>'Sistema de Raridade e Evolução'!B4</f>
        <v>Prata</v>
      </c>
      <c r="F946" s="9">
        <f>ROUND(('Criaturas - Base de Dados'!H159*'Sistema de Raridade e Evolução'!E4)*1000,2)</f>
        <v>300000</v>
      </c>
      <c r="G946" s="8">
        <f>ROUND('Criaturas - Base de Dados'!I159*'Sistema de Raridade e Evolução'!E4,0)</f>
        <v>180</v>
      </c>
      <c r="H946" s="8">
        <f>ROUND('Criaturas - Base de Dados'!J159*'Sistema de Raridade e Evolução'!E4,0)</f>
        <v>150</v>
      </c>
      <c r="I946" s="8">
        <f>ROUND('Criaturas - Base de Dados'!K159*'Sistema de Raridade e Evolução'!E4,0)</f>
        <v>960</v>
      </c>
      <c r="J946" s="8">
        <f>'Sistema de Raridade e Evolução'!D4</f>
        <v>16</v>
      </c>
      <c r="K946" s="8" t="s">
        <v>10</v>
      </c>
      <c r="L946" s="9">
        <f t="shared" si="14"/>
        <v>714285.71</v>
      </c>
    </row>
    <row r="947" spans="1:12" ht="14.25" hidden="1" customHeight="1" x14ac:dyDescent="0.3">
      <c r="A947" s="8">
        <v>946</v>
      </c>
      <c r="B947" s="8" t="str">
        <f>'Criaturas - Base de Dados'!B159</f>
        <v>Rocha Ancestral</v>
      </c>
      <c r="C947" s="8" t="str">
        <f>'Criaturas - Base de Dados'!C159</f>
        <v>Terra</v>
      </c>
      <c r="D947" s="8" t="str">
        <f>'Criaturas - Base de Dados'!D159</f>
        <v>Guardião Megalítico</v>
      </c>
      <c r="E947" s="8" t="str">
        <f>'Sistema de Raridade e Evolução'!B5</f>
        <v>Ouro</v>
      </c>
      <c r="F947" s="9">
        <f>ROUND(('Criaturas - Base de Dados'!H159*'Sistema de Raridade e Evolução'!E5)*1000,2)</f>
        <v>900000</v>
      </c>
      <c r="G947" s="8">
        <f>ROUND('Criaturas - Base de Dados'!I159*'Sistema de Raridade e Evolução'!E5,0)</f>
        <v>540</v>
      </c>
      <c r="H947" s="8">
        <f>ROUND('Criaturas - Base de Dados'!J159*'Sistema de Raridade e Evolução'!E5,0)</f>
        <v>450</v>
      </c>
      <c r="I947" s="8">
        <f>ROUND('Criaturas - Base de Dados'!K159*'Sistema de Raridade e Evolução'!E5,0)</f>
        <v>2880</v>
      </c>
      <c r="J947" s="8">
        <f>'Sistema de Raridade e Evolução'!D5</f>
        <v>31</v>
      </c>
      <c r="K947" s="8" t="s">
        <v>11</v>
      </c>
      <c r="L947" s="9">
        <f t="shared" si="14"/>
        <v>2142857.14</v>
      </c>
    </row>
    <row r="948" spans="1:12" ht="14.25" hidden="1" customHeight="1" x14ac:dyDescent="0.3">
      <c r="A948" s="8">
        <v>947</v>
      </c>
      <c r="B948" s="8" t="str">
        <f>'Criaturas - Base de Dados'!B159</f>
        <v>Rocha Ancestral</v>
      </c>
      <c r="C948" s="8" t="str">
        <f>'Criaturas - Base de Dados'!C159</f>
        <v>Terra</v>
      </c>
      <c r="D948" s="8" t="str">
        <f>'Criaturas - Base de Dados'!D159</f>
        <v>Guardião Megalítico</v>
      </c>
      <c r="E948" s="8" t="str">
        <f>'Sistema de Raridade e Evolução'!B6</f>
        <v>Platina</v>
      </c>
      <c r="F948" s="9">
        <f>ROUND(('Criaturas - Base de Dados'!H159*'Sistema de Raridade e Evolução'!E6)*1000,2)</f>
        <v>2500000</v>
      </c>
      <c r="G948" s="8">
        <f>ROUND('Criaturas - Base de Dados'!I159*'Sistema de Raridade e Evolução'!E6,0)</f>
        <v>1500</v>
      </c>
      <c r="H948" s="8">
        <f>ROUND('Criaturas - Base de Dados'!J159*'Sistema de Raridade e Evolução'!E6,0)</f>
        <v>1250</v>
      </c>
      <c r="I948" s="8">
        <f>ROUND('Criaturas - Base de Dados'!K159*'Sistema de Raridade e Evolução'!E6,0)</f>
        <v>8000</v>
      </c>
      <c r="J948" s="8">
        <f>'Sistema de Raridade e Evolução'!D6</f>
        <v>56</v>
      </c>
      <c r="K948" s="8" t="s">
        <v>12</v>
      </c>
      <c r="L948" s="9">
        <f t="shared" si="14"/>
        <v>5952380.9500000002</v>
      </c>
    </row>
    <row r="949" spans="1:12" ht="14.25" hidden="1" customHeight="1" x14ac:dyDescent="0.3">
      <c r="A949" s="8">
        <v>948</v>
      </c>
      <c r="B949" s="8" t="str">
        <f>'Criaturas - Base de Dados'!B159</f>
        <v>Rocha Ancestral</v>
      </c>
      <c r="C949" s="8" t="str">
        <f>'Criaturas - Base de Dados'!C159</f>
        <v>Terra</v>
      </c>
      <c r="D949" s="8" t="str">
        <f>'Criaturas - Base de Dados'!D159</f>
        <v>Guardião Megalítico</v>
      </c>
      <c r="E949" s="8" t="str">
        <f>'Sistema de Raridade e Evolução'!B7</f>
        <v>Lendário</v>
      </c>
      <c r="F949" s="9">
        <f>ROUND(('Criaturas - Base de Dados'!H159*'Sistema de Raridade e Evolução'!E7)*1000,2)</f>
        <v>7500000</v>
      </c>
      <c r="G949" s="8">
        <f>ROUND('Criaturas - Base de Dados'!I159*'Sistema de Raridade e Evolução'!E7,0)</f>
        <v>4500</v>
      </c>
      <c r="H949" s="8">
        <f>ROUND('Criaturas - Base de Dados'!J159*'Sistema de Raridade e Evolução'!E7,0)</f>
        <v>3750</v>
      </c>
      <c r="I949" s="8">
        <f>ROUND('Criaturas - Base de Dados'!K159*'Sistema de Raridade e Evolução'!E7,0)</f>
        <v>24000</v>
      </c>
      <c r="J949" s="8">
        <f>'Sistema de Raridade e Evolução'!D7</f>
        <v>91</v>
      </c>
      <c r="K949" s="8" t="s">
        <v>925</v>
      </c>
      <c r="L949" s="9">
        <f t="shared" si="14"/>
        <v>17857142.859999999</v>
      </c>
    </row>
    <row r="950" spans="1:12" ht="14.25" customHeight="1" x14ac:dyDescent="0.3">
      <c r="A950" s="8">
        <v>949</v>
      </c>
      <c r="B950" s="8" t="str">
        <f>'Criaturas - Base de Dados'!B160</f>
        <v>Rocha Ancestral</v>
      </c>
      <c r="C950" s="8" t="str">
        <f>'Criaturas - Base de Dados'!C160</f>
        <v>Terra</v>
      </c>
      <c r="D950" s="8" t="str">
        <f>'Criaturas - Base de Dados'!D160</f>
        <v>Titã Adormecido</v>
      </c>
      <c r="E950" s="8" t="str">
        <f>'Sistema de Raridade e Evolução'!B2</f>
        <v>Default</v>
      </c>
      <c r="F950" s="9" t="e">
        <f>ROUND(('Criaturas - Base de Dados'!H160*'Sistema de Raridade e Evolução'!E2)*1000,2)</f>
        <v>#VALUE!</v>
      </c>
      <c r="G950" s="8" t="e">
        <f>ROUND('Criaturas - Base de Dados'!I160*'Sistema de Raridade e Evolução'!E2,0)</f>
        <v>#VALUE!</v>
      </c>
      <c r="H950" s="8" t="e">
        <f>ROUND('Criaturas - Base de Dados'!J160*'Sistema de Raridade e Evolução'!E2,0)</f>
        <v>#VALUE!</v>
      </c>
      <c r="I950" s="8" t="e">
        <f>ROUND('Criaturas - Base de Dados'!K160*'Sistema de Raridade e Evolução'!E2,0)</f>
        <v>#VALUE!</v>
      </c>
      <c r="J950" s="8">
        <f>'Sistema de Raridade e Evolução'!D2</f>
        <v>1</v>
      </c>
      <c r="K950" s="8" t="s">
        <v>8</v>
      </c>
      <c r="L950" s="9" t="e">
        <f t="shared" si="14"/>
        <v>#VALUE!</v>
      </c>
    </row>
    <row r="951" spans="1:12" ht="14.25" hidden="1" customHeight="1" x14ac:dyDescent="0.3">
      <c r="A951" s="8">
        <v>950</v>
      </c>
      <c r="B951" s="8" t="str">
        <f>'Criaturas - Base de Dados'!B160</f>
        <v>Rocha Ancestral</v>
      </c>
      <c r="C951" s="8" t="str">
        <f>'Criaturas - Base de Dados'!C160</f>
        <v>Terra</v>
      </c>
      <c r="D951" s="8" t="str">
        <f>'Criaturas - Base de Dados'!D160</f>
        <v>Titã Adormecido</v>
      </c>
      <c r="E951" s="8" t="str">
        <f>'Sistema de Raridade e Evolução'!B3</f>
        <v>Bronze</v>
      </c>
      <c r="F951" s="9">
        <f>ROUND(('Criaturas - Base de Dados'!H160*'Sistema de Raridade e Evolução'!E3)*1000,2)</f>
        <v>69000</v>
      </c>
      <c r="G951" s="8">
        <f>ROUND('Criaturas - Base de Dados'!I160*'Sistema de Raridade e Evolução'!E3,0)</f>
        <v>41</v>
      </c>
      <c r="H951" s="8">
        <f>ROUND('Criaturas - Base de Dados'!J160*'Sistema de Raridade e Evolução'!E3,0)</f>
        <v>34</v>
      </c>
      <c r="I951" s="8">
        <f>ROUND('Criaturas - Base de Dados'!K160*'Sistema de Raridade e Evolução'!E3,0)</f>
        <v>221</v>
      </c>
      <c r="J951" s="8">
        <f>'Sistema de Raridade e Evolução'!D3</f>
        <v>6</v>
      </c>
      <c r="K951" s="8" t="s">
        <v>9</v>
      </c>
      <c r="L951" s="9">
        <f t="shared" si="14"/>
        <v>164285.71</v>
      </c>
    </row>
    <row r="952" spans="1:12" ht="14.25" hidden="1" customHeight="1" x14ac:dyDescent="0.3">
      <c r="A952" s="8">
        <v>951</v>
      </c>
      <c r="B952" s="8" t="str">
        <f>'Criaturas - Base de Dados'!B160</f>
        <v>Rocha Ancestral</v>
      </c>
      <c r="C952" s="8" t="str">
        <f>'Criaturas - Base de Dados'!C160</f>
        <v>Terra</v>
      </c>
      <c r="D952" s="8" t="str">
        <f>'Criaturas - Base de Dados'!D160</f>
        <v>Titã Adormecido</v>
      </c>
      <c r="E952" s="8" t="str">
        <f>'Sistema de Raridade e Evolução'!B4</f>
        <v>Prata</v>
      </c>
      <c r="F952" s="9">
        <f>ROUND(('Criaturas - Base de Dados'!H160*'Sistema de Raridade e Evolução'!E4)*1000,2)</f>
        <v>414000</v>
      </c>
      <c r="G952" s="8">
        <f>ROUND('Criaturas - Base de Dados'!I160*'Sistema de Raridade e Evolução'!E4,0)</f>
        <v>246</v>
      </c>
      <c r="H952" s="8">
        <f>ROUND('Criaturas - Base de Dados'!J160*'Sistema de Raridade e Evolução'!E4,0)</f>
        <v>204</v>
      </c>
      <c r="I952" s="8">
        <f>ROUND('Criaturas - Base de Dados'!K160*'Sistema de Raridade e Evolução'!E4,0)</f>
        <v>1326</v>
      </c>
      <c r="J952" s="8">
        <f>'Sistema de Raridade e Evolução'!D4</f>
        <v>16</v>
      </c>
      <c r="K952" s="8" t="s">
        <v>10</v>
      </c>
      <c r="L952" s="9">
        <f t="shared" si="14"/>
        <v>985714.29</v>
      </c>
    </row>
    <row r="953" spans="1:12" ht="14.25" hidden="1" customHeight="1" x14ac:dyDescent="0.3">
      <c r="A953" s="8">
        <v>952</v>
      </c>
      <c r="B953" s="8" t="str">
        <f>'Criaturas - Base de Dados'!B160</f>
        <v>Rocha Ancestral</v>
      </c>
      <c r="C953" s="8" t="str">
        <f>'Criaturas - Base de Dados'!C160</f>
        <v>Terra</v>
      </c>
      <c r="D953" s="8" t="str">
        <f>'Criaturas - Base de Dados'!D160</f>
        <v>Titã Adormecido</v>
      </c>
      <c r="E953" s="8" t="str">
        <f>'Sistema de Raridade e Evolução'!B5</f>
        <v>Ouro</v>
      </c>
      <c r="F953" s="9">
        <f>ROUND(('Criaturas - Base de Dados'!H160*'Sistema de Raridade e Evolução'!E5)*1000,2)</f>
        <v>1242000</v>
      </c>
      <c r="G953" s="8">
        <f>ROUND('Criaturas - Base de Dados'!I160*'Sistema de Raridade e Evolução'!E5,0)</f>
        <v>738</v>
      </c>
      <c r="H953" s="8">
        <f>ROUND('Criaturas - Base de Dados'!J160*'Sistema de Raridade e Evolução'!E5,0)</f>
        <v>612</v>
      </c>
      <c r="I953" s="8">
        <f>ROUND('Criaturas - Base de Dados'!K160*'Sistema de Raridade e Evolução'!E5,0)</f>
        <v>3978</v>
      </c>
      <c r="J953" s="8">
        <f>'Sistema de Raridade e Evolução'!D5</f>
        <v>31</v>
      </c>
      <c r="K953" s="8" t="s">
        <v>11</v>
      </c>
      <c r="L953" s="9">
        <f t="shared" si="14"/>
        <v>2957142.86</v>
      </c>
    </row>
    <row r="954" spans="1:12" ht="14.25" hidden="1" customHeight="1" x14ac:dyDescent="0.3">
      <c r="A954" s="8">
        <v>953</v>
      </c>
      <c r="B954" s="8" t="str">
        <f>'Criaturas - Base de Dados'!B160</f>
        <v>Rocha Ancestral</v>
      </c>
      <c r="C954" s="8" t="str">
        <f>'Criaturas - Base de Dados'!C160</f>
        <v>Terra</v>
      </c>
      <c r="D954" s="8" t="str">
        <f>'Criaturas - Base de Dados'!D160</f>
        <v>Titã Adormecido</v>
      </c>
      <c r="E954" s="8" t="str">
        <f>'Sistema de Raridade e Evolução'!B6</f>
        <v>Platina</v>
      </c>
      <c r="F954" s="9">
        <f>ROUND(('Criaturas - Base de Dados'!H160*'Sistema de Raridade e Evolução'!E6)*1000,2)</f>
        <v>3450000</v>
      </c>
      <c r="G954" s="8">
        <f>ROUND('Criaturas - Base de Dados'!I160*'Sistema de Raridade e Evolução'!E6,0)</f>
        <v>2050</v>
      </c>
      <c r="H954" s="8">
        <f>ROUND('Criaturas - Base de Dados'!J160*'Sistema de Raridade e Evolução'!E6,0)</f>
        <v>1700</v>
      </c>
      <c r="I954" s="8">
        <f>ROUND('Criaturas - Base de Dados'!K160*'Sistema de Raridade e Evolução'!E6,0)</f>
        <v>11050</v>
      </c>
      <c r="J954" s="8">
        <f>'Sistema de Raridade e Evolução'!D6</f>
        <v>56</v>
      </c>
      <c r="K954" s="8" t="s">
        <v>12</v>
      </c>
      <c r="L954" s="9">
        <f t="shared" si="14"/>
        <v>8214285.71</v>
      </c>
    </row>
    <row r="955" spans="1:12" ht="14.25" hidden="1" customHeight="1" x14ac:dyDescent="0.3">
      <c r="A955" s="8">
        <v>954</v>
      </c>
      <c r="B955" s="8" t="str">
        <f>'Criaturas - Base de Dados'!B160</f>
        <v>Rocha Ancestral</v>
      </c>
      <c r="C955" s="8" t="str">
        <f>'Criaturas - Base de Dados'!C160</f>
        <v>Terra</v>
      </c>
      <c r="D955" s="8" t="str">
        <f>'Criaturas - Base de Dados'!D160</f>
        <v>Titã Adormecido</v>
      </c>
      <c r="E955" s="8" t="str">
        <f>'Sistema de Raridade e Evolução'!B7</f>
        <v>Lendário</v>
      </c>
      <c r="F955" s="9">
        <f>ROUND(('Criaturas - Base de Dados'!H160*'Sistema de Raridade e Evolução'!E7)*1000,2)</f>
        <v>10350000</v>
      </c>
      <c r="G955" s="8">
        <f>ROUND('Criaturas - Base de Dados'!I160*'Sistema de Raridade e Evolução'!E7,0)</f>
        <v>6150</v>
      </c>
      <c r="H955" s="8">
        <f>ROUND('Criaturas - Base de Dados'!J160*'Sistema de Raridade e Evolução'!E7,0)</f>
        <v>5100</v>
      </c>
      <c r="I955" s="8">
        <f>ROUND('Criaturas - Base de Dados'!K160*'Sistema de Raridade e Evolução'!E7,0)</f>
        <v>33150</v>
      </c>
      <c r="J955" s="8">
        <f>'Sistema de Raridade e Evolução'!D7</f>
        <v>91</v>
      </c>
      <c r="K955" s="8" t="s">
        <v>925</v>
      </c>
      <c r="L955" s="9">
        <f t="shared" si="14"/>
        <v>24642857.140000001</v>
      </c>
    </row>
    <row r="956" spans="1:12" ht="14.25" customHeight="1" x14ac:dyDescent="0.3">
      <c r="A956" s="8">
        <v>955</v>
      </c>
      <c r="B956" s="8" t="str">
        <f>'Criaturas - Base de Dados'!B161</f>
        <v>Rocha Ancestral</v>
      </c>
      <c r="C956" s="8" t="str">
        <f>'Criaturas - Base de Dados'!C161</f>
        <v>Terra</v>
      </c>
      <c r="D956" s="8" t="str">
        <f>'Criaturas - Base de Dados'!D161</f>
        <v>Dragão de Granito</v>
      </c>
      <c r="E956" s="8" t="str">
        <f>'Sistema de Raridade e Evolução'!B2</f>
        <v>Default</v>
      </c>
      <c r="F956" s="9" t="e">
        <f>ROUND(('Criaturas - Base de Dados'!H161*'Sistema de Raridade e Evolução'!E2)*1000,2)</f>
        <v>#VALUE!</v>
      </c>
      <c r="G956" s="8" t="e">
        <f>ROUND('Criaturas - Base de Dados'!I161*'Sistema de Raridade e Evolução'!E2,0)</f>
        <v>#VALUE!</v>
      </c>
      <c r="H956" s="8" t="e">
        <f>ROUND('Criaturas - Base de Dados'!J161*'Sistema de Raridade e Evolução'!E2,0)</f>
        <v>#VALUE!</v>
      </c>
      <c r="I956" s="8" t="e">
        <f>ROUND('Criaturas - Base de Dados'!K161*'Sistema de Raridade e Evolução'!E2,0)</f>
        <v>#VALUE!</v>
      </c>
      <c r="J956" s="8">
        <f>'Sistema de Raridade e Evolução'!D2</f>
        <v>1</v>
      </c>
      <c r="K956" s="8" t="s">
        <v>8</v>
      </c>
      <c r="L956" s="9" t="e">
        <f t="shared" si="14"/>
        <v>#VALUE!</v>
      </c>
    </row>
    <row r="957" spans="1:12" ht="14.25" hidden="1" customHeight="1" x14ac:dyDescent="0.3">
      <c r="A957" s="8">
        <v>956</v>
      </c>
      <c r="B957" s="8" t="str">
        <f>'Criaturas - Base de Dados'!B161</f>
        <v>Rocha Ancestral</v>
      </c>
      <c r="C957" s="8" t="str">
        <f>'Criaturas - Base de Dados'!C161</f>
        <v>Terra</v>
      </c>
      <c r="D957" s="8" t="str">
        <f>'Criaturas - Base de Dados'!D161</f>
        <v>Dragão de Granito</v>
      </c>
      <c r="E957" s="8" t="str">
        <f>'Sistema de Raridade e Evolução'!B3</f>
        <v>Bronze</v>
      </c>
      <c r="F957" s="9">
        <f>ROUND(('Criaturas - Base de Dados'!H161*'Sistema de Raridade e Evolução'!E3)*1000,2)</f>
        <v>71000</v>
      </c>
      <c r="G957" s="8">
        <f>ROUND('Criaturas - Base de Dados'!I161*'Sistema de Raridade e Evolução'!E3,0)</f>
        <v>43</v>
      </c>
      <c r="H957" s="8">
        <f>ROUND('Criaturas - Base de Dados'!J161*'Sistema de Raridade e Evolução'!E3,0)</f>
        <v>36</v>
      </c>
      <c r="I957" s="8">
        <f>ROUND('Criaturas - Base de Dados'!K161*'Sistema de Raridade e Evolução'!E3,0)</f>
        <v>227</v>
      </c>
      <c r="J957" s="8">
        <f>'Sistema de Raridade e Evolução'!D3</f>
        <v>6</v>
      </c>
      <c r="K957" s="8" t="s">
        <v>9</v>
      </c>
      <c r="L957" s="9">
        <f t="shared" si="14"/>
        <v>169047.62</v>
      </c>
    </row>
    <row r="958" spans="1:12" ht="14.25" hidden="1" customHeight="1" x14ac:dyDescent="0.3">
      <c r="A958" s="8">
        <v>957</v>
      </c>
      <c r="B958" s="8" t="str">
        <f>'Criaturas - Base de Dados'!B161</f>
        <v>Rocha Ancestral</v>
      </c>
      <c r="C958" s="8" t="str">
        <f>'Criaturas - Base de Dados'!C161</f>
        <v>Terra</v>
      </c>
      <c r="D958" s="8" t="str">
        <f>'Criaturas - Base de Dados'!D161</f>
        <v>Dragão de Granito</v>
      </c>
      <c r="E958" s="8" t="str">
        <f>'Sistema de Raridade e Evolução'!B4</f>
        <v>Prata</v>
      </c>
      <c r="F958" s="9">
        <f>ROUND(('Criaturas - Base de Dados'!H161*'Sistema de Raridade e Evolução'!E4)*1000,2)</f>
        <v>426000</v>
      </c>
      <c r="G958" s="8">
        <f>ROUND('Criaturas - Base de Dados'!I161*'Sistema de Raridade e Evolução'!E4,0)</f>
        <v>258</v>
      </c>
      <c r="H958" s="8">
        <f>ROUND('Criaturas - Base de Dados'!J161*'Sistema de Raridade e Evolução'!E4,0)</f>
        <v>216</v>
      </c>
      <c r="I958" s="8">
        <f>ROUND('Criaturas - Base de Dados'!K161*'Sistema de Raridade e Evolução'!E4,0)</f>
        <v>1362</v>
      </c>
      <c r="J958" s="8">
        <f>'Sistema de Raridade e Evolução'!D4</f>
        <v>16</v>
      </c>
      <c r="K958" s="8" t="s">
        <v>10</v>
      </c>
      <c r="L958" s="9">
        <f t="shared" si="14"/>
        <v>1014285.71</v>
      </c>
    </row>
    <row r="959" spans="1:12" ht="14.25" hidden="1" customHeight="1" x14ac:dyDescent="0.3">
      <c r="A959" s="8">
        <v>958</v>
      </c>
      <c r="B959" s="8" t="str">
        <f>'Criaturas - Base de Dados'!B161</f>
        <v>Rocha Ancestral</v>
      </c>
      <c r="C959" s="8" t="str">
        <f>'Criaturas - Base de Dados'!C161</f>
        <v>Terra</v>
      </c>
      <c r="D959" s="8" t="str">
        <f>'Criaturas - Base de Dados'!D161</f>
        <v>Dragão de Granito</v>
      </c>
      <c r="E959" s="8" t="str">
        <f>'Sistema de Raridade e Evolução'!B5</f>
        <v>Ouro</v>
      </c>
      <c r="F959" s="9">
        <f>ROUND(('Criaturas - Base de Dados'!H161*'Sistema de Raridade e Evolução'!E5)*1000,2)</f>
        <v>1278000</v>
      </c>
      <c r="G959" s="8">
        <f>ROUND('Criaturas - Base de Dados'!I161*'Sistema de Raridade e Evolução'!E5,0)</f>
        <v>774</v>
      </c>
      <c r="H959" s="8">
        <f>ROUND('Criaturas - Base de Dados'!J161*'Sistema de Raridade e Evolução'!E5,0)</f>
        <v>648</v>
      </c>
      <c r="I959" s="8">
        <f>ROUND('Criaturas - Base de Dados'!K161*'Sistema de Raridade e Evolução'!E5,0)</f>
        <v>4086</v>
      </c>
      <c r="J959" s="8">
        <f>'Sistema de Raridade e Evolução'!D5</f>
        <v>31</v>
      </c>
      <c r="K959" s="8" t="s">
        <v>11</v>
      </c>
      <c r="L959" s="9">
        <f t="shared" si="14"/>
        <v>3042857.14</v>
      </c>
    </row>
    <row r="960" spans="1:12" ht="14.25" hidden="1" customHeight="1" x14ac:dyDescent="0.3">
      <c r="A960" s="8">
        <v>959</v>
      </c>
      <c r="B960" s="8" t="str">
        <f>'Criaturas - Base de Dados'!B161</f>
        <v>Rocha Ancestral</v>
      </c>
      <c r="C960" s="8" t="str">
        <f>'Criaturas - Base de Dados'!C161</f>
        <v>Terra</v>
      </c>
      <c r="D960" s="8" t="str">
        <f>'Criaturas - Base de Dados'!D161</f>
        <v>Dragão de Granito</v>
      </c>
      <c r="E960" s="8" t="str">
        <f>'Sistema de Raridade e Evolução'!B6</f>
        <v>Platina</v>
      </c>
      <c r="F960" s="9">
        <f>ROUND(('Criaturas - Base de Dados'!H161*'Sistema de Raridade e Evolução'!E6)*1000,2)</f>
        <v>3550000</v>
      </c>
      <c r="G960" s="8">
        <f>ROUND('Criaturas - Base de Dados'!I161*'Sistema de Raridade e Evolução'!E6,0)</f>
        <v>2150</v>
      </c>
      <c r="H960" s="8">
        <f>ROUND('Criaturas - Base de Dados'!J161*'Sistema de Raridade e Evolução'!E6,0)</f>
        <v>1800</v>
      </c>
      <c r="I960" s="8">
        <f>ROUND('Criaturas - Base de Dados'!K161*'Sistema de Raridade e Evolução'!E6,0)</f>
        <v>11350</v>
      </c>
      <c r="J960" s="8">
        <f>'Sistema de Raridade e Evolução'!D6</f>
        <v>56</v>
      </c>
      <c r="K960" s="8" t="s">
        <v>12</v>
      </c>
      <c r="L960" s="9">
        <f t="shared" si="14"/>
        <v>8452380.9499999993</v>
      </c>
    </row>
    <row r="961" spans="1:12" ht="14.25" hidden="1" customHeight="1" x14ac:dyDescent="0.3">
      <c r="A961" s="8">
        <v>960</v>
      </c>
      <c r="B961" s="8" t="str">
        <f>'Criaturas - Base de Dados'!B161</f>
        <v>Rocha Ancestral</v>
      </c>
      <c r="C961" s="8" t="str">
        <f>'Criaturas - Base de Dados'!C161</f>
        <v>Terra</v>
      </c>
      <c r="D961" s="8" t="str">
        <f>'Criaturas - Base de Dados'!D161</f>
        <v>Dragão de Granito</v>
      </c>
      <c r="E961" s="8" t="str">
        <f>'Sistema de Raridade e Evolução'!B7</f>
        <v>Lendário</v>
      </c>
      <c r="F961" s="9">
        <f>ROUND(('Criaturas - Base de Dados'!H161*'Sistema de Raridade e Evolução'!E7)*1000,2)</f>
        <v>10650000</v>
      </c>
      <c r="G961" s="8">
        <f>ROUND('Criaturas - Base de Dados'!I161*'Sistema de Raridade e Evolução'!E7,0)</f>
        <v>6450</v>
      </c>
      <c r="H961" s="8">
        <f>ROUND('Criaturas - Base de Dados'!J161*'Sistema de Raridade e Evolução'!E7,0)</f>
        <v>5400</v>
      </c>
      <c r="I961" s="8">
        <f>ROUND('Criaturas - Base de Dados'!K161*'Sistema de Raridade e Evolução'!E7,0)</f>
        <v>34050</v>
      </c>
      <c r="J961" s="8">
        <f>'Sistema de Raridade e Evolução'!D7</f>
        <v>91</v>
      </c>
      <c r="K961" s="8" t="s">
        <v>925</v>
      </c>
      <c r="L961" s="9">
        <f t="shared" si="14"/>
        <v>25357142.859999999</v>
      </c>
    </row>
    <row r="962" spans="1:12" ht="14.25" customHeight="1" x14ac:dyDescent="0.3">
      <c r="A962" s="8">
        <v>961</v>
      </c>
      <c r="B962" s="8" t="str">
        <f>'Criaturas - Base de Dados'!B162</f>
        <v>Areia Amaldiçoada</v>
      </c>
      <c r="C962" s="8" t="str">
        <f>'Criaturas - Base de Dados'!C162</f>
        <v>Morte</v>
      </c>
      <c r="D962" s="8" t="str">
        <f>'Criaturas - Base de Dados'!D162</f>
        <v>Múmia Ancestral</v>
      </c>
      <c r="E962" s="8" t="str">
        <f>'Sistema de Raridade e Evolução'!B2</f>
        <v>Default</v>
      </c>
      <c r="F962" s="9" t="e">
        <f>ROUND(('Criaturas - Base de Dados'!H162*'Sistema de Raridade e Evolução'!E2)*1000,2)</f>
        <v>#VALUE!</v>
      </c>
      <c r="G962" s="8" t="e">
        <f>ROUND('Criaturas - Base de Dados'!I162*'Sistema de Raridade e Evolução'!E2,0)</f>
        <v>#VALUE!</v>
      </c>
      <c r="H962" s="8" t="e">
        <f>ROUND('Criaturas - Base de Dados'!J162*'Sistema de Raridade e Evolução'!E2,0)</f>
        <v>#VALUE!</v>
      </c>
      <c r="I962" s="8" t="e">
        <f>ROUND('Criaturas - Base de Dados'!K162*'Sistema de Raridade e Evolução'!E2,0)</f>
        <v>#VALUE!</v>
      </c>
      <c r="J962" s="8">
        <f>'Sistema de Raridade e Evolução'!D2</f>
        <v>1</v>
      </c>
      <c r="K962" s="8" t="s">
        <v>8</v>
      </c>
      <c r="L962" s="9" t="e">
        <f t="shared" ref="L962:L1025" si="15">ROUND(F962*(2.5/1.05),2)</f>
        <v>#VALUE!</v>
      </c>
    </row>
    <row r="963" spans="1:12" ht="14.25" hidden="1" customHeight="1" x14ac:dyDescent="0.3">
      <c r="A963" s="8">
        <v>962</v>
      </c>
      <c r="B963" s="8" t="str">
        <f>'Criaturas - Base de Dados'!B162</f>
        <v>Areia Amaldiçoada</v>
      </c>
      <c r="C963" s="8" t="str">
        <f>'Criaturas - Base de Dados'!C162</f>
        <v>Morte</v>
      </c>
      <c r="D963" s="8" t="str">
        <f>'Criaturas - Base de Dados'!D162</f>
        <v>Múmia Ancestral</v>
      </c>
      <c r="E963" s="8" t="str">
        <f>'Sistema de Raridade e Evolução'!B3</f>
        <v>Bronze</v>
      </c>
      <c r="F963" s="9">
        <f>ROUND(('Criaturas - Base de Dados'!H162*'Sistema de Raridade e Evolução'!E3)*1000,2)</f>
        <v>10000</v>
      </c>
      <c r="G963" s="8">
        <f>ROUND('Criaturas - Base de Dados'!I162*'Sistema de Raridade e Evolução'!E3,0)</f>
        <v>6</v>
      </c>
      <c r="H963" s="8">
        <f>ROUND('Criaturas - Base de Dados'!J162*'Sistema de Raridade e Evolução'!E3,0)</f>
        <v>5</v>
      </c>
      <c r="I963" s="8">
        <f>ROUND('Criaturas - Base de Dados'!K162*'Sistema de Raridade e Evolução'!E3,0)</f>
        <v>32</v>
      </c>
      <c r="J963" s="8">
        <f>'Sistema de Raridade e Evolução'!D3</f>
        <v>6</v>
      </c>
      <c r="K963" s="8" t="s">
        <v>9</v>
      </c>
      <c r="L963" s="9">
        <f t="shared" si="15"/>
        <v>23809.52</v>
      </c>
    </row>
    <row r="964" spans="1:12" ht="14.25" hidden="1" customHeight="1" x14ac:dyDescent="0.3">
      <c r="A964" s="8">
        <v>963</v>
      </c>
      <c r="B964" s="8" t="str">
        <f>'Criaturas - Base de Dados'!B162</f>
        <v>Areia Amaldiçoada</v>
      </c>
      <c r="C964" s="8" t="str">
        <f>'Criaturas - Base de Dados'!C162</f>
        <v>Morte</v>
      </c>
      <c r="D964" s="8" t="str">
        <f>'Criaturas - Base de Dados'!D162</f>
        <v>Múmia Ancestral</v>
      </c>
      <c r="E964" s="8" t="str">
        <f>'Sistema de Raridade e Evolução'!B4</f>
        <v>Prata</v>
      </c>
      <c r="F964" s="9">
        <f>ROUND(('Criaturas - Base de Dados'!H162*'Sistema de Raridade e Evolução'!E4)*1000,2)</f>
        <v>60000</v>
      </c>
      <c r="G964" s="8">
        <f>ROUND('Criaturas - Base de Dados'!I162*'Sistema de Raridade e Evolução'!E4,0)</f>
        <v>36</v>
      </c>
      <c r="H964" s="8">
        <f>ROUND('Criaturas - Base de Dados'!J162*'Sistema de Raridade e Evolução'!E4,0)</f>
        <v>30</v>
      </c>
      <c r="I964" s="8">
        <f>ROUND('Criaturas - Base de Dados'!K162*'Sistema de Raridade e Evolução'!E4,0)</f>
        <v>192</v>
      </c>
      <c r="J964" s="8">
        <f>'Sistema de Raridade e Evolução'!D4</f>
        <v>16</v>
      </c>
      <c r="K964" s="8" t="s">
        <v>10</v>
      </c>
      <c r="L964" s="9">
        <f t="shared" si="15"/>
        <v>142857.14000000001</v>
      </c>
    </row>
    <row r="965" spans="1:12" ht="14.25" hidden="1" customHeight="1" x14ac:dyDescent="0.3">
      <c r="A965" s="8">
        <v>964</v>
      </c>
      <c r="B965" s="8" t="str">
        <f>'Criaturas - Base de Dados'!B162</f>
        <v>Areia Amaldiçoada</v>
      </c>
      <c r="C965" s="8" t="str">
        <f>'Criaturas - Base de Dados'!C162</f>
        <v>Morte</v>
      </c>
      <c r="D965" s="8" t="str">
        <f>'Criaturas - Base de Dados'!D162</f>
        <v>Múmia Ancestral</v>
      </c>
      <c r="E965" s="8" t="str">
        <f>'Sistema de Raridade e Evolução'!B5</f>
        <v>Ouro</v>
      </c>
      <c r="F965" s="9">
        <f>ROUND(('Criaturas - Base de Dados'!H162*'Sistema de Raridade e Evolução'!E5)*1000,2)</f>
        <v>180000</v>
      </c>
      <c r="G965" s="8">
        <f>ROUND('Criaturas - Base de Dados'!I162*'Sistema de Raridade e Evolução'!E5,0)</f>
        <v>108</v>
      </c>
      <c r="H965" s="8">
        <f>ROUND('Criaturas - Base de Dados'!J162*'Sistema de Raridade e Evolução'!E5,0)</f>
        <v>90</v>
      </c>
      <c r="I965" s="8">
        <f>ROUND('Criaturas - Base de Dados'!K162*'Sistema de Raridade e Evolução'!E5,0)</f>
        <v>576</v>
      </c>
      <c r="J965" s="8">
        <f>'Sistema de Raridade e Evolução'!D5</f>
        <v>31</v>
      </c>
      <c r="K965" s="8" t="s">
        <v>11</v>
      </c>
      <c r="L965" s="9">
        <f t="shared" si="15"/>
        <v>428571.43</v>
      </c>
    </row>
    <row r="966" spans="1:12" ht="14.25" hidden="1" customHeight="1" x14ac:dyDescent="0.3">
      <c r="A966" s="8">
        <v>965</v>
      </c>
      <c r="B966" s="8" t="str">
        <f>'Criaturas - Base de Dados'!B162</f>
        <v>Areia Amaldiçoada</v>
      </c>
      <c r="C966" s="8" t="str">
        <f>'Criaturas - Base de Dados'!C162</f>
        <v>Morte</v>
      </c>
      <c r="D966" s="8" t="str">
        <f>'Criaturas - Base de Dados'!D162</f>
        <v>Múmia Ancestral</v>
      </c>
      <c r="E966" s="8" t="str">
        <f>'Sistema de Raridade e Evolução'!B6</f>
        <v>Platina</v>
      </c>
      <c r="F966" s="9">
        <f>ROUND(('Criaturas - Base de Dados'!H162*'Sistema de Raridade e Evolução'!E6)*1000,2)</f>
        <v>500000</v>
      </c>
      <c r="G966" s="8">
        <f>ROUND('Criaturas - Base de Dados'!I162*'Sistema de Raridade e Evolução'!E6,0)</f>
        <v>300</v>
      </c>
      <c r="H966" s="8">
        <f>ROUND('Criaturas - Base de Dados'!J162*'Sistema de Raridade e Evolução'!E6,0)</f>
        <v>250</v>
      </c>
      <c r="I966" s="8">
        <f>ROUND('Criaturas - Base de Dados'!K162*'Sistema de Raridade e Evolução'!E6,0)</f>
        <v>1600</v>
      </c>
      <c r="J966" s="8">
        <f>'Sistema de Raridade e Evolução'!D6</f>
        <v>56</v>
      </c>
      <c r="K966" s="8" t="s">
        <v>12</v>
      </c>
      <c r="L966" s="9">
        <f t="shared" si="15"/>
        <v>1190476.19</v>
      </c>
    </row>
    <row r="967" spans="1:12" ht="14.25" hidden="1" customHeight="1" x14ac:dyDescent="0.3">
      <c r="A967" s="8">
        <v>966</v>
      </c>
      <c r="B967" s="8" t="str">
        <f>'Criaturas - Base de Dados'!B162</f>
        <v>Areia Amaldiçoada</v>
      </c>
      <c r="C967" s="8" t="str">
        <f>'Criaturas - Base de Dados'!C162</f>
        <v>Morte</v>
      </c>
      <c r="D967" s="8" t="str">
        <f>'Criaturas - Base de Dados'!D162</f>
        <v>Múmia Ancestral</v>
      </c>
      <c r="E967" s="8" t="str">
        <f>'Sistema de Raridade e Evolução'!B7</f>
        <v>Lendário</v>
      </c>
      <c r="F967" s="9">
        <f>ROUND(('Criaturas - Base de Dados'!H162*'Sistema de Raridade e Evolução'!E7)*1000,2)</f>
        <v>1500000</v>
      </c>
      <c r="G967" s="8">
        <f>ROUND('Criaturas - Base de Dados'!I162*'Sistema de Raridade e Evolução'!E7,0)</f>
        <v>900</v>
      </c>
      <c r="H967" s="8">
        <f>ROUND('Criaturas - Base de Dados'!J162*'Sistema de Raridade e Evolução'!E7,0)</f>
        <v>750</v>
      </c>
      <c r="I967" s="8">
        <f>ROUND('Criaturas - Base de Dados'!K162*'Sistema de Raridade e Evolução'!E7,0)</f>
        <v>4800</v>
      </c>
      <c r="J967" s="8">
        <f>'Sistema de Raridade e Evolução'!D7</f>
        <v>91</v>
      </c>
      <c r="K967" s="8" t="s">
        <v>925</v>
      </c>
      <c r="L967" s="9">
        <f t="shared" si="15"/>
        <v>3571428.57</v>
      </c>
    </row>
    <row r="968" spans="1:12" ht="14.25" customHeight="1" x14ac:dyDescent="0.3">
      <c r="A968" s="8">
        <v>967</v>
      </c>
      <c r="B968" s="8" t="str">
        <f>'Criaturas - Base de Dados'!B163</f>
        <v>Areia Amaldiçoada</v>
      </c>
      <c r="C968" s="8" t="str">
        <f>'Criaturas - Base de Dados'!C163</f>
        <v>Morte</v>
      </c>
      <c r="D968" s="8" t="str">
        <f>'Criaturas - Base de Dados'!D163</f>
        <v>Chacal Guardião</v>
      </c>
      <c r="E968" s="8" t="str">
        <f>'Sistema de Raridade e Evolução'!B2</f>
        <v>Default</v>
      </c>
      <c r="F968" s="9" t="e">
        <f>ROUND(('Criaturas - Base de Dados'!H163*'Sistema de Raridade e Evolução'!E2)*1000,2)</f>
        <v>#VALUE!</v>
      </c>
      <c r="G968" s="8" t="e">
        <f>ROUND('Criaturas - Base de Dados'!I163*'Sistema de Raridade e Evolução'!E2,0)</f>
        <v>#VALUE!</v>
      </c>
      <c r="H968" s="8" t="e">
        <f>ROUND('Criaturas - Base de Dados'!J163*'Sistema de Raridade e Evolução'!E2,0)</f>
        <v>#VALUE!</v>
      </c>
      <c r="I968" s="8" t="e">
        <f>ROUND('Criaturas - Base de Dados'!K163*'Sistema de Raridade e Evolução'!E2,0)</f>
        <v>#VALUE!</v>
      </c>
      <c r="J968" s="8">
        <f>'Sistema de Raridade e Evolução'!D2</f>
        <v>1</v>
      </c>
      <c r="K968" s="8" t="s">
        <v>8</v>
      </c>
      <c r="L968" s="9" t="e">
        <f t="shared" si="15"/>
        <v>#VALUE!</v>
      </c>
    </row>
    <row r="969" spans="1:12" ht="14.25" hidden="1" customHeight="1" x14ac:dyDescent="0.3">
      <c r="A969" s="8">
        <v>968</v>
      </c>
      <c r="B969" s="8" t="str">
        <f>'Criaturas - Base de Dados'!B163</f>
        <v>Areia Amaldiçoada</v>
      </c>
      <c r="C969" s="8" t="str">
        <f>'Criaturas - Base de Dados'!C163</f>
        <v>Morte</v>
      </c>
      <c r="D969" s="8" t="str">
        <f>'Criaturas - Base de Dados'!D163</f>
        <v>Chacal Guardião</v>
      </c>
      <c r="E969" s="8" t="str">
        <f>'Sistema de Raridade e Evolução'!B3</f>
        <v>Bronze</v>
      </c>
      <c r="F969" s="9">
        <f>ROUND(('Criaturas - Base de Dados'!H163*'Sistema de Raridade e Evolução'!E3)*1000,2)</f>
        <v>12000</v>
      </c>
      <c r="G969" s="8">
        <f>ROUND('Criaturas - Base de Dados'!I163*'Sistema de Raridade e Evolução'!E3,0)</f>
        <v>7</v>
      </c>
      <c r="H969" s="8">
        <f>ROUND('Criaturas - Base de Dados'!J163*'Sistema de Raridade e Evolução'!E3,0)</f>
        <v>6</v>
      </c>
      <c r="I969" s="8">
        <f>ROUND('Criaturas - Base de Dados'!K163*'Sistema de Raridade e Evolução'!E3,0)</f>
        <v>38</v>
      </c>
      <c r="J969" s="8">
        <f>'Sistema de Raridade e Evolução'!D3</f>
        <v>6</v>
      </c>
      <c r="K969" s="8" t="s">
        <v>9</v>
      </c>
      <c r="L969" s="9">
        <f t="shared" si="15"/>
        <v>28571.43</v>
      </c>
    </row>
    <row r="970" spans="1:12" ht="14.25" hidden="1" customHeight="1" x14ac:dyDescent="0.3">
      <c r="A970" s="8">
        <v>969</v>
      </c>
      <c r="B970" s="8" t="str">
        <f>'Criaturas - Base de Dados'!B163</f>
        <v>Areia Amaldiçoada</v>
      </c>
      <c r="C970" s="8" t="str">
        <f>'Criaturas - Base de Dados'!C163</f>
        <v>Morte</v>
      </c>
      <c r="D970" s="8" t="str">
        <f>'Criaturas - Base de Dados'!D163</f>
        <v>Chacal Guardião</v>
      </c>
      <c r="E970" s="8" t="str">
        <f>'Sistema de Raridade e Evolução'!B4</f>
        <v>Prata</v>
      </c>
      <c r="F970" s="9">
        <f>ROUND(('Criaturas - Base de Dados'!H163*'Sistema de Raridade e Evolução'!E4)*1000,2)</f>
        <v>72000</v>
      </c>
      <c r="G970" s="8">
        <f>ROUND('Criaturas - Base de Dados'!I163*'Sistema de Raridade e Evolução'!E4,0)</f>
        <v>42</v>
      </c>
      <c r="H970" s="8">
        <f>ROUND('Criaturas - Base de Dados'!J163*'Sistema de Raridade e Evolução'!E4,0)</f>
        <v>36</v>
      </c>
      <c r="I970" s="8">
        <f>ROUND('Criaturas - Base de Dados'!K163*'Sistema de Raridade e Evolução'!E4,0)</f>
        <v>228</v>
      </c>
      <c r="J970" s="8">
        <f>'Sistema de Raridade e Evolução'!D4</f>
        <v>16</v>
      </c>
      <c r="K970" s="8" t="s">
        <v>10</v>
      </c>
      <c r="L970" s="9">
        <f t="shared" si="15"/>
        <v>171428.57</v>
      </c>
    </row>
    <row r="971" spans="1:12" ht="14.25" hidden="1" customHeight="1" x14ac:dyDescent="0.3">
      <c r="A971" s="8">
        <v>970</v>
      </c>
      <c r="B971" s="8" t="str">
        <f>'Criaturas - Base de Dados'!B163</f>
        <v>Areia Amaldiçoada</v>
      </c>
      <c r="C971" s="8" t="str">
        <f>'Criaturas - Base de Dados'!C163</f>
        <v>Morte</v>
      </c>
      <c r="D971" s="8" t="str">
        <f>'Criaturas - Base de Dados'!D163</f>
        <v>Chacal Guardião</v>
      </c>
      <c r="E971" s="8" t="str">
        <f>'Sistema de Raridade e Evolução'!B5</f>
        <v>Ouro</v>
      </c>
      <c r="F971" s="9">
        <f>ROUND(('Criaturas - Base de Dados'!H163*'Sistema de Raridade e Evolução'!E5)*1000,2)</f>
        <v>216000</v>
      </c>
      <c r="G971" s="8">
        <f>ROUND('Criaturas - Base de Dados'!I163*'Sistema de Raridade e Evolução'!E5,0)</f>
        <v>126</v>
      </c>
      <c r="H971" s="8">
        <f>ROUND('Criaturas - Base de Dados'!J163*'Sistema de Raridade e Evolução'!E5,0)</f>
        <v>108</v>
      </c>
      <c r="I971" s="8">
        <f>ROUND('Criaturas - Base de Dados'!K163*'Sistema de Raridade e Evolução'!E5,0)</f>
        <v>684</v>
      </c>
      <c r="J971" s="8">
        <f>'Sistema de Raridade e Evolução'!D5</f>
        <v>31</v>
      </c>
      <c r="K971" s="8" t="s">
        <v>11</v>
      </c>
      <c r="L971" s="9">
        <f t="shared" si="15"/>
        <v>514285.71</v>
      </c>
    </row>
    <row r="972" spans="1:12" ht="14.25" hidden="1" customHeight="1" x14ac:dyDescent="0.3">
      <c r="A972" s="8">
        <v>971</v>
      </c>
      <c r="B972" s="8" t="str">
        <f>'Criaturas - Base de Dados'!B163</f>
        <v>Areia Amaldiçoada</v>
      </c>
      <c r="C972" s="8" t="str">
        <f>'Criaturas - Base de Dados'!C163</f>
        <v>Morte</v>
      </c>
      <c r="D972" s="8" t="str">
        <f>'Criaturas - Base de Dados'!D163</f>
        <v>Chacal Guardião</v>
      </c>
      <c r="E972" s="8" t="str">
        <f>'Sistema de Raridade e Evolução'!B6</f>
        <v>Platina</v>
      </c>
      <c r="F972" s="9">
        <f>ROUND(('Criaturas - Base de Dados'!H163*'Sistema de Raridade e Evolução'!E6)*1000,2)</f>
        <v>600000</v>
      </c>
      <c r="G972" s="8">
        <f>ROUND('Criaturas - Base de Dados'!I163*'Sistema de Raridade e Evolução'!E6,0)</f>
        <v>350</v>
      </c>
      <c r="H972" s="8">
        <f>ROUND('Criaturas - Base de Dados'!J163*'Sistema de Raridade e Evolução'!E6,0)</f>
        <v>300</v>
      </c>
      <c r="I972" s="8">
        <f>ROUND('Criaturas - Base de Dados'!K163*'Sistema de Raridade e Evolução'!E6,0)</f>
        <v>1900</v>
      </c>
      <c r="J972" s="8">
        <f>'Sistema de Raridade e Evolução'!D6</f>
        <v>56</v>
      </c>
      <c r="K972" s="8" t="s">
        <v>12</v>
      </c>
      <c r="L972" s="9">
        <f t="shared" si="15"/>
        <v>1428571.43</v>
      </c>
    </row>
    <row r="973" spans="1:12" ht="14.25" hidden="1" customHeight="1" x14ac:dyDescent="0.3">
      <c r="A973" s="8">
        <v>972</v>
      </c>
      <c r="B973" s="8" t="str">
        <f>'Criaturas - Base de Dados'!B163</f>
        <v>Areia Amaldiçoada</v>
      </c>
      <c r="C973" s="8" t="str">
        <f>'Criaturas - Base de Dados'!C163</f>
        <v>Morte</v>
      </c>
      <c r="D973" s="8" t="str">
        <f>'Criaturas - Base de Dados'!D163</f>
        <v>Chacal Guardião</v>
      </c>
      <c r="E973" s="8" t="str">
        <f>'Sistema de Raridade e Evolução'!B7</f>
        <v>Lendário</v>
      </c>
      <c r="F973" s="9">
        <f>ROUND(('Criaturas - Base de Dados'!H163*'Sistema de Raridade e Evolução'!E7)*1000,2)</f>
        <v>1800000</v>
      </c>
      <c r="G973" s="8">
        <f>ROUND('Criaturas - Base de Dados'!I163*'Sistema de Raridade e Evolução'!E7,0)</f>
        <v>1050</v>
      </c>
      <c r="H973" s="8">
        <f>ROUND('Criaturas - Base de Dados'!J163*'Sistema de Raridade e Evolução'!E7,0)</f>
        <v>900</v>
      </c>
      <c r="I973" s="8">
        <f>ROUND('Criaturas - Base de Dados'!K163*'Sistema de Raridade e Evolução'!E7,0)</f>
        <v>5700</v>
      </c>
      <c r="J973" s="8">
        <f>'Sistema de Raridade e Evolução'!D7</f>
        <v>91</v>
      </c>
      <c r="K973" s="8" t="s">
        <v>925</v>
      </c>
      <c r="L973" s="9">
        <f t="shared" si="15"/>
        <v>4285714.29</v>
      </c>
    </row>
    <row r="974" spans="1:12" ht="14.25" customHeight="1" x14ac:dyDescent="0.3">
      <c r="A974" s="8">
        <v>973</v>
      </c>
      <c r="B974" s="8" t="str">
        <f>'Criaturas - Base de Dados'!B164</f>
        <v>Areia Amaldiçoada</v>
      </c>
      <c r="C974" s="8" t="str">
        <f>'Criaturas - Base de Dados'!C164</f>
        <v>Morte</v>
      </c>
      <c r="D974" s="8" t="str">
        <f>'Criaturas - Base de Dados'!D164</f>
        <v>Esfinge Enigmática</v>
      </c>
      <c r="E974" s="8" t="str">
        <f>'Sistema de Raridade e Evolução'!B2</f>
        <v>Default</v>
      </c>
      <c r="F974" s="9" t="e">
        <f>ROUND(('Criaturas - Base de Dados'!H164*'Sistema de Raridade e Evolução'!E2)*1000,2)</f>
        <v>#VALUE!</v>
      </c>
      <c r="G974" s="8" t="e">
        <f>ROUND('Criaturas - Base de Dados'!I164*'Sistema de Raridade e Evolução'!E2,0)</f>
        <v>#VALUE!</v>
      </c>
      <c r="H974" s="8" t="e">
        <f>ROUND('Criaturas - Base de Dados'!J164*'Sistema de Raridade e Evolução'!E2,0)</f>
        <v>#VALUE!</v>
      </c>
      <c r="I974" s="8" t="e">
        <f>ROUND('Criaturas - Base de Dados'!K164*'Sistema de Raridade e Evolução'!E2,0)</f>
        <v>#VALUE!</v>
      </c>
      <c r="J974" s="8">
        <f>'Sistema de Raridade e Evolução'!D2</f>
        <v>1</v>
      </c>
      <c r="K974" s="8" t="s">
        <v>8</v>
      </c>
      <c r="L974" s="9" t="e">
        <f t="shared" si="15"/>
        <v>#VALUE!</v>
      </c>
    </row>
    <row r="975" spans="1:12" ht="14.25" hidden="1" customHeight="1" x14ac:dyDescent="0.3">
      <c r="A975" s="8">
        <v>974</v>
      </c>
      <c r="B975" s="8" t="str">
        <f>'Criaturas - Base de Dados'!B164</f>
        <v>Areia Amaldiçoada</v>
      </c>
      <c r="C975" s="8" t="str">
        <f>'Criaturas - Base de Dados'!C164</f>
        <v>Morte</v>
      </c>
      <c r="D975" s="8" t="str">
        <f>'Criaturas - Base de Dados'!D164</f>
        <v>Esfinge Enigmática</v>
      </c>
      <c r="E975" s="8" t="str">
        <f>'Sistema de Raridade e Evolução'!B3</f>
        <v>Bronze</v>
      </c>
      <c r="F975" s="9">
        <f>ROUND(('Criaturas - Base de Dados'!H164*'Sistema de Raridade e Evolução'!E3)*1000,2)</f>
        <v>14000</v>
      </c>
      <c r="G975" s="8">
        <f>ROUND('Criaturas - Base de Dados'!I164*'Sistema de Raridade e Evolução'!E3,0)</f>
        <v>8</v>
      </c>
      <c r="H975" s="8">
        <f>ROUND('Criaturas - Base de Dados'!J164*'Sistema de Raridade e Evolução'!E3,0)</f>
        <v>7</v>
      </c>
      <c r="I975" s="8">
        <f>ROUND('Criaturas - Base de Dados'!K164*'Sistema de Raridade e Evolução'!E3,0)</f>
        <v>45</v>
      </c>
      <c r="J975" s="8">
        <f>'Sistema de Raridade e Evolução'!D3</f>
        <v>6</v>
      </c>
      <c r="K975" s="8" t="s">
        <v>9</v>
      </c>
      <c r="L975" s="9">
        <f t="shared" si="15"/>
        <v>33333.33</v>
      </c>
    </row>
    <row r="976" spans="1:12" ht="14.25" hidden="1" customHeight="1" x14ac:dyDescent="0.3">
      <c r="A976" s="8">
        <v>975</v>
      </c>
      <c r="B976" s="8" t="str">
        <f>'Criaturas - Base de Dados'!B164</f>
        <v>Areia Amaldiçoada</v>
      </c>
      <c r="C976" s="8" t="str">
        <f>'Criaturas - Base de Dados'!C164</f>
        <v>Morte</v>
      </c>
      <c r="D976" s="8" t="str">
        <f>'Criaturas - Base de Dados'!D164</f>
        <v>Esfinge Enigmática</v>
      </c>
      <c r="E976" s="8" t="str">
        <f>'Sistema de Raridade e Evolução'!B4</f>
        <v>Prata</v>
      </c>
      <c r="F976" s="9">
        <f>ROUND(('Criaturas - Base de Dados'!H164*'Sistema de Raridade e Evolução'!E4)*1000,2)</f>
        <v>84000</v>
      </c>
      <c r="G976" s="8">
        <f>ROUND('Criaturas - Base de Dados'!I164*'Sistema de Raridade e Evolução'!E4,0)</f>
        <v>48</v>
      </c>
      <c r="H976" s="8">
        <f>ROUND('Criaturas - Base de Dados'!J164*'Sistema de Raridade e Evolução'!E4,0)</f>
        <v>42</v>
      </c>
      <c r="I976" s="8">
        <f>ROUND('Criaturas - Base de Dados'!K164*'Sistema de Raridade e Evolução'!E4,0)</f>
        <v>270</v>
      </c>
      <c r="J976" s="8">
        <f>'Sistema de Raridade e Evolução'!D4</f>
        <v>16</v>
      </c>
      <c r="K976" s="8" t="s">
        <v>10</v>
      </c>
      <c r="L976" s="9">
        <f t="shared" si="15"/>
        <v>200000</v>
      </c>
    </row>
    <row r="977" spans="1:12" ht="14.25" hidden="1" customHeight="1" x14ac:dyDescent="0.3">
      <c r="A977" s="8">
        <v>976</v>
      </c>
      <c r="B977" s="8" t="str">
        <f>'Criaturas - Base de Dados'!B164</f>
        <v>Areia Amaldiçoada</v>
      </c>
      <c r="C977" s="8" t="str">
        <f>'Criaturas - Base de Dados'!C164</f>
        <v>Morte</v>
      </c>
      <c r="D977" s="8" t="str">
        <f>'Criaturas - Base de Dados'!D164</f>
        <v>Esfinge Enigmática</v>
      </c>
      <c r="E977" s="8" t="str">
        <f>'Sistema de Raridade e Evolução'!B5</f>
        <v>Ouro</v>
      </c>
      <c r="F977" s="9">
        <f>ROUND(('Criaturas - Base de Dados'!H164*'Sistema de Raridade e Evolução'!E5)*1000,2)</f>
        <v>252000</v>
      </c>
      <c r="G977" s="8">
        <f>ROUND('Criaturas - Base de Dados'!I164*'Sistema de Raridade e Evolução'!E5,0)</f>
        <v>144</v>
      </c>
      <c r="H977" s="8">
        <f>ROUND('Criaturas - Base de Dados'!J164*'Sistema de Raridade e Evolução'!E5,0)</f>
        <v>126</v>
      </c>
      <c r="I977" s="8">
        <f>ROUND('Criaturas - Base de Dados'!K164*'Sistema de Raridade e Evolução'!E5,0)</f>
        <v>810</v>
      </c>
      <c r="J977" s="8">
        <f>'Sistema de Raridade e Evolução'!D5</f>
        <v>31</v>
      </c>
      <c r="K977" s="8" t="s">
        <v>11</v>
      </c>
      <c r="L977" s="9">
        <f t="shared" si="15"/>
        <v>600000</v>
      </c>
    </row>
    <row r="978" spans="1:12" ht="14.25" hidden="1" customHeight="1" x14ac:dyDescent="0.3">
      <c r="A978" s="8">
        <v>977</v>
      </c>
      <c r="B978" s="8" t="str">
        <f>'Criaturas - Base de Dados'!B164</f>
        <v>Areia Amaldiçoada</v>
      </c>
      <c r="C978" s="8" t="str">
        <f>'Criaturas - Base de Dados'!C164</f>
        <v>Morte</v>
      </c>
      <c r="D978" s="8" t="str">
        <f>'Criaturas - Base de Dados'!D164</f>
        <v>Esfinge Enigmática</v>
      </c>
      <c r="E978" s="8" t="str">
        <f>'Sistema de Raridade e Evolução'!B6</f>
        <v>Platina</v>
      </c>
      <c r="F978" s="9">
        <f>ROUND(('Criaturas - Base de Dados'!H164*'Sistema de Raridade e Evolução'!E6)*1000,2)</f>
        <v>700000</v>
      </c>
      <c r="G978" s="8">
        <f>ROUND('Criaturas - Base de Dados'!I164*'Sistema de Raridade e Evolução'!E6,0)</f>
        <v>400</v>
      </c>
      <c r="H978" s="8">
        <f>ROUND('Criaturas - Base de Dados'!J164*'Sistema de Raridade e Evolução'!E6,0)</f>
        <v>350</v>
      </c>
      <c r="I978" s="8">
        <f>ROUND('Criaturas - Base de Dados'!K164*'Sistema de Raridade e Evolução'!E6,0)</f>
        <v>2250</v>
      </c>
      <c r="J978" s="8">
        <f>'Sistema de Raridade e Evolução'!D6</f>
        <v>56</v>
      </c>
      <c r="K978" s="8" t="s">
        <v>12</v>
      </c>
      <c r="L978" s="9">
        <f t="shared" si="15"/>
        <v>1666666.67</v>
      </c>
    </row>
    <row r="979" spans="1:12" ht="14.25" hidden="1" customHeight="1" x14ac:dyDescent="0.3">
      <c r="A979" s="8">
        <v>978</v>
      </c>
      <c r="B979" s="8" t="str">
        <f>'Criaturas - Base de Dados'!B164</f>
        <v>Areia Amaldiçoada</v>
      </c>
      <c r="C979" s="8" t="str">
        <f>'Criaturas - Base de Dados'!C164</f>
        <v>Morte</v>
      </c>
      <c r="D979" s="8" t="str">
        <f>'Criaturas - Base de Dados'!D164</f>
        <v>Esfinge Enigmática</v>
      </c>
      <c r="E979" s="8" t="str">
        <f>'Sistema de Raridade e Evolução'!B7</f>
        <v>Lendário</v>
      </c>
      <c r="F979" s="9">
        <f>ROUND(('Criaturas - Base de Dados'!H164*'Sistema de Raridade e Evolução'!E7)*1000,2)</f>
        <v>2100000</v>
      </c>
      <c r="G979" s="8">
        <f>ROUND('Criaturas - Base de Dados'!I164*'Sistema de Raridade e Evolução'!E7,0)</f>
        <v>1200</v>
      </c>
      <c r="H979" s="8">
        <f>ROUND('Criaturas - Base de Dados'!J164*'Sistema de Raridade e Evolução'!E7,0)</f>
        <v>1050</v>
      </c>
      <c r="I979" s="8">
        <f>ROUND('Criaturas - Base de Dados'!K164*'Sistema de Raridade e Evolução'!E7,0)</f>
        <v>6750</v>
      </c>
      <c r="J979" s="8">
        <f>'Sistema de Raridade e Evolução'!D7</f>
        <v>91</v>
      </c>
      <c r="K979" s="8" t="s">
        <v>925</v>
      </c>
      <c r="L979" s="9">
        <f t="shared" si="15"/>
        <v>5000000</v>
      </c>
    </row>
    <row r="980" spans="1:12" ht="14.25" customHeight="1" x14ac:dyDescent="0.3">
      <c r="A980" s="8">
        <v>979</v>
      </c>
      <c r="B980" s="8" t="str">
        <f>'Criaturas - Base de Dados'!B165</f>
        <v>Areia Amaldiçoada</v>
      </c>
      <c r="C980" s="8" t="str">
        <f>'Criaturas - Base de Dados'!C165</f>
        <v>Morte</v>
      </c>
      <c r="D980" s="8" t="str">
        <f>'Criaturas - Base de Dados'!D165</f>
        <v>Ammit, Devoradora de Almas</v>
      </c>
      <c r="E980" s="8" t="str">
        <f>'Sistema de Raridade e Evolução'!B2</f>
        <v>Default</v>
      </c>
      <c r="F980" s="9" t="e">
        <f>ROUND(('Criaturas - Base de Dados'!H165*'Sistema de Raridade e Evolução'!E2)*1000,2)</f>
        <v>#VALUE!</v>
      </c>
      <c r="G980" s="8" t="e">
        <f>ROUND('Criaturas - Base de Dados'!I165*'Sistema de Raridade e Evolução'!E2,0)</f>
        <v>#VALUE!</v>
      </c>
      <c r="H980" s="8" t="e">
        <f>ROUND('Criaturas - Base de Dados'!J165*'Sistema de Raridade e Evolução'!E2,0)</f>
        <v>#VALUE!</v>
      </c>
      <c r="I980" s="8" t="e">
        <f>ROUND('Criaturas - Base de Dados'!K165*'Sistema de Raridade e Evolução'!E2,0)</f>
        <v>#VALUE!</v>
      </c>
      <c r="J980" s="8">
        <f>'Sistema de Raridade e Evolução'!D2</f>
        <v>1</v>
      </c>
      <c r="K980" s="8" t="s">
        <v>8</v>
      </c>
      <c r="L980" s="9" t="e">
        <f t="shared" si="15"/>
        <v>#VALUE!</v>
      </c>
    </row>
    <row r="981" spans="1:12" ht="14.25" hidden="1" customHeight="1" x14ac:dyDescent="0.3">
      <c r="A981" s="8">
        <v>980</v>
      </c>
      <c r="B981" s="8" t="str">
        <f>'Criaturas - Base de Dados'!B165</f>
        <v>Areia Amaldiçoada</v>
      </c>
      <c r="C981" s="8" t="str">
        <f>'Criaturas - Base de Dados'!C165</f>
        <v>Morte</v>
      </c>
      <c r="D981" s="8" t="str">
        <f>'Criaturas - Base de Dados'!D165</f>
        <v>Ammit, Devoradora de Almas</v>
      </c>
      <c r="E981" s="8" t="str">
        <f>'Sistema de Raridade e Evolução'!B3</f>
        <v>Bronze</v>
      </c>
      <c r="F981" s="9">
        <f>ROUND(('Criaturas - Base de Dados'!H165*'Sistema de Raridade e Evolução'!E3)*1000,2)</f>
        <v>16000</v>
      </c>
      <c r="G981" s="8">
        <f>ROUND('Criaturas - Base de Dados'!I165*'Sistema de Raridade e Evolução'!E3,0)</f>
        <v>10</v>
      </c>
      <c r="H981" s="8">
        <f>ROUND('Criaturas - Base de Dados'!J165*'Sistema de Raridade e Evolução'!E3,0)</f>
        <v>8</v>
      </c>
      <c r="I981" s="8">
        <f>ROUND('Criaturas - Base de Dados'!K165*'Sistema de Raridade e Evolução'!E3,0)</f>
        <v>51</v>
      </c>
      <c r="J981" s="8">
        <f>'Sistema de Raridade e Evolução'!D3</f>
        <v>6</v>
      </c>
      <c r="K981" s="8" t="s">
        <v>9</v>
      </c>
      <c r="L981" s="9">
        <f t="shared" si="15"/>
        <v>38095.24</v>
      </c>
    </row>
    <row r="982" spans="1:12" ht="14.25" hidden="1" customHeight="1" x14ac:dyDescent="0.3">
      <c r="A982" s="8">
        <v>981</v>
      </c>
      <c r="B982" s="8" t="str">
        <f>'Criaturas - Base de Dados'!B165</f>
        <v>Areia Amaldiçoada</v>
      </c>
      <c r="C982" s="8" t="str">
        <f>'Criaturas - Base de Dados'!C165</f>
        <v>Morte</v>
      </c>
      <c r="D982" s="8" t="str">
        <f>'Criaturas - Base de Dados'!D165</f>
        <v>Ammit, Devoradora de Almas</v>
      </c>
      <c r="E982" s="8" t="str">
        <f>'Sistema de Raridade e Evolução'!B4</f>
        <v>Prata</v>
      </c>
      <c r="F982" s="9">
        <f>ROUND(('Criaturas - Base de Dados'!H165*'Sistema de Raridade e Evolução'!E4)*1000,2)</f>
        <v>96000</v>
      </c>
      <c r="G982" s="8">
        <f>ROUND('Criaturas - Base de Dados'!I165*'Sistema de Raridade e Evolução'!E4,0)</f>
        <v>60</v>
      </c>
      <c r="H982" s="8">
        <f>ROUND('Criaturas - Base de Dados'!J165*'Sistema de Raridade e Evolução'!E4,0)</f>
        <v>48</v>
      </c>
      <c r="I982" s="8">
        <f>ROUND('Criaturas - Base de Dados'!K165*'Sistema de Raridade e Evolução'!E4,0)</f>
        <v>306</v>
      </c>
      <c r="J982" s="8">
        <f>'Sistema de Raridade e Evolução'!D4</f>
        <v>16</v>
      </c>
      <c r="K982" s="8" t="s">
        <v>10</v>
      </c>
      <c r="L982" s="9">
        <f t="shared" si="15"/>
        <v>228571.43</v>
      </c>
    </row>
    <row r="983" spans="1:12" ht="14.25" hidden="1" customHeight="1" x14ac:dyDescent="0.3">
      <c r="A983" s="8">
        <v>982</v>
      </c>
      <c r="B983" s="8" t="str">
        <f>'Criaturas - Base de Dados'!B165</f>
        <v>Areia Amaldiçoada</v>
      </c>
      <c r="C983" s="8" t="str">
        <f>'Criaturas - Base de Dados'!C165</f>
        <v>Morte</v>
      </c>
      <c r="D983" s="8" t="str">
        <f>'Criaturas - Base de Dados'!D165</f>
        <v>Ammit, Devoradora de Almas</v>
      </c>
      <c r="E983" s="8" t="str">
        <f>'Sistema de Raridade e Evolução'!B5</f>
        <v>Ouro</v>
      </c>
      <c r="F983" s="9">
        <f>ROUND(('Criaturas - Base de Dados'!H165*'Sistema de Raridade e Evolução'!E5)*1000,2)</f>
        <v>288000</v>
      </c>
      <c r="G983" s="8">
        <f>ROUND('Criaturas - Base de Dados'!I165*'Sistema de Raridade e Evolução'!E5,0)</f>
        <v>180</v>
      </c>
      <c r="H983" s="8">
        <f>ROUND('Criaturas - Base de Dados'!J165*'Sistema de Raridade e Evolução'!E5,0)</f>
        <v>144</v>
      </c>
      <c r="I983" s="8">
        <f>ROUND('Criaturas - Base de Dados'!K165*'Sistema de Raridade e Evolução'!E5,0)</f>
        <v>918</v>
      </c>
      <c r="J983" s="8">
        <f>'Sistema de Raridade e Evolução'!D5</f>
        <v>31</v>
      </c>
      <c r="K983" s="8" t="s">
        <v>11</v>
      </c>
      <c r="L983" s="9">
        <f t="shared" si="15"/>
        <v>685714.29</v>
      </c>
    </row>
    <row r="984" spans="1:12" ht="14.25" hidden="1" customHeight="1" x14ac:dyDescent="0.3">
      <c r="A984" s="8">
        <v>983</v>
      </c>
      <c r="B984" s="8" t="str">
        <f>'Criaturas - Base de Dados'!B165</f>
        <v>Areia Amaldiçoada</v>
      </c>
      <c r="C984" s="8" t="str">
        <f>'Criaturas - Base de Dados'!C165</f>
        <v>Morte</v>
      </c>
      <c r="D984" s="8" t="str">
        <f>'Criaturas - Base de Dados'!D165</f>
        <v>Ammit, Devoradora de Almas</v>
      </c>
      <c r="E984" s="8" t="str">
        <f>'Sistema de Raridade e Evolução'!B6</f>
        <v>Platina</v>
      </c>
      <c r="F984" s="9">
        <f>ROUND(('Criaturas - Base de Dados'!H165*'Sistema de Raridade e Evolução'!E6)*1000,2)</f>
        <v>800000</v>
      </c>
      <c r="G984" s="8">
        <f>ROUND('Criaturas - Base de Dados'!I165*'Sistema de Raridade e Evolução'!E6,0)</f>
        <v>500</v>
      </c>
      <c r="H984" s="8">
        <f>ROUND('Criaturas - Base de Dados'!J165*'Sistema de Raridade e Evolução'!E6,0)</f>
        <v>400</v>
      </c>
      <c r="I984" s="8">
        <f>ROUND('Criaturas - Base de Dados'!K165*'Sistema de Raridade e Evolução'!E6,0)</f>
        <v>2550</v>
      </c>
      <c r="J984" s="8">
        <f>'Sistema de Raridade e Evolução'!D6</f>
        <v>56</v>
      </c>
      <c r="K984" s="8" t="s">
        <v>12</v>
      </c>
      <c r="L984" s="9">
        <f t="shared" si="15"/>
        <v>1904761.9</v>
      </c>
    </row>
    <row r="985" spans="1:12" ht="14.25" hidden="1" customHeight="1" x14ac:dyDescent="0.3">
      <c r="A985" s="8">
        <v>984</v>
      </c>
      <c r="B985" s="8" t="str">
        <f>'Criaturas - Base de Dados'!B165</f>
        <v>Areia Amaldiçoada</v>
      </c>
      <c r="C985" s="8" t="str">
        <f>'Criaturas - Base de Dados'!C165</f>
        <v>Morte</v>
      </c>
      <c r="D985" s="8" t="str">
        <f>'Criaturas - Base de Dados'!D165</f>
        <v>Ammit, Devoradora de Almas</v>
      </c>
      <c r="E985" s="8" t="str">
        <f>'Sistema de Raridade e Evolução'!B7</f>
        <v>Lendário</v>
      </c>
      <c r="F985" s="9">
        <f>ROUND(('Criaturas - Base de Dados'!H165*'Sistema de Raridade e Evolução'!E7)*1000,2)</f>
        <v>2400000</v>
      </c>
      <c r="G985" s="8">
        <f>ROUND('Criaturas - Base de Dados'!I165*'Sistema de Raridade e Evolução'!E7,0)</f>
        <v>1500</v>
      </c>
      <c r="H985" s="8">
        <f>ROUND('Criaturas - Base de Dados'!J165*'Sistema de Raridade e Evolução'!E7,0)</f>
        <v>1200</v>
      </c>
      <c r="I985" s="8">
        <f>ROUND('Criaturas - Base de Dados'!K165*'Sistema de Raridade e Evolução'!E7,0)</f>
        <v>7650</v>
      </c>
      <c r="J985" s="8">
        <f>'Sistema de Raridade e Evolução'!D7</f>
        <v>91</v>
      </c>
      <c r="K985" s="8" t="s">
        <v>925</v>
      </c>
      <c r="L985" s="9">
        <f t="shared" si="15"/>
        <v>5714285.71</v>
      </c>
    </row>
    <row r="986" spans="1:12" ht="14.25" customHeight="1" x14ac:dyDescent="0.3">
      <c r="A986" s="8">
        <v>985</v>
      </c>
      <c r="B986" s="8" t="str">
        <f>'Criaturas - Base de Dados'!B166</f>
        <v>Areia Amaldiçoada</v>
      </c>
      <c r="C986" s="8" t="str">
        <f>'Criaturas - Base de Dados'!C166</f>
        <v>Morte</v>
      </c>
      <c r="D986" s="8" t="str">
        <f>'Criaturas - Base de Dados'!D166</f>
        <v>Ka Errante</v>
      </c>
      <c r="E986" s="8" t="str">
        <f>'Sistema de Raridade e Evolução'!B2</f>
        <v>Default</v>
      </c>
      <c r="F986" s="9" t="e">
        <f>ROUND(('Criaturas - Base de Dados'!H166*'Sistema de Raridade e Evolução'!E2)*1000,2)</f>
        <v>#VALUE!</v>
      </c>
      <c r="G986" s="8" t="e">
        <f>ROUND('Criaturas - Base de Dados'!I166*'Sistema de Raridade e Evolução'!E2,0)</f>
        <v>#VALUE!</v>
      </c>
      <c r="H986" s="8" t="e">
        <f>ROUND('Criaturas - Base de Dados'!J166*'Sistema de Raridade e Evolução'!E2,0)</f>
        <v>#VALUE!</v>
      </c>
      <c r="I986" s="8" t="e">
        <f>ROUND('Criaturas - Base de Dados'!K166*'Sistema de Raridade e Evolução'!E2,0)</f>
        <v>#VALUE!</v>
      </c>
      <c r="J986" s="8">
        <f>'Sistema de Raridade e Evolução'!D2</f>
        <v>1</v>
      </c>
      <c r="K986" s="8" t="s">
        <v>8</v>
      </c>
      <c r="L986" s="9" t="e">
        <f t="shared" si="15"/>
        <v>#VALUE!</v>
      </c>
    </row>
    <row r="987" spans="1:12" ht="14.25" hidden="1" customHeight="1" x14ac:dyDescent="0.3">
      <c r="A987" s="8">
        <v>986</v>
      </c>
      <c r="B987" s="8" t="str">
        <f>'Criaturas - Base de Dados'!B166</f>
        <v>Areia Amaldiçoada</v>
      </c>
      <c r="C987" s="8" t="str">
        <f>'Criaturas - Base de Dados'!C166</f>
        <v>Morte</v>
      </c>
      <c r="D987" s="8" t="str">
        <f>'Criaturas - Base de Dados'!D166</f>
        <v>Ka Errante</v>
      </c>
      <c r="E987" s="8" t="str">
        <f>'Sistema de Raridade e Evolução'!B3</f>
        <v>Bronze</v>
      </c>
      <c r="F987" s="9">
        <f>ROUND(('Criaturas - Base de Dados'!H166*'Sistema de Raridade e Evolução'!E3)*1000,2)</f>
        <v>16000</v>
      </c>
      <c r="G987" s="8">
        <f>ROUND('Criaturas - Base de Dados'!I166*'Sistema de Raridade e Evolução'!E3,0)</f>
        <v>10</v>
      </c>
      <c r="H987" s="8">
        <f>ROUND('Criaturas - Base de Dados'!J166*'Sistema de Raridade e Evolução'!E3,0)</f>
        <v>8</v>
      </c>
      <c r="I987" s="8">
        <f>ROUND('Criaturas - Base de Dados'!K166*'Sistema de Raridade e Evolução'!E3,0)</f>
        <v>51</v>
      </c>
      <c r="J987" s="8">
        <f>'Sistema de Raridade e Evolução'!D3</f>
        <v>6</v>
      </c>
      <c r="K987" s="8" t="s">
        <v>9</v>
      </c>
      <c r="L987" s="9">
        <f t="shared" si="15"/>
        <v>38095.24</v>
      </c>
    </row>
    <row r="988" spans="1:12" ht="14.25" hidden="1" customHeight="1" x14ac:dyDescent="0.3">
      <c r="A988" s="8">
        <v>987</v>
      </c>
      <c r="B988" s="8" t="str">
        <f>'Criaturas - Base de Dados'!B166</f>
        <v>Areia Amaldiçoada</v>
      </c>
      <c r="C988" s="8" t="str">
        <f>'Criaturas - Base de Dados'!C166</f>
        <v>Morte</v>
      </c>
      <c r="D988" s="8" t="str">
        <f>'Criaturas - Base de Dados'!D166</f>
        <v>Ka Errante</v>
      </c>
      <c r="E988" s="8" t="str">
        <f>'Sistema de Raridade e Evolução'!B4</f>
        <v>Prata</v>
      </c>
      <c r="F988" s="9">
        <f>ROUND(('Criaturas - Base de Dados'!H166*'Sistema de Raridade e Evolução'!E4)*1000,2)</f>
        <v>96000</v>
      </c>
      <c r="G988" s="8">
        <f>ROUND('Criaturas - Base de Dados'!I166*'Sistema de Raridade e Evolução'!E4,0)</f>
        <v>60</v>
      </c>
      <c r="H988" s="8">
        <f>ROUND('Criaturas - Base de Dados'!J166*'Sistema de Raridade e Evolução'!E4,0)</f>
        <v>48</v>
      </c>
      <c r="I988" s="8">
        <f>ROUND('Criaturas - Base de Dados'!K166*'Sistema de Raridade e Evolução'!E4,0)</f>
        <v>306</v>
      </c>
      <c r="J988" s="8">
        <f>'Sistema de Raridade e Evolução'!D4</f>
        <v>16</v>
      </c>
      <c r="K988" s="8" t="s">
        <v>10</v>
      </c>
      <c r="L988" s="9">
        <f t="shared" si="15"/>
        <v>228571.43</v>
      </c>
    </row>
    <row r="989" spans="1:12" ht="14.25" hidden="1" customHeight="1" x14ac:dyDescent="0.3">
      <c r="A989" s="8">
        <v>988</v>
      </c>
      <c r="B989" s="8" t="str">
        <f>'Criaturas - Base de Dados'!B166</f>
        <v>Areia Amaldiçoada</v>
      </c>
      <c r="C989" s="8" t="str">
        <f>'Criaturas - Base de Dados'!C166</f>
        <v>Morte</v>
      </c>
      <c r="D989" s="8" t="str">
        <f>'Criaturas - Base de Dados'!D166</f>
        <v>Ka Errante</v>
      </c>
      <c r="E989" s="8" t="str">
        <f>'Sistema de Raridade e Evolução'!B5</f>
        <v>Ouro</v>
      </c>
      <c r="F989" s="9">
        <f>ROUND(('Criaturas - Base de Dados'!H166*'Sistema de Raridade e Evolução'!E5)*1000,2)</f>
        <v>288000</v>
      </c>
      <c r="G989" s="8">
        <f>ROUND('Criaturas - Base de Dados'!I166*'Sistema de Raridade e Evolução'!E5,0)</f>
        <v>180</v>
      </c>
      <c r="H989" s="8">
        <f>ROUND('Criaturas - Base de Dados'!J166*'Sistema de Raridade e Evolução'!E5,0)</f>
        <v>144</v>
      </c>
      <c r="I989" s="8">
        <f>ROUND('Criaturas - Base de Dados'!K166*'Sistema de Raridade e Evolução'!E5,0)</f>
        <v>918</v>
      </c>
      <c r="J989" s="8">
        <f>'Sistema de Raridade e Evolução'!D5</f>
        <v>31</v>
      </c>
      <c r="K989" s="8" t="s">
        <v>11</v>
      </c>
      <c r="L989" s="9">
        <f t="shared" si="15"/>
        <v>685714.29</v>
      </c>
    </row>
    <row r="990" spans="1:12" ht="14.25" hidden="1" customHeight="1" x14ac:dyDescent="0.3">
      <c r="A990" s="8">
        <v>989</v>
      </c>
      <c r="B990" s="8" t="str">
        <f>'Criaturas - Base de Dados'!B166</f>
        <v>Areia Amaldiçoada</v>
      </c>
      <c r="C990" s="8" t="str">
        <f>'Criaturas - Base de Dados'!C166</f>
        <v>Morte</v>
      </c>
      <c r="D990" s="8" t="str">
        <f>'Criaturas - Base de Dados'!D166</f>
        <v>Ka Errante</v>
      </c>
      <c r="E990" s="8" t="str">
        <f>'Sistema de Raridade e Evolução'!B6</f>
        <v>Platina</v>
      </c>
      <c r="F990" s="9">
        <f>ROUND(('Criaturas - Base de Dados'!H166*'Sistema de Raridade e Evolução'!E6)*1000,2)</f>
        <v>800000</v>
      </c>
      <c r="G990" s="8">
        <f>ROUND('Criaturas - Base de Dados'!I166*'Sistema de Raridade e Evolução'!E6,0)</f>
        <v>500</v>
      </c>
      <c r="H990" s="8">
        <f>ROUND('Criaturas - Base de Dados'!J166*'Sistema de Raridade e Evolução'!E6,0)</f>
        <v>400</v>
      </c>
      <c r="I990" s="8">
        <f>ROUND('Criaturas - Base de Dados'!K166*'Sistema de Raridade e Evolução'!E6,0)</f>
        <v>2550</v>
      </c>
      <c r="J990" s="8">
        <f>'Sistema de Raridade e Evolução'!D6</f>
        <v>56</v>
      </c>
      <c r="K990" s="8" t="s">
        <v>12</v>
      </c>
      <c r="L990" s="9">
        <f t="shared" si="15"/>
        <v>1904761.9</v>
      </c>
    </row>
    <row r="991" spans="1:12" ht="14.25" hidden="1" customHeight="1" x14ac:dyDescent="0.3">
      <c r="A991" s="8">
        <v>990</v>
      </c>
      <c r="B991" s="8" t="str">
        <f>'Criaturas - Base de Dados'!B166</f>
        <v>Areia Amaldiçoada</v>
      </c>
      <c r="C991" s="8" t="str">
        <f>'Criaturas - Base de Dados'!C166</f>
        <v>Morte</v>
      </c>
      <c r="D991" s="8" t="str">
        <f>'Criaturas - Base de Dados'!D166</f>
        <v>Ka Errante</v>
      </c>
      <c r="E991" s="8" t="str">
        <f>'Sistema de Raridade e Evolução'!B7</f>
        <v>Lendário</v>
      </c>
      <c r="F991" s="9">
        <f>ROUND(('Criaturas - Base de Dados'!H166*'Sistema de Raridade e Evolução'!E7)*1000,2)</f>
        <v>2400000</v>
      </c>
      <c r="G991" s="8">
        <f>ROUND('Criaturas - Base de Dados'!I166*'Sistema de Raridade e Evolução'!E7,0)</f>
        <v>1500</v>
      </c>
      <c r="H991" s="8">
        <f>ROUND('Criaturas - Base de Dados'!J166*'Sistema de Raridade e Evolução'!E7,0)</f>
        <v>1200</v>
      </c>
      <c r="I991" s="8">
        <f>ROUND('Criaturas - Base de Dados'!K166*'Sistema de Raridade e Evolução'!E7,0)</f>
        <v>7650</v>
      </c>
      <c r="J991" s="8">
        <f>'Sistema de Raridade e Evolução'!D7</f>
        <v>91</v>
      </c>
      <c r="K991" s="8" t="s">
        <v>925</v>
      </c>
      <c r="L991" s="9">
        <f t="shared" si="15"/>
        <v>5714285.71</v>
      </c>
    </row>
    <row r="992" spans="1:12" ht="14.25" customHeight="1" x14ac:dyDescent="0.3">
      <c r="A992" s="8">
        <v>991</v>
      </c>
      <c r="B992" s="8" t="str">
        <f>'Criaturas - Base de Dados'!B167</f>
        <v>Areia Amaldiçoada</v>
      </c>
      <c r="C992" s="8" t="str">
        <f>'Criaturas - Base de Dados'!C167</f>
        <v>Morte</v>
      </c>
      <c r="D992" s="8" t="str">
        <f>'Criaturas - Base de Dados'!D167</f>
        <v>Escorpião Gigante do Deserto</v>
      </c>
      <c r="E992" s="8" t="str">
        <f>'Sistema de Raridade e Evolução'!B2</f>
        <v>Default</v>
      </c>
      <c r="F992" s="9" t="e">
        <f>ROUND(('Criaturas - Base de Dados'!H167*'Sistema de Raridade e Evolução'!E2)*1000,2)</f>
        <v>#VALUE!</v>
      </c>
      <c r="G992" s="8" t="e">
        <f>ROUND('Criaturas - Base de Dados'!I167*'Sistema de Raridade e Evolução'!E2,0)</f>
        <v>#VALUE!</v>
      </c>
      <c r="H992" s="8" t="e">
        <f>ROUND('Criaturas - Base de Dados'!J167*'Sistema de Raridade e Evolução'!E2,0)</f>
        <v>#VALUE!</v>
      </c>
      <c r="I992" s="8" t="e">
        <f>ROUND('Criaturas - Base de Dados'!K167*'Sistema de Raridade e Evolução'!E2,0)</f>
        <v>#VALUE!</v>
      </c>
      <c r="J992" s="8">
        <f>'Sistema de Raridade e Evolução'!D2</f>
        <v>1</v>
      </c>
      <c r="K992" s="8" t="s">
        <v>8</v>
      </c>
      <c r="L992" s="9" t="e">
        <f t="shared" si="15"/>
        <v>#VALUE!</v>
      </c>
    </row>
    <row r="993" spans="1:12" ht="14.25" hidden="1" customHeight="1" x14ac:dyDescent="0.3">
      <c r="A993" s="8">
        <v>992</v>
      </c>
      <c r="B993" s="8" t="str">
        <f>'Criaturas - Base de Dados'!B167</f>
        <v>Areia Amaldiçoada</v>
      </c>
      <c r="C993" s="8" t="str">
        <f>'Criaturas - Base de Dados'!C167</f>
        <v>Morte</v>
      </c>
      <c r="D993" s="8" t="str">
        <f>'Criaturas - Base de Dados'!D167</f>
        <v>Escorpião Gigante do Deserto</v>
      </c>
      <c r="E993" s="8" t="str">
        <f>'Sistema de Raridade e Evolução'!B3</f>
        <v>Bronze</v>
      </c>
      <c r="F993" s="9">
        <f>ROUND(('Criaturas - Base de Dados'!H167*'Sistema de Raridade e Evolução'!E3)*1000,2)</f>
        <v>18000</v>
      </c>
      <c r="G993" s="8">
        <f>ROUND('Criaturas - Base de Dados'!I167*'Sistema de Raridade e Evolução'!E3,0)</f>
        <v>11</v>
      </c>
      <c r="H993" s="8">
        <f>ROUND('Criaturas - Base de Dados'!J167*'Sistema de Raridade e Evolução'!E3,0)</f>
        <v>9</v>
      </c>
      <c r="I993" s="8">
        <f>ROUND('Criaturas - Base de Dados'!K167*'Sistema de Raridade e Evolução'!E3,0)</f>
        <v>58</v>
      </c>
      <c r="J993" s="8">
        <f>'Sistema de Raridade e Evolução'!D3</f>
        <v>6</v>
      </c>
      <c r="K993" s="8" t="s">
        <v>9</v>
      </c>
      <c r="L993" s="9">
        <f t="shared" si="15"/>
        <v>42857.14</v>
      </c>
    </row>
    <row r="994" spans="1:12" ht="14.25" hidden="1" customHeight="1" x14ac:dyDescent="0.3">
      <c r="A994" s="8">
        <v>993</v>
      </c>
      <c r="B994" s="8" t="str">
        <f>'Criaturas - Base de Dados'!B167</f>
        <v>Areia Amaldiçoada</v>
      </c>
      <c r="C994" s="8" t="str">
        <f>'Criaturas - Base de Dados'!C167</f>
        <v>Morte</v>
      </c>
      <c r="D994" s="8" t="str">
        <f>'Criaturas - Base de Dados'!D167</f>
        <v>Escorpião Gigante do Deserto</v>
      </c>
      <c r="E994" s="8" t="str">
        <f>'Sistema de Raridade e Evolução'!B4</f>
        <v>Prata</v>
      </c>
      <c r="F994" s="9">
        <f>ROUND(('Criaturas - Base de Dados'!H167*'Sistema de Raridade e Evolução'!E4)*1000,2)</f>
        <v>108000</v>
      </c>
      <c r="G994" s="8">
        <f>ROUND('Criaturas - Base de Dados'!I167*'Sistema de Raridade e Evolução'!E4,0)</f>
        <v>66</v>
      </c>
      <c r="H994" s="8">
        <f>ROUND('Criaturas - Base de Dados'!J167*'Sistema de Raridade e Evolução'!E4,0)</f>
        <v>54</v>
      </c>
      <c r="I994" s="8">
        <f>ROUND('Criaturas - Base de Dados'!K167*'Sistema de Raridade e Evolução'!E4,0)</f>
        <v>348</v>
      </c>
      <c r="J994" s="8">
        <f>'Sistema de Raridade e Evolução'!D4</f>
        <v>16</v>
      </c>
      <c r="K994" s="8" t="s">
        <v>10</v>
      </c>
      <c r="L994" s="9">
        <f t="shared" si="15"/>
        <v>257142.86</v>
      </c>
    </row>
    <row r="995" spans="1:12" ht="14.25" hidden="1" customHeight="1" x14ac:dyDescent="0.3">
      <c r="A995" s="8">
        <v>994</v>
      </c>
      <c r="B995" s="8" t="str">
        <f>'Criaturas - Base de Dados'!B167</f>
        <v>Areia Amaldiçoada</v>
      </c>
      <c r="C995" s="8" t="str">
        <f>'Criaturas - Base de Dados'!C167</f>
        <v>Morte</v>
      </c>
      <c r="D995" s="8" t="str">
        <f>'Criaturas - Base de Dados'!D167</f>
        <v>Escorpião Gigante do Deserto</v>
      </c>
      <c r="E995" s="8" t="str">
        <f>'Sistema de Raridade e Evolução'!B5</f>
        <v>Ouro</v>
      </c>
      <c r="F995" s="9">
        <f>ROUND(('Criaturas - Base de Dados'!H167*'Sistema de Raridade e Evolução'!E5)*1000,2)</f>
        <v>324000</v>
      </c>
      <c r="G995" s="8">
        <f>ROUND('Criaturas - Base de Dados'!I167*'Sistema de Raridade e Evolução'!E5,0)</f>
        <v>198</v>
      </c>
      <c r="H995" s="8">
        <f>ROUND('Criaturas - Base de Dados'!J167*'Sistema de Raridade e Evolução'!E5,0)</f>
        <v>162</v>
      </c>
      <c r="I995" s="8">
        <f>ROUND('Criaturas - Base de Dados'!K167*'Sistema de Raridade e Evolução'!E5,0)</f>
        <v>1044</v>
      </c>
      <c r="J995" s="8">
        <f>'Sistema de Raridade e Evolução'!D5</f>
        <v>31</v>
      </c>
      <c r="K995" s="8" t="s">
        <v>11</v>
      </c>
      <c r="L995" s="9">
        <f t="shared" si="15"/>
        <v>771428.57</v>
      </c>
    </row>
    <row r="996" spans="1:12" ht="14.25" hidden="1" customHeight="1" x14ac:dyDescent="0.3">
      <c r="A996" s="8">
        <v>995</v>
      </c>
      <c r="B996" s="8" t="str">
        <f>'Criaturas - Base de Dados'!B167</f>
        <v>Areia Amaldiçoada</v>
      </c>
      <c r="C996" s="8" t="str">
        <f>'Criaturas - Base de Dados'!C167</f>
        <v>Morte</v>
      </c>
      <c r="D996" s="8" t="str">
        <f>'Criaturas - Base de Dados'!D167</f>
        <v>Escorpião Gigante do Deserto</v>
      </c>
      <c r="E996" s="8" t="str">
        <f>'Sistema de Raridade e Evolução'!B6</f>
        <v>Platina</v>
      </c>
      <c r="F996" s="9">
        <f>ROUND(('Criaturas - Base de Dados'!H167*'Sistema de Raridade e Evolução'!E6)*1000,2)</f>
        <v>900000</v>
      </c>
      <c r="G996" s="8">
        <f>ROUND('Criaturas - Base de Dados'!I167*'Sistema de Raridade e Evolução'!E6,0)</f>
        <v>550</v>
      </c>
      <c r="H996" s="8">
        <f>ROUND('Criaturas - Base de Dados'!J167*'Sistema de Raridade e Evolução'!E6,0)</f>
        <v>450</v>
      </c>
      <c r="I996" s="8">
        <f>ROUND('Criaturas - Base de Dados'!K167*'Sistema de Raridade e Evolução'!E6,0)</f>
        <v>2900</v>
      </c>
      <c r="J996" s="8">
        <f>'Sistema de Raridade e Evolução'!D6</f>
        <v>56</v>
      </c>
      <c r="K996" s="8" t="s">
        <v>12</v>
      </c>
      <c r="L996" s="9">
        <f t="shared" si="15"/>
        <v>2142857.14</v>
      </c>
    </row>
    <row r="997" spans="1:12" ht="14.25" hidden="1" customHeight="1" x14ac:dyDescent="0.3">
      <c r="A997" s="8">
        <v>996</v>
      </c>
      <c r="B997" s="8" t="str">
        <f>'Criaturas - Base de Dados'!B167</f>
        <v>Areia Amaldiçoada</v>
      </c>
      <c r="C997" s="8" t="str">
        <f>'Criaturas - Base de Dados'!C167</f>
        <v>Morte</v>
      </c>
      <c r="D997" s="8" t="str">
        <f>'Criaturas - Base de Dados'!D167</f>
        <v>Escorpião Gigante do Deserto</v>
      </c>
      <c r="E997" s="8" t="str">
        <f>'Sistema de Raridade e Evolução'!B7</f>
        <v>Lendário</v>
      </c>
      <c r="F997" s="9">
        <f>ROUND(('Criaturas - Base de Dados'!H167*'Sistema de Raridade e Evolução'!E7)*1000,2)</f>
        <v>2700000</v>
      </c>
      <c r="G997" s="8">
        <f>ROUND('Criaturas - Base de Dados'!I167*'Sistema de Raridade e Evolução'!E7,0)</f>
        <v>1650</v>
      </c>
      <c r="H997" s="8">
        <f>ROUND('Criaturas - Base de Dados'!J167*'Sistema de Raridade e Evolução'!E7,0)</f>
        <v>1350</v>
      </c>
      <c r="I997" s="8">
        <f>ROUND('Criaturas - Base de Dados'!K167*'Sistema de Raridade e Evolução'!E7,0)</f>
        <v>8700</v>
      </c>
      <c r="J997" s="8">
        <f>'Sistema de Raridade e Evolução'!D7</f>
        <v>91</v>
      </c>
      <c r="K997" s="8" t="s">
        <v>925</v>
      </c>
      <c r="L997" s="9">
        <f t="shared" si="15"/>
        <v>6428571.4299999997</v>
      </c>
    </row>
    <row r="998" spans="1:12" ht="14.25" customHeight="1" x14ac:dyDescent="0.3">
      <c r="A998" s="8">
        <v>997</v>
      </c>
      <c r="B998" s="8" t="str">
        <f>'Criaturas - Base de Dados'!B168</f>
        <v>Areia Amaldiçoada</v>
      </c>
      <c r="C998" s="8" t="str">
        <f>'Criaturas - Base de Dados'!C168</f>
        <v>Morte</v>
      </c>
      <c r="D998" s="8" t="str">
        <f>'Criaturas - Base de Dados'!D168</f>
        <v>Serket Ancestral</v>
      </c>
      <c r="E998" s="8" t="str">
        <f>'Sistema de Raridade e Evolução'!B2</f>
        <v>Default</v>
      </c>
      <c r="F998" s="9" t="e">
        <f>ROUND(('Criaturas - Base de Dados'!H168*'Sistema de Raridade e Evolução'!E2)*1000,2)</f>
        <v>#VALUE!</v>
      </c>
      <c r="G998" s="8" t="e">
        <f>ROUND('Criaturas - Base de Dados'!I168*'Sistema de Raridade e Evolução'!E2,0)</f>
        <v>#VALUE!</v>
      </c>
      <c r="H998" s="8" t="e">
        <f>ROUND('Criaturas - Base de Dados'!J168*'Sistema de Raridade e Evolução'!E2,0)</f>
        <v>#VALUE!</v>
      </c>
      <c r="I998" s="8" t="e">
        <f>ROUND('Criaturas - Base de Dados'!K168*'Sistema de Raridade e Evolução'!E2,0)</f>
        <v>#VALUE!</v>
      </c>
      <c r="J998" s="8">
        <f>'Sistema de Raridade e Evolução'!D2</f>
        <v>1</v>
      </c>
      <c r="K998" s="8" t="s">
        <v>8</v>
      </c>
      <c r="L998" s="9" t="e">
        <f t="shared" si="15"/>
        <v>#VALUE!</v>
      </c>
    </row>
    <row r="999" spans="1:12" ht="14.25" hidden="1" customHeight="1" x14ac:dyDescent="0.3">
      <c r="A999" s="8">
        <v>998</v>
      </c>
      <c r="B999" s="8" t="str">
        <f>'Criaturas - Base de Dados'!B168</f>
        <v>Areia Amaldiçoada</v>
      </c>
      <c r="C999" s="8" t="str">
        <f>'Criaturas - Base de Dados'!C168</f>
        <v>Morte</v>
      </c>
      <c r="D999" s="8" t="str">
        <f>'Criaturas - Base de Dados'!D168</f>
        <v>Serket Ancestral</v>
      </c>
      <c r="E999" s="8" t="str">
        <f>'Sistema de Raridade e Evolução'!B3</f>
        <v>Bronze</v>
      </c>
      <c r="F999" s="9">
        <f>ROUND(('Criaturas - Base de Dados'!H168*'Sistema de Raridade e Evolução'!E3)*1000,2)</f>
        <v>20000</v>
      </c>
      <c r="G999" s="8">
        <f>ROUND('Criaturas - Base de Dados'!I168*'Sistema de Raridade e Evolução'!E3,0)</f>
        <v>12</v>
      </c>
      <c r="H999" s="8">
        <f>ROUND('Criaturas - Base de Dados'!J168*'Sistema de Raridade e Evolução'!E3,0)</f>
        <v>10</v>
      </c>
      <c r="I999" s="8">
        <f>ROUND('Criaturas - Base de Dados'!K168*'Sistema de Raridade e Evolução'!E3,0)</f>
        <v>64</v>
      </c>
      <c r="J999" s="8">
        <f>'Sistema de Raridade e Evolução'!D3</f>
        <v>6</v>
      </c>
      <c r="K999" s="8" t="s">
        <v>9</v>
      </c>
      <c r="L999" s="9">
        <f t="shared" si="15"/>
        <v>47619.05</v>
      </c>
    </row>
    <row r="1000" spans="1:12" ht="14.25" hidden="1" customHeight="1" x14ac:dyDescent="0.3">
      <c r="A1000" s="8">
        <v>999</v>
      </c>
      <c r="B1000" s="8" t="str">
        <f>'Criaturas - Base de Dados'!B168</f>
        <v>Areia Amaldiçoada</v>
      </c>
      <c r="C1000" s="8" t="str">
        <f>'Criaturas - Base de Dados'!C168</f>
        <v>Morte</v>
      </c>
      <c r="D1000" s="8" t="str">
        <f>'Criaturas - Base de Dados'!D168</f>
        <v>Serket Ancestral</v>
      </c>
      <c r="E1000" s="8" t="str">
        <f>'Sistema de Raridade e Evolução'!B4</f>
        <v>Prata</v>
      </c>
      <c r="F1000" s="9">
        <f>ROUND(('Criaturas - Base de Dados'!H168*'Sistema de Raridade e Evolução'!E4)*1000,2)</f>
        <v>120000</v>
      </c>
      <c r="G1000" s="8">
        <f>ROUND('Criaturas - Base de Dados'!I168*'Sistema de Raridade e Evolução'!E4,0)</f>
        <v>72</v>
      </c>
      <c r="H1000" s="8">
        <f>ROUND('Criaturas - Base de Dados'!J168*'Sistema de Raridade e Evolução'!E4,0)</f>
        <v>60</v>
      </c>
      <c r="I1000" s="8">
        <f>ROUND('Criaturas - Base de Dados'!K168*'Sistema de Raridade e Evolução'!E4,0)</f>
        <v>384</v>
      </c>
      <c r="J1000" s="8">
        <f>'Sistema de Raridade e Evolução'!D4</f>
        <v>16</v>
      </c>
      <c r="K1000" s="8" t="s">
        <v>10</v>
      </c>
      <c r="L1000" s="9">
        <f t="shared" si="15"/>
        <v>285714.28999999998</v>
      </c>
    </row>
    <row r="1001" spans="1:12" ht="14.25" hidden="1" customHeight="1" x14ac:dyDescent="0.3">
      <c r="A1001" s="8">
        <v>1000</v>
      </c>
      <c r="B1001" s="8" t="str">
        <f>'Criaturas - Base de Dados'!B168</f>
        <v>Areia Amaldiçoada</v>
      </c>
      <c r="C1001" s="8" t="str">
        <f>'Criaturas - Base de Dados'!C168</f>
        <v>Morte</v>
      </c>
      <c r="D1001" s="8" t="str">
        <f>'Criaturas - Base de Dados'!D168</f>
        <v>Serket Ancestral</v>
      </c>
      <c r="E1001" s="8" t="str">
        <f>'Sistema de Raridade e Evolução'!B5</f>
        <v>Ouro</v>
      </c>
      <c r="F1001" s="9">
        <f>ROUND(('Criaturas - Base de Dados'!H168*'Sistema de Raridade e Evolução'!E5)*1000,2)</f>
        <v>360000</v>
      </c>
      <c r="G1001" s="8">
        <f>ROUND('Criaturas - Base de Dados'!I168*'Sistema de Raridade e Evolução'!E5,0)</f>
        <v>216</v>
      </c>
      <c r="H1001" s="8">
        <f>ROUND('Criaturas - Base de Dados'!J168*'Sistema de Raridade e Evolução'!E5,0)</f>
        <v>180</v>
      </c>
      <c r="I1001" s="8">
        <f>ROUND('Criaturas - Base de Dados'!K168*'Sistema de Raridade e Evolução'!E5,0)</f>
        <v>1152</v>
      </c>
      <c r="J1001" s="8">
        <f>'Sistema de Raridade e Evolução'!D5</f>
        <v>31</v>
      </c>
      <c r="K1001" s="8" t="s">
        <v>11</v>
      </c>
      <c r="L1001" s="9">
        <f t="shared" si="15"/>
        <v>857142.86</v>
      </c>
    </row>
    <row r="1002" spans="1:12" ht="14.25" hidden="1" customHeight="1" x14ac:dyDescent="0.3">
      <c r="A1002" s="8">
        <v>1001</v>
      </c>
      <c r="B1002" s="8" t="str">
        <f>'Criaturas - Base de Dados'!B168</f>
        <v>Areia Amaldiçoada</v>
      </c>
      <c r="C1002" s="8" t="str">
        <f>'Criaturas - Base de Dados'!C168</f>
        <v>Morte</v>
      </c>
      <c r="D1002" s="8" t="str">
        <f>'Criaturas - Base de Dados'!D168</f>
        <v>Serket Ancestral</v>
      </c>
      <c r="E1002" s="8" t="str">
        <f>'Sistema de Raridade e Evolução'!B6</f>
        <v>Platina</v>
      </c>
      <c r="F1002" s="9">
        <f>ROUND(('Criaturas - Base de Dados'!H168*'Sistema de Raridade e Evolução'!E6)*1000,2)</f>
        <v>1000000</v>
      </c>
      <c r="G1002" s="8">
        <f>ROUND('Criaturas - Base de Dados'!I168*'Sistema de Raridade e Evolução'!E6,0)</f>
        <v>600</v>
      </c>
      <c r="H1002" s="8">
        <f>ROUND('Criaturas - Base de Dados'!J168*'Sistema de Raridade e Evolução'!E6,0)</f>
        <v>500</v>
      </c>
      <c r="I1002" s="8">
        <f>ROUND('Criaturas - Base de Dados'!K168*'Sistema de Raridade e Evolução'!E6,0)</f>
        <v>3200</v>
      </c>
      <c r="J1002" s="8">
        <f>'Sistema de Raridade e Evolução'!D6</f>
        <v>56</v>
      </c>
      <c r="K1002" s="8" t="s">
        <v>12</v>
      </c>
      <c r="L1002" s="9">
        <f t="shared" si="15"/>
        <v>2380952.38</v>
      </c>
    </row>
    <row r="1003" spans="1:12" ht="14.25" hidden="1" customHeight="1" x14ac:dyDescent="0.3">
      <c r="A1003" s="8">
        <v>1002</v>
      </c>
      <c r="B1003" s="8" t="str">
        <f>'Criaturas - Base de Dados'!B168</f>
        <v>Areia Amaldiçoada</v>
      </c>
      <c r="C1003" s="8" t="str">
        <f>'Criaturas - Base de Dados'!C168</f>
        <v>Morte</v>
      </c>
      <c r="D1003" s="8" t="str">
        <f>'Criaturas - Base de Dados'!D168</f>
        <v>Serket Ancestral</v>
      </c>
      <c r="E1003" s="8" t="str">
        <f>'Sistema de Raridade e Evolução'!B7</f>
        <v>Lendário</v>
      </c>
      <c r="F1003" s="9">
        <f>ROUND(('Criaturas - Base de Dados'!H168*'Sistema de Raridade e Evolução'!E7)*1000,2)</f>
        <v>3000000</v>
      </c>
      <c r="G1003" s="8">
        <f>ROUND('Criaturas - Base de Dados'!I168*'Sistema de Raridade e Evolução'!E7,0)</f>
        <v>1800</v>
      </c>
      <c r="H1003" s="8">
        <f>ROUND('Criaturas - Base de Dados'!J168*'Sistema de Raridade e Evolução'!E7,0)</f>
        <v>1500</v>
      </c>
      <c r="I1003" s="8">
        <f>ROUND('Criaturas - Base de Dados'!K168*'Sistema de Raridade e Evolução'!E7,0)</f>
        <v>9600</v>
      </c>
      <c r="J1003" s="8">
        <f>'Sistema de Raridade e Evolução'!D7</f>
        <v>91</v>
      </c>
      <c r="K1003" s="8" t="s">
        <v>925</v>
      </c>
      <c r="L1003" s="9">
        <f t="shared" si="15"/>
        <v>7142857.1399999997</v>
      </c>
    </row>
    <row r="1004" spans="1:12" ht="14.25" customHeight="1" x14ac:dyDescent="0.3">
      <c r="A1004" s="8">
        <v>1003</v>
      </c>
      <c r="B1004" s="8" t="str">
        <f>'Criaturas - Base de Dados'!B169</f>
        <v>Areia Amaldiçoada</v>
      </c>
      <c r="C1004" s="8" t="str">
        <f>'Criaturas - Base de Dados'!C169</f>
        <v>Morte</v>
      </c>
      <c r="D1004" s="8" t="str">
        <f>'Criaturas - Base de Dados'!D169</f>
        <v>Ushabti Animado</v>
      </c>
      <c r="E1004" s="8" t="str">
        <f>'Sistema de Raridade e Evolução'!B2</f>
        <v>Default</v>
      </c>
      <c r="F1004" s="9" t="e">
        <f>ROUND(('Criaturas - Base de Dados'!H169*'Sistema de Raridade e Evolução'!E2)*1000,2)</f>
        <v>#VALUE!</v>
      </c>
      <c r="G1004" s="8" t="e">
        <f>ROUND('Criaturas - Base de Dados'!I169*'Sistema de Raridade e Evolução'!E2,0)</f>
        <v>#VALUE!</v>
      </c>
      <c r="H1004" s="8" t="e">
        <f>ROUND('Criaturas - Base de Dados'!J169*'Sistema de Raridade e Evolução'!E2,0)</f>
        <v>#VALUE!</v>
      </c>
      <c r="I1004" s="8" t="e">
        <f>ROUND('Criaturas - Base de Dados'!K169*'Sistema de Raridade e Evolução'!E2,0)</f>
        <v>#VALUE!</v>
      </c>
      <c r="J1004" s="8">
        <f>'Sistema de Raridade e Evolução'!D2</f>
        <v>1</v>
      </c>
      <c r="K1004" s="8" t="s">
        <v>8</v>
      </c>
      <c r="L1004" s="9" t="e">
        <f t="shared" si="15"/>
        <v>#VALUE!</v>
      </c>
    </row>
    <row r="1005" spans="1:12" ht="14.25" hidden="1" customHeight="1" x14ac:dyDescent="0.3">
      <c r="A1005" s="8">
        <v>1004</v>
      </c>
      <c r="B1005" s="8" t="str">
        <f>'Criaturas - Base de Dados'!B169</f>
        <v>Areia Amaldiçoada</v>
      </c>
      <c r="C1005" s="8" t="str">
        <f>'Criaturas - Base de Dados'!C169</f>
        <v>Morte</v>
      </c>
      <c r="D1005" s="8" t="str">
        <f>'Criaturas - Base de Dados'!D169</f>
        <v>Ushabti Animado</v>
      </c>
      <c r="E1005" s="8" t="str">
        <f>'Sistema de Raridade e Evolução'!B3</f>
        <v>Bronze</v>
      </c>
      <c r="F1005" s="9">
        <f>ROUND(('Criaturas - Base de Dados'!H169*'Sistema de Raridade e Evolução'!E3)*1000,2)</f>
        <v>22000</v>
      </c>
      <c r="G1005" s="8">
        <f>ROUND('Criaturas - Base de Dados'!I169*'Sistema de Raridade e Evolução'!E3,0)</f>
        <v>13</v>
      </c>
      <c r="H1005" s="8">
        <f>ROUND('Criaturas - Base de Dados'!J169*'Sistema de Raridade e Evolução'!E3,0)</f>
        <v>11</v>
      </c>
      <c r="I1005" s="8">
        <f>ROUND('Criaturas - Base de Dados'!K169*'Sistema de Raridade e Evolução'!E3,0)</f>
        <v>70</v>
      </c>
      <c r="J1005" s="8">
        <f>'Sistema de Raridade e Evolução'!D3</f>
        <v>6</v>
      </c>
      <c r="K1005" s="8" t="s">
        <v>9</v>
      </c>
      <c r="L1005" s="9">
        <f t="shared" si="15"/>
        <v>52380.95</v>
      </c>
    </row>
    <row r="1006" spans="1:12" ht="14.25" hidden="1" customHeight="1" x14ac:dyDescent="0.3">
      <c r="A1006" s="8">
        <v>1005</v>
      </c>
      <c r="B1006" s="8" t="str">
        <f>'Criaturas - Base de Dados'!B169</f>
        <v>Areia Amaldiçoada</v>
      </c>
      <c r="C1006" s="8" t="str">
        <f>'Criaturas - Base de Dados'!C169</f>
        <v>Morte</v>
      </c>
      <c r="D1006" s="8" t="str">
        <f>'Criaturas - Base de Dados'!D169</f>
        <v>Ushabti Animado</v>
      </c>
      <c r="E1006" s="8" t="str">
        <f>'Sistema de Raridade e Evolução'!B4</f>
        <v>Prata</v>
      </c>
      <c r="F1006" s="9">
        <f>ROUND(('Criaturas - Base de Dados'!H169*'Sistema de Raridade e Evolução'!E4)*1000,2)</f>
        <v>132000</v>
      </c>
      <c r="G1006" s="8">
        <f>ROUND('Criaturas - Base de Dados'!I169*'Sistema de Raridade e Evolução'!E4,0)</f>
        <v>78</v>
      </c>
      <c r="H1006" s="8">
        <f>ROUND('Criaturas - Base de Dados'!J169*'Sistema de Raridade e Evolução'!E4,0)</f>
        <v>66</v>
      </c>
      <c r="I1006" s="8">
        <f>ROUND('Criaturas - Base de Dados'!K169*'Sistema de Raridade e Evolução'!E4,0)</f>
        <v>420</v>
      </c>
      <c r="J1006" s="8">
        <f>'Sistema de Raridade e Evolução'!D4</f>
        <v>16</v>
      </c>
      <c r="K1006" s="8" t="s">
        <v>10</v>
      </c>
      <c r="L1006" s="9">
        <f t="shared" si="15"/>
        <v>314285.71000000002</v>
      </c>
    </row>
    <row r="1007" spans="1:12" ht="14.25" hidden="1" customHeight="1" x14ac:dyDescent="0.3">
      <c r="A1007" s="8">
        <v>1006</v>
      </c>
      <c r="B1007" s="8" t="str">
        <f>'Criaturas - Base de Dados'!B169</f>
        <v>Areia Amaldiçoada</v>
      </c>
      <c r="C1007" s="8" t="str">
        <f>'Criaturas - Base de Dados'!C169</f>
        <v>Morte</v>
      </c>
      <c r="D1007" s="8" t="str">
        <f>'Criaturas - Base de Dados'!D169</f>
        <v>Ushabti Animado</v>
      </c>
      <c r="E1007" s="8" t="str">
        <f>'Sistema de Raridade e Evolução'!B5</f>
        <v>Ouro</v>
      </c>
      <c r="F1007" s="9">
        <f>ROUND(('Criaturas - Base de Dados'!H169*'Sistema de Raridade e Evolução'!E5)*1000,2)</f>
        <v>396000</v>
      </c>
      <c r="G1007" s="8">
        <f>ROUND('Criaturas - Base de Dados'!I169*'Sistema de Raridade e Evolução'!E5,0)</f>
        <v>234</v>
      </c>
      <c r="H1007" s="8">
        <f>ROUND('Criaturas - Base de Dados'!J169*'Sistema de Raridade e Evolução'!E5,0)</f>
        <v>198</v>
      </c>
      <c r="I1007" s="8">
        <f>ROUND('Criaturas - Base de Dados'!K169*'Sistema de Raridade e Evolução'!E5,0)</f>
        <v>1260</v>
      </c>
      <c r="J1007" s="8">
        <f>'Sistema de Raridade e Evolução'!D5</f>
        <v>31</v>
      </c>
      <c r="K1007" s="8" t="s">
        <v>11</v>
      </c>
      <c r="L1007" s="9">
        <f t="shared" si="15"/>
        <v>942857.14</v>
      </c>
    </row>
    <row r="1008" spans="1:12" ht="14.25" hidden="1" customHeight="1" x14ac:dyDescent="0.3">
      <c r="A1008" s="8">
        <v>1007</v>
      </c>
      <c r="B1008" s="8" t="str">
        <f>'Criaturas - Base de Dados'!B169</f>
        <v>Areia Amaldiçoada</v>
      </c>
      <c r="C1008" s="8" t="str">
        <f>'Criaturas - Base de Dados'!C169</f>
        <v>Morte</v>
      </c>
      <c r="D1008" s="8" t="str">
        <f>'Criaturas - Base de Dados'!D169</f>
        <v>Ushabti Animado</v>
      </c>
      <c r="E1008" s="8" t="str">
        <f>'Sistema de Raridade e Evolução'!B6</f>
        <v>Platina</v>
      </c>
      <c r="F1008" s="9">
        <f>ROUND(('Criaturas - Base de Dados'!H169*'Sistema de Raridade e Evolução'!E6)*1000,2)</f>
        <v>1100000</v>
      </c>
      <c r="G1008" s="8">
        <f>ROUND('Criaturas - Base de Dados'!I169*'Sistema de Raridade e Evolução'!E6,0)</f>
        <v>650</v>
      </c>
      <c r="H1008" s="8">
        <f>ROUND('Criaturas - Base de Dados'!J169*'Sistema de Raridade e Evolução'!E6,0)</f>
        <v>550</v>
      </c>
      <c r="I1008" s="8">
        <f>ROUND('Criaturas - Base de Dados'!K169*'Sistema de Raridade e Evolução'!E6,0)</f>
        <v>3500</v>
      </c>
      <c r="J1008" s="8">
        <f>'Sistema de Raridade e Evolução'!D6</f>
        <v>56</v>
      </c>
      <c r="K1008" s="8" t="s">
        <v>12</v>
      </c>
      <c r="L1008" s="9">
        <f t="shared" si="15"/>
        <v>2619047.62</v>
      </c>
    </row>
    <row r="1009" spans="1:12" ht="14.25" hidden="1" customHeight="1" x14ac:dyDescent="0.3">
      <c r="A1009" s="8">
        <v>1008</v>
      </c>
      <c r="B1009" s="8" t="str">
        <f>'Criaturas - Base de Dados'!B169</f>
        <v>Areia Amaldiçoada</v>
      </c>
      <c r="C1009" s="8" t="str">
        <f>'Criaturas - Base de Dados'!C169</f>
        <v>Morte</v>
      </c>
      <c r="D1009" s="8" t="str">
        <f>'Criaturas - Base de Dados'!D169</f>
        <v>Ushabti Animado</v>
      </c>
      <c r="E1009" s="8" t="str">
        <f>'Sistema de Raridade e Evolução'!B7</f>
        <v>Lendário</v>
      </c>
      <c r="F1009" s="9">
        <f>ROUND(('Criaturas - Base de Dados'!H169*'Sistema de Raridade e Evolução'!E7)*1000,2)</f>
        <v>3300000</v>
      </c>
      <c r="G1009" s="8">
        <f>ROUND('Criaturas - Base de Dados'!I169*'Sistema de Raridade e Evolução'!E7,0)</f>
        <v>1950</v>
      </c>
      <c r="H1009" s="8">
        <f>ROUND('Criaturas - Base de Dados'!J169*'Sistema de Raridade e Evolução'!E7,0)</f>
        <v>1650</v>
      </c>
      <c r="I1009" s="8">
        <f>ROUND('Criaturas - Base de Dados'!K169*'Sistema de Raridade e Evolução'!E7,0)</f>
        <v>10500</v>
      </c>
      <c r="J1009" s="8">
        <f>'Sistema de Raridade e Evolução'!D7</f>
        <v>91</v>
      </c>
      <c r="K1009" s="8" t="s">
        <v>925</v>
      </c>
      <c r="L1009" s="9">
        <f t="shared" si="15"/>
        <v>7857142.8600000003</v>
      </c>
    </row>
    <row r="1010" spans="1:12" ht="14.25" customHeight="1" x14ac:dyDescent="0.3">
      <c r="A1010" s="8">
        <v>1009</v>
      </c>
      <c r="B1010" s="8" t="str">
        <f>'Criaturas - Base de Dados'!B170</f>
        <v>Areia Amaldiçoada</v>
      </c>
      <c r="C1010" s="8" t="str">
        <f>'Criaturas - Base de Dados'!C170</f>
        <v>Morte</v>
      </c>
      <c r="D1010" s="8" t="str">
        <f>'Criaturas - Base de Dados'!D170</f>
        <v>Ghoul das Dunas</v>
      </c>
      <c r="E1010" s="8" t="str">
        <f>'Sistema de Raridade e Evolução'!B2</f>
        <v>Default</v>
      </c>
      <c r="F1010" s="9" t="e">
        <f>ROUND(('Criaturas - Base de Dados'!H170*'Sistema de Raridade e Evolução'!E2)*1000,2)</f>
        <v>#VALUE!</v>
      </c>
      <c r="G1010" s="8" t="e">
        <f>ROUND('Criaturas - Base de Dados'!I170*'Sistema de Raridade e Evolução'!E2,0)</f>
        <v>#VALUE!</v>
      </c>
      <c r="H1010" s="8" t="e">
        <f>ROUND('Criaturas - Base de Dados'!J170*'Sistema de Raridade e Evolução'!E2,0)</f>
        <v>#VALUE!</v>
      </c>
      <c r="I1010" s="8" t="e">
        <f>ROUND('Criaturas - Base de Dados'!K170*'Sistema de Raridade e Evolução'!E2,0)</f>
        <v>#VALUE!</v>
      </c>
      <c r="J1010" s="8">
        <f>'Sistema de Raridade e Evolução'!D2</f>
        <v>1</v>
      </c>
      <c r="K1010" s="8" t="s">
        <v>8</v>
      </c>
      <c r="L1010" s="9" t="e">
        <f t="shared" si="15"/>
        <v>#VALUE!</v>
      </c>
    </row>
    <row r="1011" spans="1:12" ht="14.25" hidden="1" customHeight="1" x14ac:dyDescent="0.3">
      <c r="A1011" s="8">
        <v>1010</v>
      </c>
      <c r="B1011" s="8" t="str">
        <f>'Criaturas - Base de Dados'!B170</f>
        <v>Areia Amaldiçoada</v>
      </c>
      <c r="C1011" s="8" t="str">
        <f>'Criaturas - Base de Dados'!C170</f>
        <v>Morte</v>
      </c>
      <c r="D1011" s="8" t="str">
        <f>'Criaturas - Base de Dados'!D170</f>
        <v>Ghoul das Dunas</v>
      </c>
      <c r="E1011" s="8" t="str">
        <f>'Sistema de Raridade e Evolução'!B3</f>
        <v>Bronze</v>
      </c>
      <c r="F1011" s="9">
        <f>ROUND(('Criaturas - Base de Dados'!H170*'Sistema de Raridade e Evolução'!E3)*1000,2)</f>
        <v>24000</v>
      </c>
      <c r="G1011" s="8">
        <f>ROUND('Criaturas - Base de Dados'!I170*'Sistema de Raridade e Evolução'!E3,0)</f>
        <v>14</v>
      </c>
      <c r="H1011" s="8">
        <f>ROUND('Criaturas - Base de Dados'!J170*'Sistema de Raridade e Evolução'!E3,0)</f>
        <v>12</v>
      </c>
      <c r="I1011" s="8">
        <f>ROUND('Criaturas - Base de Dados'!K170*'Sistema de Raridade e Evolução'!E3,0)</f>
        <v>77</v>
      </c>
      <c r="J1011" s="8">
        <f>'Sistema de Raridade e Evolução'!D3</f>
        <v>6</v>
      </c>
      <c r="K1011" s="8" t="s">
        <v>9</v>
      </c>
      <c r="L1011" s="9">
        <f t="shared" si="15"/>
        <v>57142.86</v>
      </c>
    </row>
    <row r="1012" spans="1:12" ht="14.25" hidden="1" customHeight="1" x14ac:dyDescent="0.3">
      <c r="A1012" s="8">
        <v>1011</v>
      </c>
      <c r="B1012" s="8" t="str">
        <f>'Criaturas - Base de Dados'!B170</f>
        <v>Areia Amaldiçoada</v>
      </c>
      <c r="C1012" s="8" t="str">
        <f>'Criaturas - Base de Dados'!C170</f>
        <v>Morte</v>
      </c>
      <c r="D1012" s="8" t="str">
        <f>'Criaturas - Base de Dados'!D170</f>
        <v>Ghoul das Dunas</v>
      </c>
      <c r="E1012" s="8" t="str">
        <f>'Sistema de Raridade e Evolução'!B4</f>
        <v>Prata</v>
      </c>
      <c r="F1012" s="9">
        <f>ROUND(('Criaturas - Base de Dados'!H170*'Sistema de Raridade e Evolução'!E4)*1000,2)</f>
        <v>144000</v>
      </c>
      <c r="G1012" s="8">
        <f>ROUND('Criaturas - Base de Dados'!I170*'Sistema de Raridade e Evolução'!E4,0)</f>
        <v>84</v>
      </c>
      <c r="H1012" s="8">
        <f>ROUND('Criaturas - Base de Dados'!J170*'Sistema de Raridade e Evolução'!E4,0)</f>
        <v>72</v>
      </c>
      <c r="I1012" s="8">
        <f>ROUND('Criaturas - Base de Dados'!K170*'Sistema de Raridade e Evolução'!E4,0)</f>
        <v>462</v>
      </c>
      <c r="J1012" s="8">
        <f>'Sistema de Raridade e Evolução'!D4</f>
        <v>16</v>
      </c>
      <c r="K1012" s="8" t="s">
        <v>10</v>
      </c>
      <c r="L1012" s="9">
        <f t="shared" si="15"/>
        <v>342857.14</v>
      </c>
    </row>
    <row r="1013" spans="1:12" ht="14.25" hidden="1" customHeight="1" x14ac:dyDescent="0.3">
      <c r="A1013" s="8">
        <v>1012</v>
      </c>
      <c r="B1013" s="8" t="str">
        <f>'Criaturas - Base de Dados'!B170</f>
        <v>Areia Amaldiçoada</v>
      </c>
      <c r="C1013" s="8" t="str">
        <f>'Criaturas - Base de Dados'!C170</f>
        <v>Morte</v>
      </c>
      <c r="D1013" s="8" t="str">
        <f>'Criaturas - Base de Dados'!D170</f>
        <v>Ghoul das Dunas</v>
      </c>
      <c r="E1013" s="8" t="str">
        <f>'Sistema de Raridade e Evolução'!B5</f>
        <v>Ouro</v>
      </c>
      <c r="F1013" s="9">
        <f>ROUND(('Criaturas - Base de Dados'!H170*'Sistema de Raridade e Evolução'!E5)*1000,2)</f>
        <v>432000</v>
      </c>
      <c r="G1013" s="8">
        <f>ROUND('Criaturas - Base de Dados'!I170*'Sistema de Raridade e Evolução'!E5,0)</f>
        <v>252</v>
      </c>
      <c r="H1013" s="8">
        <f>ROUND('Criaturas - Base de Dados'!J170*'Sistema de Raridade e Evolução'!E5,0)</f>
        <v>216</v>
      </c>
      <c r="I1013" s="8">
        <f>ROUND('Criaturas - Base de Dados'!K170*'Sistema de Raridade e Evolução'!E5,0)</f>
        <v>1386</v>
      </c>
      <c r="J1013" s="8">
        <f>'Sistema de Raridade e Evolução'!D5</f>
        <v>31</v>
      </c>
      <c r="K1013" s="8" t="s">
        <v>11</v>
      </c>
      <c r="L1013" s="9">
        <f t="shared" si="15"/>
        <v>1028571.43</v>
      </c>
    </row>
    <row r="1014" spans="1:12" ht="14.25" hidden="1" customHeight="1" x14ac:dyDescent="0.3">
      <c r="A1014" s="8">
        <v>1013</v>
      </c>
      <c r="B1014" s="8" t="str">
        <f>'Criaturas - Base de Dados'!B170</f>
        <v>Areia Amaldiçoada</v>
      </c>
      <c r="C1014" s="8" t="str">
        <f>'Criaturas - Base de Dados'!C170</f>
        <v>Morte</v>
      </c>
      <c r="D1014" s="8" t="str">
        <f>'Criaturas - Base de Dados'!D170</f>
        <v>Ghoul das Dunas</v>
      </c>
      <c r="E1014" s="8" t="str">
        <f>'Sistema de Raridade e Evolução'!B6</f>
        <v>Platina</v>
      </c>
      <c r="F1014" s="9">
        <f>ROUND(('Criaturas - Base de Dados'!H170*'Sistema de Raridade e Evolução'!E6)*1000,2)</f>
        <v>1200000</v>
      </c>
      <c r="G1014" s="8">
        <f>ROUND('Criaturas - Base de Dados'!I170*'Sistema de Raridade e Evolução'!E6,0)</f>
        <v>700</v>
      </c>
      <c r="H1014" s="8">
        <f>ROUND('Criaturas - Base de Dados'!J170*'Sistema de Raridade e Evolução'!E6,0)</f>
        <v>600</v>
      </c>
      <c r="I1014" s="8">
        <f>ROUND('Criaturas - Base de Dados'!K170*'Sistema de Raridade e Evolução'!E6,0)</f>
        <v>3850</v>
      </c>
      <c r="J1014" s="8">
        <f>'Sistema de Raridade e Evolução'!D6</f>
        <v>56</v>
      </c>
      <c r="K1014" s="8" t="s">
        <v>12</v>
      </c>
      <c r="L1014" s="9">
        <f t="shared" si="15"/>
        <v>2857142.86</v>
      </c>
    </row>
    <row r="1015" spans="1:12" ht="14.25" hidden="1" customHeight="1" x14ac:dyDescent="0.3">
      <c r="A1015" s="8">
        <v>1014</v>
      </c>
      <c r="B1015" s="8" t="str">
        <f>'Criaturas - Base de Dados'!B170</f>
        <v>Areia Amaldiçoada</v>
      </c>
      <c r="C1015" s="8" t="str">
        <f>'Criaturas - Base de Dados'!C170</f>
        <v>Morte</v>
      </c>
      <c r="D1015" s="8" t="str">
        <f>'Criaturas - Base de Dados'!D170</f>
        <v>Ghoul das Dunas</v>
      </c>
      <c r="E1015" s="8" t="str">
        <f>'Sistema de Raridade e Evolução'!B7</f>
        <v>Lendário</v>
      </c>
      <c r="F1015" s="9">
        <f>ROUND(('Criaturas - Base de Dados'!H170*'Sistema de Raridade e Evolução'!E7)*1000,2)</f>
        <v>3600000</v>
      </c>
      <c r="G1015" s="8">
        <f>ROUND('Criaturas - Base de Dados'!I170*'Sistema de Raridade e Evolução'!E7,0)</f>
        <v>2100</v>
      </c>
      <c r="H1015" s="8">
        <f>ROUND('Criaturas - Base de Dados'!J170*'Sistema de Raridade e Evolução'!E7,0)</f>
        <v>1800</v>
      </c>
      <c r="I1015" s="8">
        <f>ROUND('Criaturas - Base de Dados'!K170*'Sistema de Raridade e Evolução'!E7,0)</f>
        <v>11550</v>
      </c>
      <c r="J1015" s="8">
        <f>'Sistema de Raridade e Evolução'!D7</f>
        <v>91</v>
      </c>
      <c r="K1015" s="8" t="s">
        <v>925</v>
      </c>
      <c r="L1015" s="9">
        <f t="shared" si="15"/>
        <v>8571428.5700000003</v>
      </c>
    </row>
    <row r="1016" spans="1:12" ht="14.25" customHeight="1" x14ac:dyDescent="0.3">
      <c r="A1016" s="8">
        <v>1015</v>
      </c>
      <c r="B1016" s="8" t="str">
        <f>'Criaturas - Base de Dados'!B171</f>
        <v>Areia Amaldiçoada</v>
      </c>
      <c r="C1016" s="8" t="str">
        <f>'Criaturas - Base de Dados'!C171</f>
        <v>Morte</v>
      </c>
      <c r="D1016" s="8" t="str">
        <f>'Criaturas - Base de Dados'!D171</f>
        <v>Djinn da Areia</v>
      </c>
      <c r="E1016" s="8" t="str">
        <f>'Sistema de Raridade e Evolução'!B2</f>
        <v>Default</v>
      </c>
      <c r="F1016" s="9" t="e">
        <f>ROUND(('Criaturas - Base de Dados'!H171*'Sistema de Raridade e Evolução'!E2)*1000,2)</f>
        <v>#VALUE!</v>
      </c>
      <c r="G1016" s="8" t="e">
        <f>ROUND('Criaturas - Base de Dados'!I171*'Sistema de Raridade e Evolução'!E2,0)</f>
        <v>#VALUE!</v>
      </c>
      <c r="H1016" s="8" t="e">
        <f>ROUND('Criaturas - Base de Dados'!J171*'Sistema de Raridade e Evolução'!E2,0)</f>
        <v>#VALUE!</v>
      </c>
      <c r="I1016" s="8" t="e">
        <f>ROUND('Criaturas - Base de Dados'!K171*'Sistema de Raridade e Evolução'!E2,0)</f>
        <v>#VALUE!</v>
      </c>
      <c r="J1016" s="8">
        <f>'Sistema de Raridade e Evolução'!D2</f>
        <v>1</v>
      </c>
      <c r="K1016" s="8" t="s">
        <v>8</v>
      </c>
      <c r="L1016" s="9" t="e">
        <f t="shared" si="15"/>
        <v>#VALUE!</v>
      </c>
    </row>
    <row r="1017" spans="1:12" ht="14.25" hidden="1" customHeight="1" x14ac:dyDescent="0.3">
      <c r="A1017" s="8">
        <v>1016</v>
      </c>
      <c r="B1017" s="8" t="str">
        <f>'Criaturas - Base de Dados'!B171</f>
        <v>Areia Amaldiçoada</v>
      </c>
      <c r="C1017" s="8" t="str">
        <f>'Criaturas - Base de Dados'!C171</f>
        <v>Morte</v>
      </c>
      <c r="D1017" s="8" t="str">
        <f>'Criaturas - Base de Dados'!D171</f>
        <v>Djinn da Areia</v>
      </c>
      <c r="E1017" s="8" t="str">
        <f>'Sistema de Raridade e Evolução'!B3</f>
        <v>Bronze</v>
      </c>
      <c r="F1017" s="9">
        <f>ROUND(('Criaturas - Base de Dados'!H171*'Sistema de Raridade e Evolução'!E3)*1000,2)</f>
        <v>26000</v>
      </c>
      <c r="G1017" s="8">
        <f>ROUND('Criaturas - Base de Dados'!I171*'Sistema de Raridade e Evolução'!E3,0)</f>
        <v>16</v>
      </c>
      <c r="H1017" s="8">
        <f>ROUND('Criaturas - Base de Dados'!J171*'Sistema de Raridade e Evolução'!E3,0)</f>
        <v>13</v>
      </c>
      <c r="I1017" s="8">
        <f>ROUND('Criaturas - Base de Dados'!K171*'Sistema de Raridade e Evolução'!E3,0)</f>
        <v>83</v>
      </c>
      <c r="J1017" s="8">
        <f>'Sistema de Raridade e Evolução'!D3</f>
        <v>6</v>
      </c>
      <c r="K1017" s="8" t="s">
        <v>9</v>
      </c>
      <c r="L1017" s="9">
        <f t="shared" si="15"/>
        <v>61904.76</v>
      </c>
    </row>
    <row r="1018" spans="1:12" ht="14.25" hidden="1" customHeight="1" x14ac:dyDescent="0.3">
      <c r="A1018" s="8">
        <v>1017</v>
      </c>
      <c r="B1018" s="8" t="str">
        <f>'Criaturas - Base de Dados'!B171</f>
        <v>Areia Amaldiçoada</v>
      </c>
      <c r="C1018" s="8" t="str">
        <f>'Criaturas - Base de Dados'!C171</f>
        <v>Morte</v>
      </c>
      <c r="D1018" s="8" t="str">
        <f>'Criaturas - Base de Dados'!D171</f>
        <v>Djinn da Areia</v>
      </c>
      <c r="E1018" s="8" t="str">
        <f>'Sistema de Raridade e Evolução'!B4</f>
        <v>Prata</v>
      </c>
      <c r="F1018" s="9">
        <f>ROUND(('Criaturas - Base de Dados'!H171*'Sistema de Raridade e Evolução'!E4)*1000,2)</f>
        <v>156000</v>
      </c>
      <c r="G1018" s="8">
        <f>ROUND('Criaturas - Base de Dados'!I171*'Sistema de Raridade e Evolução'!E4,0)</f>
        <v>96</v>
      </c>
      <c r="H1018" s="8">
        <f>ROUND('Criaturas - Base de Dados'!J171*'Sistema de Raridade e Evolução'!E4,0)</f>
        <v>78</v>
      </c>
      <c r="I1018" s="8">
        <f>ROUND('Criaturas - Base de Dados'!K171*'Sistema de Raridade e Evolução'!E4,0)</f>
        <v>498</v>
      </c>
      <c r="J1018" s="8">
        <f>'Sistema de Raridade e Evolução'!D4</f>
        <v>16</v>
      </c>
      <c r="K1018" s="8" t="s">
        <v>10</v>
      </c>
      <c r="L1018" s="9">
        <f t="shared" si="15"/>
        <v>371428.57</v>
      </c>
    </row>
    <row r="1019" spans="1:12" ht="14.25" hidden="1" customHeight="1" x14ac:dyDescent="0.3">
      <c r="A1019" s="8">
        <v>1018</v>
      </c>
      <c r="B1019" s="8" t="str">
        <f>'Criaturas - Base de Dados'!B171</f>
        <v>Areia Amaldiçoada</v>
      </c>
      <c r="C1019" s="8" t="str">
        <f>'Criaturas - Base de Dados'!C171</f>
        <v>Morte</v>
      </c>
      <c r="D1019" s="8" t="str">
        <f>'Criaturas - Base de Dados'!D171</f>
        <v>Djinn da Areia</v>
      </c>
      <c r="E1019" s="8" t="str">
        <f>'Sistema de Raridade e Evolução'!B5</f>
        <v>Ouro</v>
      </c>
      <c r="F1019" s="9">
        <f>ROUND(('Criaturas - Base de Dados'!H171*'Sistema de Raridade e Evolução'!E5)*1000,2)</f>
        <v>468000</v>
      </c>
      <c r="G1019" s="8">
        <f>ROUND('Criaturas - Base de Dados'!I171*'Sistema de Raridade e Evolução'!E5,0)</f>
        <v>288</v>
      </c>
      <c r="H1019" s="8">
        <f>ROUND('Criaturas - Base de Dados'!J171*'Sistema de Raridade e Evolução'!E5,0)</f>
        <v>234</v>
      </c>
      <c r="I1019" s="8">
        <f>ROUND('Criaturas - Base de Dados'!K171*'Sistema de Raridade e Evolução'!E5,0)</f>
        <v>1494</v>
      </c>
      <c r="J1019" s="8">
        <f>'Sistema de Raridade e Evolução'!D5</f>
        <v>31</v>
      </c>
      <c r="K1019" s="8" t="s">
        <v>11</v>
      </c>
      <c r="L1019" s="9">
        <f t="shared" si="15"/>
        <v>1114285.71</v>
      </c>
    </row>
    <row r="1020" spans="1:12" ht="14.25" hidden="1" customHeight="1" x14ac:dyDescent="0.3">
      <c r="A1020" s="8">
        <v>1019</v>
      </c>
      <c r="B1020" s="8" t="str">
        <f>'Criaturas - Base de Dados'!B171</f>
        <v>Areia Amaldiçoada</v>
      </c>
      <c r="C1020" s="8" t="str">
        <f>'Criaturas - Base de Dados'!C171</f>
        <v>Morte</v>
      </c>
      <c r="D1020" s="8" t="str">
        <f>'Criaturas - Base de Dados'!D171</f>
        <v>Djinn da Areia</v>
      </c>
      <c r="E1020" s="8" t="str">
        <f>'Sistema de Raridade e Evolução'!B6</f>
        <v>Platina</v>
      </c>
      <c r="F1020" s="9">
        <f>ROUND(('Criaturas - Base de Dados'!H171*'Sistema de Raridade e Evolução'!E6)*1000,2)</f>
        <v>1300000</v>
      </c>
      <c r="G1020" s="8">
        <f>ROUND('Criaturas - Base de Dados'!I171*'Sistema de Raridade e Evolução'!E6,0)</f>
        <v>800</v>
      </c>
      <c r="H1020" s="8">
        <f>ROUND('Criaturas - Base de Dados'!J171*'Sistema de Raridade e Evolução'!E6,0)</f>
        <v>650</v>
      </c>
      <c r="I1020" s="8">
        <f>ROUND('Criaturas - Base de Dados'!K171*'Sistema de Raridade e Evolução'!E6,0)</f>
        <v>4150</v>
      </c>
      <c r="J1020" s="8">
        <f>'Sistema de Raridade e Evolução'!D6</f>
        <v>56</v>
      </c>
      <c r="K1020" s="8" t="s">
        <v>12</v>
      </c>
      <c r="L1020" s="9">
        <f t="shared" si="15"/>
        <v>3095238.1</v>
      </c>
    </row>
    <row r="1021" spans="1:12" ht="14.25" hidden="1" customHeight="1" x14ac:dyDescent="0.3">
      <c r="A1021" s="8">
        <v>1020</v>
      </c>
      <c r="B1021" s="8" t="str">
        <f>'Criaturas - Base de Dados'!B171</f>
        <v>Areia Amaldiçoada</v>
      </c>
      <c r="C1021" s="8" t="str">
        <f>'Criaturas - Base de Dados'!C171</f>
        <v>Morte</v>
      </c>
      <c r="D1021" s="8" t="str">
        <f>'Criaturas - Base de Dados'!D171</f>
        <v>Djinn da Areia</v>
      </c>
      <c r="E1021" s="8" t="str">
        <f>'Sistema de Raridade e Evolução'!B7</f>
        <v>Lendário</v>
      </c>
      <c r="F1021" s="9">
        <f>ROUND(('Criaturas - Base de Dados'!H171*'Sistema de Raridade e Evolução'!E7)*1000,2)</f>
        <v>3900000</v>
      </c>
      <c r="G1021" s="8">
        <f>ROUND('Criaturas - Base de Dados'!I171*'Sistema de Raridade e Evolução'!E7,0)</f>
        <v>2400</v>
      </c>
      <c r="H1021" s="8">
        <f>ROUND('Criaturas - Base de Dados'!J171*'Sistema de Raridade e Evolução'!E7,0)</f>
        <v>1950</v>
      </c>
      <c r="I1021" s="8">
        <f>ROUND('Criaturas - Base de Dados'!K171*'Sistema de Raridade e Evolução'!E7,0)</f>
        <v>12450</v>
      </c>
      <c r="J1021" s="8">
        <f>'Sistema de Raridade e Evolução'!D7</f>
        <v>91</v>
      </c>
      <c r="K1021" s="8" t="s">
        <v>925</v>
      </c>
      <c r="L1021" s="9">
        <f t="shared" si="15"/>
        <v>9285714.2899999991</v>
      </c>
    </row>
    <row r="1022" spans="1:12" ht="14.25" customHeight="1" x14ac:dyDescent="0.3">
      <c r="A1022" s="8">
        <v>1021</v>
      </c>
      <c r="B1022" s="8" t="str">
        <f>'Criaturas - Base de Dados'!B172</f>
        <v>Areia Amaldiçoada</v>
      </c>
      <c r="C1022" s="8" t="str">
        <f>'Criaturas - Base de Dados'!C172</f>
        <v>Morte</v>
      </c>
      <c r="D1022" s="8" t="str">
        <f>'Criaturas - Base de Dados'!D172</f>
        <v>Basilisco do Deserto</v>
      </c>
      <c r="E1022" s="8" t="str">
        <f>'Sistema de Raridade e Evolução'!B2</f>
        <v>Default</v>
      </c>
      <c r="F1022" s="9" t="e">
        <f>ROUND(('Criaturas - Base de Dados'!H172*'Sistema de Raridade e Evolução'!E2)*1000,2)</f>
        <v>#VALUE!</v>
      </c>
      <c r="G1022" s="8" t="e">
        <f>ROUND('Criaturas - Base de Dados'!I172*'Sistema de Raridade e Evolução'!E2,0)</f>
        <v>#VALUE!</v>
      </c>
      <c r="H1022" s="8" t="e">
        <f>ROUND('Criaturas - Base de Dados'!J172*'Sistema de Raridade e Evolução'!E2,0)</f>
        <v>#VALUE!</v>
      </c>
      <c r="I1022" s="8" t="e">
        <f>ROUND('Criaturas - Base de Dados'!K172*'Sistema de Raridade e Evolução'!E2,0)</f>
        <v>#VALUE!</v>
      </c>
      <c r="J1022" s="8">
        <f>'Sistema de Raridade e Evolução'!D2</f>
        <v>1</v>
      </c>
      <c r="K1022" s="8" t="s">
        <v>8</v>
      </c>
      <c r="L1022" s="9" t="e">
        <f t="shared" si="15"/>
        <v>#VALUE!</v>
      </c>
    </row>
    <row r="1023" spans="1:12" ht="14.25" hidden="1" customHeight="1" x14ac:dyDescent="0.3">
      <c r="A1023" s="8">
        <v>1022</v>
      </c>
      <c r="B1023" s="8" t="str">
        <f>'Criaturas - Base de Dados'!B172</f>
        <v>Areia Amaldiçoada</v>
      </c>
      <c r="C1023" s="8" t="str">
        <f>'Criaturas - Base de Dados'!C172</f>
        <v>Morte</v>
      </c>
      <c r="D1023" s="8" t="str">
        <f>'Criaturas - Base de Dados'!D172</f>
        <v>Basilisco do Deserto</v>
      </c>
      <c r="E1023" s="8" t="str">
        <f>'Sistema de Raridade e Evolução'!B3</f>
        <v>Bronze</v>
      </c>
      <c r="F1023" s="9">
        <f>ROUND(('Criaturas - Base de Dados'!H172*'Sistema de Raridade e Evolução'!E3)*1000,2)</f>
        <v>28000</v>
      </c>
      <c r="G1023" s="8">
        <f>ROUND('Criaturas - Base de Dados'!I172*'Sistema de Raridade e Evolução'!E3,0)</f>
        <v>17</v>
      </c>
      <c r="H1023" s="8">
        <f>ROUND('Criaturas - Base de Dados'!J172*'Sistema de Raridade e Evolução'!E3,0)</f>
        <v>14</v>
      </c>
      <c r="I1023" s="8">
        <f>ROUND('Criaturas - Base de Dados'!K172*'Sistema de Raridade e Evolução'!E3,0)</f>
        <v>90</v>
      </c>
      <c r="J1023" s="8">
        <f>'Sistema de Raridade e Evolução'!D3</f>
        <v>6</v>
      </c>
      <c r="K1023" s="8" t="s">
        <v>9</v>
      </c>
      <c r="L1023" s="9">
        <f t="shared" si="15"/>
        <v>66666.67</v>
      </c>
    </row>
    <row r="1024" spans="1:12" ht="14.25" hidden="1" customHeight="1" x14ac:dyDescent="0.3">
      <c r="A1024" s="8">
        <v>1023</v>
      </c>
      <c r="B1024" s="8" t="str">
        <f>'Criaturas - Base de Dados'!B172</f>
        <v>Areia Amaldiçoada</v>
      </c>
      <c r="C1024" s="8" t="str">
        <f>'Criaturas - Base de Dados'!C172</f>
        <v>Morte</v>
      </c>
      <c r="D1024" s="8" t="str">
        <f>'Criaturas - Base de Dados'!D172</f>
        <v>Basilisco do Deserto</v>
      </c>
      <c r="E1024" s="8" t="str">
        <f>'Sistema de Raridade e Evolução'!B4</f>
        <v>Prata</v>
      </c>
      <c r="F1024" s="9">
        <f>ROUND(('Criaturas - Base de Dados'!H172*'Sistema de Raridade e Evolução'!E4)*1000,2)</f>
        <v>168000</v>
      </c>
      <c r="G1024" s="8">
        <f>ROUND('Criaturas - Base de Dados'!I172*'Sistema de Raridade e Evolução'!E4,0)</f>
        <v>102</v>
      </c>
      <c r="H1024" s="8">
        <f>ROUND('Criaturas - Base de Dados'!J172*'Sistema de Raridade e Evolução'!E4,0)</f>
        <v>84</v>
      </c>
      <c r="I1024" s="8">
        <f>ROUND('Criaturas - Base de Dados'!K172*'Sistema de Raridade e Evolução'!E4,0)</f>
        <v>540</v>
      </c>
      <c r="J1024" s="8">
        <f>'Sistema de Raridade e Evolução'!D4</f>
        <v>16</v>
      </c>
      <c r="K1024" s="8" t="s">
        <v>10</v>
      </c>
      <c r="L1024" s="9">
        <f t="shared" si="15"/>
        <v>400000</v>
      </c>
    </row>
    <row r="1025" spans="1:12" ht="14.25" hidden="1" customHeight="1" x14ac:dyDescent="0.3">
      <c r="A1025" s="8">
        <v>1024</v>
      </c>
      <c r="B1025" s="8" t="str">
        <f>'Criaturas - Base de Dados'!B172</f>
        <v>Areia Amaldiçoada</v>
      </c>
      <c r="C1025" s="8" t="str">
        <f>'Criaturas - Base de Dados'!C172</f>
        <v>Morte</v>
      </c>
      <c r="D1025" s="8" t="str">
        <f>'Criaturas - Base de Dados'!D172</f>
        <v>Basilisco do Deserto</v>
      </c>
      <c r="E1025" s="8" t="str">
        <f>'Sistema de Raridade e Evolução'!B5</f>
        <v>Ouro</v>
      </c>
      <c r="F1025" s="9">
        <f>ROUND(('Criaturas - Base de Dados'!H172*'Sistema de Raridade e Evolução'!E5)*1000,2)</f>
        <v>504000</v>
      </c>
      <c r="G1025" s="8">
        <f>ROUND('Criaturas - Base de Dados'!I172*'Sistema de Raridade e Evolução'!E5,0)</f>
        <v>306</v>
      </c>
      <c r="H1025" s="8">
        <f>ROUND('Criaturas - Base de Dados'!J172*'Sistema de Raridade e Evolução'!E5,0)</f>
        <v>252</v>
      </c>
      <c r="I1025" s="8">
        <f>ROUND('Criaturas - Base de Dados'!K172*'Sistema de Raridade e Evolução'!E5,0)</f>
        <v>1620</v>
      </c>
      <c r="J1025" s="8">
        <f>'Sistema de Raridade e Evolução'!D5</f>
        <v>31</v>
      </c>
      <c r="K1025" s="8" t="s">
        <v>11</v>
      </c>
      <c r="L1025" s="9">
        <f t="shared" si="15"/>
        <v>1200000</v>
      </c>
    </row>
    <row r="1026" spans="1:12" ht="14.25" hidden="1" customHeight="1" x14ac:dyDescent="0.3">
      <c r="A1026" s="8">
        <v>1025</v>
      </c>
      <c r="B1026" s="8" t="str">
        <f>'Criaturas - Base de Dados'!B172</f>
        <v>Areia Amaldiçoada</v>
      </c>
      <c r="C1026" s="8" t="str">
        <f>'Criaturas - Base de Dados'!C172</f>
        <v>Morte</v>
      </c>
      <c r="D1026" s="8" t="str">
        <f>'Criaturas - Base de Dados'!D172</f>
        <v>Basilisco do Deserto</v>
      </c>
      <c r="E1026" s="8" t="str">
        <f>'Sistema de Raridade e Evolução'!B6</f>
        <v>Platina</v>
      </c>
      <c r="F1026" s="9">
        <f>ROUND(('Criaturas - Base de Dados'!H172*'Sistema de Raridade e Evolução'!E6)*1000,2)</f>
        <v>1400000</v>
      </c>
      <c r="G1026" s="8">
        <f>ROUND('Criaturas - Base de Dados'!I172*'Sistema de Raridade e Evolução'!E6,0)</f>
        <v>850</v>
      </c>
      <c r="H1026" s="8">
        <f>ROUND('Criaturas - Base de Dados'!J172*'Sistema de Raridade e Evolução'!E6,0)</f>
        <v>700</v>
      </c>
      <c r="I1026" s="8">
        <f>ROUND('Criaturas - Base de Dados'!K172*'Sistema de Raridade e Evolução'!E6,0)</f>
        <v>4500</v>
      </c>
      <c r="J1026" s="8">
        <f>'Sistema de Raridade e Evolução'!D6</f>
        <v>56</v>
      </c>
      <c r="K1026" s="8" t="s">
        <v>12</v>
      </c>
      <c r="L1026" s="9">
        <f t="shared" ref="L1026:L1089" si="16">ROUND(F1026*(2.5/1.05),2)</f>
        <v>3333333.33</v>
      </c>
    </row>
    <row r="1027" spans="1:12" ht="14.25" hidden="1" customHeight="1" x14ac:dyDescent="0.3">
      <c r="A1027" s="8">
        <v>1026</v>
      </c>
      <c r="B1027" s="8" t="str">
        <f>'Criaturas - Base de Dados'!B172</f>
        <v>Areia Amaldiçoada</v>
      </c>
      <c r="C1027" s="8" t="str">
        <f>'Criaturas - Base de Dados'!C172</f>
        <v>Morte</v>
      </c>
      <c r="D1027" s="8" t="str">
        <f>'Criaturas - Base de Dados'!D172</f>
        <v>Basilisco do Deserto</v>
      </c>
      <c r="E1027" s="8" t="str">
        <f>'Sistema de Raridade e Evolução'!B7</f>
        <v>Lendário</v>
      </c>
      <c r="F1027" s="9">
        <f>ROUND(('Criaturas - Base de Dados'!H172*'Sistema de Raridade e Evolução'!E7)*1000,2)</f>
        <v>4200000</v>
      </c>
      <c r="G1027" s="8">
        <f>ROUND('Criaturas - Base de Dados'!I172*'Sistema de Raridade e Evolução'!E7,0)</f>
        <v>2550</v>
      </c>
      <c r="H1027" s="8">
        <f>ROUND('Criaturas - Base de Dados'!J172*'Sistema de Raridade e Evolução'!E7,0)</f>
        <v>2100</v>
      </c>
      <c r="I1027" s="8">
        <f>ROUND('Criaturas - Base de Dados'!K172*'Sistema de Raridade e Evolução'!E7,0)</f>
        <v>13500</v>
      </c>
      <c r="J1027" s="8">
        <f>'Sistema de Raridade e Evolução'!D7</f>
        <v>91</v>
      </c>
      <c r="K1027" s="8" t="s">
        <v>925</v>
      </c>
      <c r="L1027" s="9">
        <f t="shared" si="16"/>
        <v>10000000</v>
      </c>
    </row>
    <row r="1028" spans="1:12" ht="14.25" customHeight="1" x14ac:dyDescent="0.3">
      <c r="A1028" s="8">
        <v>1027</v>
      </c>
      <c r="B1028" s="8" t="str">
        <f>'Criaturas - Base de Dados'!B173</f>
        <v>Areia Amaldiçoada</v>
      </c>
      <c r="C1028" s="8" t="str">
        <f>'Criaturas - Base de Dados'!C173</f>
        <v>Morte</v>
      </c>
      <c r="D1028" s="8" t="str">
        <f>'Criaturas - Base de Dados'!D173</f>
        <v>Abutre Sagrado</v>
      </c>
      <c r="E1028" s="8" t="str">
        <f>'Sistema de Raridade e Evolução'!B2</f>
        <v>Default</v>
      </c>
      <c r="F1028" s="9" t="e">
        <f>ROUND(('Criaturas - Base de Dados'!H173*'Sistema de Raridade e Evolução'!E2)*1000,2)</f>
        <v>#VALUE!</v>
      </c>
      <c r="G1028" s="8" t="e">
        <f>ROUND('Criaturas - Base de Dados'!I173*'Sistema de Raridade e Evolução'!E2,0)</f>
        <v>#VALUE!</v>
      </c>
      <c r="H1028" s="8" t="e">
        <f>ROUND('Criaturas - Base de Dados'!J173*'Sistema de Raridade e Evolução'!E2,0)</f>
        <v>#VALUE!</v>
      </c>
      <c r="I1028" s="8" t="e">
        <f>ROUND('Criaturas - Base de Dados'!K173*'Sistema de Raridade e Evolução'!E2,0)</f>
        <v>#VALUE!</v>
      </c>
      <c r="J1028" s="8">
        <f>'Sistema de Raridade e Evolução'!D2</f>
        <v>1</v>
      </c>
      <c r="K1028" s="8" t="s">
        <v>8</v>
      </c>
      <c r="L1028" s="9" t="e">
        <f t="shared" si="16"/>
        <v>#VALUE!</v>
      </c>
    </row>
    <row r="1029" spans="1:12" ht="14.25" hidden="1" customHeight="1" x14ac:dyDescent="0.3">
      <c r="A1029" s="8">
        <v>1028</v>
      </c>
      <c r="B1029" s="8" t="str">
        <f>'Criaturas - Base de Dados'!B173</f>
        <v>Areia Amaldiçoada</v>
      </c>
      <c r="C1029" s="8" t="str">
        <f>'Criaturas - Base de Dados'!C173</f>
        <v>Morte</v>
      </c>
      <c r="D1029" s="8" t="str">
        <f>'Criaturas - Base de Dados'!D173</f>
        <v>Abutre Sagrado</v>
      </c>
      <c r="E1029" s="8" t="str">
        <f>'Sistema de Raridade e Evolução'!B3</f>
        <v>Bronze</v>
      </c>
      <c r="F1029" s="9">
        <f>ROUND(('Criaturas - Base de Dados'!H173*'Sistema de Raridade e Evolução'!E3)*1000,2)</f>
        <v>30000</v>
      </c>
      <c r="G1029" s="8">
        <f>ROUND('Criaturas - Base de Dados'!I173*'Sistema de Raridade e Evolução'!E3,0)</f>
        <v>18</v>
      </c>
      <c r="H1029" s="8">
        <f>ROUND('Criaturas - Base de Dados'!J173*'Sistema de Raridade e Evolução'!E3,0)</f>
        <v>15</v>
      </c>
      <c r="I1029" s="8">
        <f>ROUND('Criaturas - Base de Dados'!K173*'Sistema de Raridade e Evolução'!E3,0)</f>
        <v>96</v>
      </c>
      <c r="J1029" s="8">
        <f>'Sistema de Raridade e Evolução'!D3</f>
        <v>6</v>
      </c>
      <c r="K1029" s="8" t="s">
        <v>9</v>
      </c>
      <c r="L1029" s="9">
        <f t="shared" si="16"/>
        <v>71428.570000000007</v>
      </c>
    </row>
    <row r="1030" spans="1:12" ht="14.25" hidden="1" customHeight="1" x14ac:dyDescent="0.3">
      <c r="A1030" s="8">
        <v>1029</v>
      </c>
      <c r="B1030" s="8" t="str">
        <f>'Criaturas - Base de Dados'!B173</f>
        <v>Areia Amaldiçoada</v>
      </c>
      <c r="C1030" s="8" t="str">
        <f>'Criaturas - Base de Dados'!C173</f>
        <v>Morte</v>
      </c>
      <c r="D1030" s="8" t="str">
        <f>'Criaturas - Base de Dados'!D173</f>
        <v>Abutre Sagrado</v>
      </c>
      <c r="E1030" s="8" t="str">
        <f>'Sistema de Raridade e Evolução'!B4</f>
        <v>Prata</v>
      </c>
      <c r="F1030" s="9">
        <f>ROUND(('Criaturas - Base de Dados'!H173*'Sistema de Raridade e Evolução'!E4)*1000,2)</f>
        <v>180000</v>
      </c>
      <c r="G1030" s="8">
        <f>ROUND('Criaturas - Base de Dados'!I173*'Sistema de Raridade e Evolução'!E4,0)</f>
        <v>108</v>
      </c>
      <c r="H1030" s="8">
        <f>ROUND('Criaturas - Base de Dados'!J173*'Sistema de Raridade e Evolução'!E4,0)</f>
        <v>90</v>
      </c>
      <c r="I1030" s="8">
        <f>ROUND('Criaturas - Base de Dados'!K173*'Sistema de Raridade e Evolução'!E4,0)</f>
        <v>576</v>
      </c>
      <c r="J1030" s="8">
        <f>'Sistema de Raridade e Evolução'!D4</f>
        <v>16</v>
      </c>
      <c r="K1030" s="8" t="s">
        <v>10</v>
      </c>
      <c r="L1030" s="9">
        <f t="shared" si="16"/>
        <v>428571.43</v>
      </c>
    </row>
    <row r="1031" spans="1:12" ht="14.25" hidden="1" customHeight="1" x14ac:dyDescent="0.3">
      <c r="A1031" s="8">
        <v>1030</v>
      </c>
      <c r="B1031" s="8" t="str">
        <f>'Criaturas - Base de Dados'!B173</f>
        <v>Areia Amaldiçoada</v>
      </c>
      <c r="C1031" s="8" t="str">
        <f>'Criaturas - Base de Dados'!C173</f>
        <v>Morte</v>
      </c>
      <c r="D1031" s="8" t="str">
        <f>'Criaturas - Base de Dados'!D173</f>
        <v>Abutre Sagrado</v>
      </c>
      <c r="E1031" s="8" t="str">
        <f>'Sistema de Raridade e Evolução'!B5</f>
        <v>Ouro</v>
      </c>
      <c r="F1031" s="9">
        <f>ROUND(('Criaturas - Base de Dados'!H173*'Sistema de Raridade e Evolução'!E5)*1000,2)</f>
        <v>540000</v>
      </c>
      <c r="G1031" s="8">
        <f>ROUND('Criaturas - Base de Dados'!I173*'Sistema de Raridade e Evolução'!E5,0)</f>
        <v>324</v>
      </c>
      <c r="H1031" s="8">
        <f>ROUND('Criaturas - Base de Dados'!J173*'Sistema de Raridade e Evolução'!E5,0)</f>
        <v>270</v>
      </c>
      <c r="I1031" s="8">
        <f>ROUND('Criaturas - Base de Dados'!K173*'Sistema de Raridade e Evolução'!E5,0)</f>
        <v>1728</v>
      </c>
      <c r="J1031" s="8">
        <f>'Sistema de Raridade e Evolução'!D5</f>
        <v>31</v>
      </c>
      <c r="K1031" s="8" t="s">
        <v>11</v>
      </c>
      <c r="L1031" s="9">
        <f t="shared" si="16"/>
        <v>1285714.29</v>
      </c>
    </row>
    <row r="1032" spans="1:12" ht="14.25" hidden="1" customHeight="1" x14ac:dyDescent="0.3">
      <c r="A1032" s="8">
        <v>1031</v>
      </c>
      <c r="B1032" s="8" t="str">
        <f>'Criaturas - Base de Dados'!B173</f>
        <v>Areia Amaldiçoada</v>
      </c>
      <c r="C1032" s="8" t="str">
        <f>'Criaturas - Base de Dados'!C173</f>
        <v>Morte</v>
      </c>
      <c r="D1032" s="8" t="str">
        <f>'Criaturas - Base de Dados'!D173</f>
        <v>Abutre Sagrado</v>
      </c>
      <c r="E1032" s="8" t="str">
        <f>'Sistema de Raridade e Evolução'!B6</f>
        <v>Platina</v>
      </c>
      <c r="F1032" s="9">
        <f>ROUND(('Criaturas - Base de Dados'!H173*'Sistema de Raridade e Evolução'!E6)*1000,2)</f>
        <v>1500000</v>
      </c>
      <c r="G1032" s="8">
        <f>ROUND('Criaturas - Base de Dados'!I173*'Sistema de Raridade e Evolução'!E6,0)</f>
        <v>900</v>
      </c>
      <c r="H1032" s="8">
        <f>ROUND('Criaturas - Base de Dados'!J173*'Sistema de Raridade e Evolução'!E6,0)</f>
        <v>750</v>
      </c>
      <c r="I1032" s="8">
        <f>ROUND('Criaturas - Base de Dados'!K173*'Sistema de Raridade e Evolução'!E6,0)</f>
        <v>4800</v>
      </c>
      <c r="J1032" s="8">
        <f>'Sistema de Raridade e Evolução'!D6</f>
        <v>56</v>
      </c>
      <c r="K1032" s="8" t="s">
        <v>12</v>
      </c>
      <c r="L1032" s="9">
        <f t="shared" si="16"/>
        <v>3571428.57</v>
      </c>
    </row>
    <row r="1033" spans="1:12" ht="14.25" hidden="1" customHeight="1" x14ac:dyDescent="0.3">
      <c r="A1033" s="8">
        <v>1032</v>
      </c>
      <c r="B1033" s="8" t="str">
        <f>'Criaturas - Base de Dados'!B173</f>
        <v>Areia Amaldiçoada</v>
      </c>
      <c r="C1033" s="8" t="str">
        <f>'Criaturas - Base de Dados'!C173</f>
        <v>Morte</v>
      </c>
      <c r="D1033" s="8" t="str">
        <f>'Criaturas - Base de Dados'!D173</f>
        <v>Abutre Sagrado</v>
      </c>
      <c r="E1033" s="8" t="str">
        <f>'Sistema de Raridade e Evolução'!B7</f>
        <v>Lendário</v>
      </c>
      <c r="F1033" s="9">
        <f>ROUND(('Criaturas - Base de Dados'!H173*'Sistema de Raridade e Evolução'!E7)*1000,2)</f>
        <v>4500000</v>
      </c>
      <c r="G1033" s="8">
        <f>ROUND('Criaturas - Base de Dados'!I173*'Sistema de Raridade e Evolução'!E7,0)</f>
        <v>2700</v>
      </c>
      <c r="H1033" s="8">
        <f>ROUND('Criaturas - Base de Dados'!J173*'Sistema de Raridade e Evolução'!E7,0)</f>
        <v>2250</v>
      </c>
      <c r="I1033" s="8">
        <f>ROUND('Criaturas - Base de Dados'!K173*'Sistema de Raridade e Evolução'!E7,0)</f>
        <v>14400</v>
      </c>
      <c r="J1033" s="8">
        <f>'Sistema de Raridade e Evolução'!D7</f>
        <v>91</v>
      </c>
      <c r="K1033" s="8" t="s">
        <v>925</v>
      </c>
      <c r="L1033" s="9">
        <f t="shared" si="16"/>
        <v>10714285.710000001</v>
      </c>
    </row>
    <row r="1034" spans="1:12" ht="14.25" customHeight="1" x14ac:dyDescent="0.3">
      <c r="A1034" s="8">
        <v>1033</v>
      </c>
      <c r="B1034" s="8" t="str">
        <f>'Criaturas - Base de Dados'!B174</f>
        <v>Areia Amaldiçoada</v>
      </c>
      <c r="C1034" s="8" t="str">
        <f>'Criaturas - Base de Dados'!C174</f>
        <v>Morte</v>
      </c>
      <c r="D1034" s="8" t="str">
        <f>'Criaturas - Base de Dados'!D174</f>
        <v>Sarcófago Vivo</v>
      </c>
      <c r="E1034" s="8" t="str">
        <f>'Sistema de Raridade e Evolução'!B2</f>
        <v>Default</v>
      </c>
      <c r="F1034" s="9" t="e">
        <f>ROUND(('Criaturas - Base de Dados'!H174*'Sistema de Raridade e Evolução'!E2)*1000,2)</f>
        <v>#VALUE!</v>
      </c>
      <c r="G1034" s="8" t="e">
        <f>ROUND('Criaturas - Base de Dados'!I174*'Sistema de Raridade e Evolução'!E2,0)</f>
        <v>#VALUE!</v>
      </c>
      <c r="H1034" s="8" t="e">
        <f>ROUND('Criaturas - Base de Dados'!J174*'Sistema de Raridade e Evolução'!E2,0)</f>
        <v>#VALUE!</v>
      </c>
      <c r="I1034" s="8" t="e">
        <f>ROUND('Criaturas - Base de Dados'!K174*'Sistema de Raridade e Evolução'!E2,0)</f>
        <v>#VALUE!</v>
      </c>
      <c r="J1034" s="8">
        <f>'Sistema de Raridade e Evolução'!D2</f>
        <v>1</v>
      </c>
      <c r="K1034" s="8" t="s">
        <v>8</v>
      </c>
      <c r="L1034" s="9" t="e">
        <f t="shared" si="16"/>
        <v>#VALUE!</v>
      </c>
    </row>
    <row r="1035" spans="1:12" ht="14.25" hidden="1" customHeight="1" x14ac:dyDescent="0.3">
      <c r="A1035" s="8">
        <v>1034</v>
      </c>
      <c r="B1035" s="8" t="str">
        <f>'Criaturas - Base de Dados'!B174</f>
        <v>Areia Amaldiçoada</v>
      </c>
      <c r="C1035" s="8" t="str">
        <f>'Criaturas - Base de Dados'!C174</f>
        <v>Morte</v>
      </c>
      <c r="D1035" s="8" t="str">
        <f>'Criaturas - Base de Dados'!D174</f>
        <v>Sarcófago Vivo</v>
      </c>
      <c r="E1035" s="8" t="str">
        <f>'Sistema de Raridade e Evolução'!B3</f>
        <v>Bronze</v>
      </c>
      <c r="F1035" s="9">
        <f>ROUND(('Criaturas - Base de Dados'!H174*'Sistema de Raridade e Evolução'!E3)*1000,2)</f>
        <v>34000</v>
      </c>
      <c r="G1035" s="8">
        <f>ROUND('Criaturas - Base de Dados'!I174*'Sistema de Raridade e Evolução'!E3,0)</f>
        <v>20</v>
      </c>
      <c r="H1035" s="8">
        <f>ROUND('Criaturas - Base de Dados'!J174*'Sistema de Raridade e Evolução'!E3,0)</f>
        <v>17</v>
      </c>
      <c r="I1035" s="8">
        <f>ROUND('Criaturas - Base de Dados'!K174*'Sistema de Raridade e Evolução'!E3,0)</f>
        <v>109</v>
      </c>
      <c r="J1035" s="8">
        <f>'Sistema de Raridade e Evolução'!D3</f>
        <v>6</v>
      </c>
      <c r="K1035" s="8" t="s">
        <v>9</v>
      </c>
      <c r="L1035" s="9">
        <f t="shared" si="16"/>
        <v>80952.38</v>
      </c>
    </row>
    <row r="1036" spans="1:12" ht="14.25" hidden="1" customHeight="1" x14ac:dyDescent="0.3">
      <c r="A1036" s="8">
        <v>1035</v>
      </c>
      <c r="B1036" s="8" t="str">
        <f>'Criaturas - Base de Dados'!B174</f>
        <v>Areia Amaldiçoada</v>
      </c>
      <c r="C1036" s="8" t="str">
        <f>'Criaturas - Base de Dados'!C174</f>
        <v>Morte</v>
      </c>
      <c r="D1036" s="8" t="str">
        <f>'Criaturas - Base de Dados'!D174</f>
        <v>Sarcófago Vivo</v>
      </c>
      <c r="E1036" s="8" t="str">
        <f>'Sistema de Raridade e Evolução'!B4</f>
        <v>Prata</v>
      </c>
      <c r="F1036" s="9">
        <f>ROUND(('Criaturas - Base de Dados'!H174*'Sistema de Raridade e Evolução'!E4)*1000,2)</f>
        <v>204000</v>
      </c>
      <c r="G1036" s="8">
        <f>ROUND('Criaturas - Base de Dados'!I174*'Sistema de Raridade e Evolução'!E4,0)</f>
        <v>120</v>
      </c>
      <c r="H1036" s="8">
        <f>ROUND('Criaturas - Base de Dados'!J174*'Sistema de Raridade e Evolução'!E4,0)</f>
        <v>102</v>
      </c>
      <c r="I1036" s="8">
        <f>ROUND('Criaturas - Base de Dados'!K174*'Sistema de Raridade e Evolução'!E4,0)</f>
        <v>654</v>
      </c>
      <c r="J1036" s="8">
        <f>'Sistema de Raridade e Evolução'!D4</f>
        <v>16</v>
      </c>
      <c r="K1036" s="8" t="s">
        <v>10</v>
      </c>
      <c r="L1036" s="9">
        <f t="shared" si="16"/>
        <v>485714.29</v>
      </c>
    </row>
    <row r="1037" spans="1:12" ht="14.25" hidden="1" customHeight="1" x14ac:dyDescent="0.3">
      <c r="A1037" s="8">
        <v>1036</v>
      </c>
      <c r="B1037" s="8" t="str">
        <f>'Criaturas - Base de Dados'!B174</f>
        <v>Areia Amaldiçoada</v>
      </c>
      <c r="C1037" s="8" t="str">
        <f>'Criaturas - Base de Dados'!C174</f>
        <v>Morte</v>
      </c>
      <c r="D1037" s="8" t="str">
        <f>'Criaturas - Base de Dados'!D174</f>
        <v>Sarcófago Vivo</v>
      </c>
      <c r="E1037" s="8" t="str">
        <f>'Sistema de Raridade e Evolução'!B5</f>
        <v>Ouro</v>
      </c>
      <c r="F1037" s="9">
        <f>ROUND(('Criaturas - Base de Dados'!H174*'Sistema de Raridade e Evolução'!E5)*1000,2)</f>
        <v>612000</v>
      </c>
      <c r="G1037" s="8">
        <f>ROUND('Criaturas - Base de Dados'!I174*'Sistema de Raridade e Evolução'!E5,0)</f>
        <v>360</v>
      </c>
      <c r="H1037" s="8">
        <f>ROUND('Criaturas - Base de Dados'!J174*'Sistema de Raridade e Evolução'!E5,0)</f>
        <v>306</v>
      </c>
      <c r="I1037" s="8">
        <f>ROUND('Criaturas - Base de Dados'!K174*'Sistema de Raridade e Evolução'!E5,0)</f>
        <v>1962</v>
      </c>
      <c r="J1037" s="8">
        <f>'Sistema de Raridade e Evolução'!D5</f>
        <v>31</v>
      </c>
      <c r="K1037" s="8" t="s">
        <v>11</v>
      </c>
      <c r="L1037" s="9">
        <f t="shared" si="16"/>
        <v>1457142.86</v>
      </c>
    </row>
    <row r="1038" spans="1:12" ht="14.25" hidden="1" customHeight="1" x14ac:dyDescent="0.3">
      <c r="A1038" s="8">
        <v>1037</v>
      </c>
      <c r="B1038" s="8" t="str">
        <f>'Criaturas - Base de Dados'!B174</f>
        <v>Areia Amaldiçoada</v>
      </c>
      <c r="C1038" s="8" t="str">
        <f>'Criaturas - Base de Dados'!C174</f>
        <v>Morte</v>
      </c>
      <c r="D1038" s="8" t="str">
        <f>'Criaturas - Base de Dados'!D174</f>
        <v>Sarcófago Vivo</v>
      </c>
      <c r="E1038" s="8" t="str">
        <f>'Sistema de Raridade e Evolução'!B6</f>
        <v>Platina</v>
      </c>
      <c r="F1038" s="9">
        <f>ROUND(('Criaturas - Base de Dados'!H174*'Sistema de Raridade e Evolução'!E6)*1000,2)</f>
        <v>1700000</v>
      </c>
      <c r="G1038" s="8">
        <f>ROUND('Criaturas - Base de Dados'!I174*'Sistema de Raridade e Evolução'!E6,0)</f>
        <v>1000</v>
      </c>
      <c r="H1038" s="8">
        <f>ROUND('Criaturas - Base de Dados'!J174*'Sistema de Raridade e Evolução'!E6,0)</f>
        <v>850</v>
      </c>
      <c r="I1038" s="8">
        <f>ROUND('Criaturas - Base de Dados'!K174*'Sistema de Raridade e Evolução'!E6,0)</f>
        <v>5450</v>
      </c>
      <c r="J1038" s="8">
        <f>'Sistema de Raridade e Evolução'!D6</f>
        <v>56</v>
      </c>
      <c r="K1038" s="8" t="s">
        <v>12</v>
      </c>
      <c r="L1038" s="9">
        <f t="shared" si="16"/>
        <v>4047619.05</v>
      </c>
    </row>
    <row r="1039" spans="1:12" ht="14.25" hidden="1" customHeight="1" x14ac:dyDescent="0.3">
      <c r="A1039" s="8">
        <v>1038</v>
      </c>
      <c r="B1039" s="8" t="str">
        <f>'Criaturas - Base de Dados'!B174</f>
        <v>Areia Amaldiçoada</v>
      </c>
      <c r="C1039" s="8" t="str">
        <f>'Criaturas - Base de Dados'!C174</f>
        <v>Morte</v>
      </c>
      <c r="D1039" s="8" t="str">
        <f>'Criaturas - Base de Dados'!D174</f>
        <v>Sarcófago Vivo</v>
      </c>
      <c r="E1039" s="8" t="str">
        <f>'Sistema de Raridade e Evolução'!B7</f>
        <v>Lendário</v>
      </c>
      <c r="F1039" s="9">
        <f>ROUND(('Criaturas - Base de Dados'!H174*'Sistema de Raridade e Evolução'!E7)*1000,2)</f>
        <v>5100000</v>
      </c>
      <c r="G1039" s="8">
        <f>ROUND('Criaturas - Base de Dados'!I174*'Sistema de Raridade e Evolução'!E7,0)</f>
        <v>3000</v>
      </c>
      <c r="H1039" s="8">
        <f>ROUND('Criaturas - Base de Dados'!J174*'Sistema de Raridade e Evolução'!E7,0)</f>
        <v>2550</v>
      </c>
      <c r="I1039" s="8">
        <f>ROUND('Criaturas - Base de Dados'!K174*'Sistema de Raridade e Evolução'!E7,0)</f>
        <v>16350</v>
      </c>
      <c r="J1039" s="8">
        <f>'Sistema de Raridade e Evolução'!D7</f>
        <v>91</v>
      </c>
      <c r="K1039" s="8" t="s">
        <v>925</v>
      </c>
      <c r="L1039" s="9">
        <f t="shared" si="16"/>
        <v>12142857.140000001</v>
      </c>
    </row>
    <row r="1040" spans="1:12" ht="14.25" customHeight="1" x14ac:dyDescent="0.3">
      <c r="A1040" s="8">
        <v>1039</v>
      </c>
      <c r="B1040" s="8" t="str">
        <f>'Criaturas - Base de Dados'!B175</f>
        <v>Areia Amaldiçoada</v>
      </c>
      <c r="C1040" s="8" t="str">
        <f>'Criaturas - Base de Dados'!C175</f>
        <v>Morte</v>
      </c>
      <c r="D1040" s="8" t="str">
        <f>'Criaturas - Base de Dados'!D175</f>
        <v>Espectro do Oásis</v>
      </c>
      <c r="E1040" s="8" t="str">
        <f>'Sistema de Raridade e Evolução'!B2</f>
        <v>Default</v>
      </c>
      <c r="F1040" s="9" t="e">
        <f>ROUND(('Criaturas - Base de Dados'!H175*'Sistema de Raridade e Evolução'!E2)*1000,2)</f>
        <v>#VALUE!</v>
      </c>
      <c r="G1040" s="8" t="e">
        <f>ROUND('Criaturas - Base de Dados'!I175*'Sistema de Raridade e Evolução'!E2,0)</f>
        <v>#VALUE!</v>
      </c>
      <c r="H1040" s="8" t="e">
        <f>ROUND('Criaturas - Base de Dados'!J175*'Sistema de Raridade e Evolução'!E2,0)</f>
        <v>#VALUE!</v>
      </c>
      <c r="I1040" s="8" t="e">
        <f>ROUND('Criaturas - Base de Dados'!K175*'Sistema de Raridade e Evolução'!E2,0)</f>
        <v>#VALUE!</v>
      </c>
      <c r="J1040" s="8">
        <f>'Sistema de Raridade e Evolução'!D2</f>
        <v>1</v>
      </c>
      <c r="K1040" s="8" t="s">
        <v>8</v>
      </c>
      <c r="L1040" s="9" t="e">
        <f t="shared" si="16"/>
        <v>#VALUE!</v>
      </c>
    </row>
    <row r="1041" spans="1:12" ht="14.25" hidden="1" customHeight="1" x14ac:dyDescent="0.3">
      <c r="A1041" s="8">
        <v>1040</v>
      </c>
      <c r="B1041" s="8" t="str">
        <f>'Criaturas - Base de Dados'!B175</f>
        <v>Areia Amaldiçoada</v>
      </c>
      <c r="C1041" s="8" t="str">
        <f>'Criaturas - Base de Dados'!C175</f>
        <v>Morte</v>
      </c>
      <c r="D1041" s="8" t="str">
        <f>'Criaturas - Base de Dados'!D175</f>
        <v>Espectro do Oásis</v>
      </c>
      <c r="E1041" s="8" t="str">
        <f>'Sistema de Raridade e Evolução'!B3</f>
        <v>Bronze</v>
      </c>
      <c r="F1041" s="9">
        <f>ROUND(('Criaturas - Base de Dados'!H175*'Sistema de Raridade e Evolução'!E3)*1000,2)</f>
        <v>36000</v>
      </c>
      <c r="G1041" s="8">
        <f>ROUND('Criaturas - Base de Dados'!I175*'Sistema de Raridade e Evolução'!E3,0)</f>
        <v>22</v>
      </c>
      <c r="H1041" s="8">
        <f>ROUND('Criaturas - Base de Dados'!J175*'Sistema de Raridade e Evolução'!E3,0)</f>
        <v>18</v>
      </c>
      <c r="I1041" s="8">
        <f>ROUND('Criaturas - Base de Dados'!K175*'Sistema de Raridade e Evolução'!E3,0)</f>
        <v>115</v>
      </c>
      <c r="J1041" s="8">
        <f>'Sistema de Raridade e Evolução'!D3</f>
        <v>6</v>
      </c>
      <c r="K1041" s="8" t="s">
        <v>9</v>
      </c>
      <c r="L1041" s="9">
        <f t="shared" si="16"/>
        <v>85714.29</v>
      </c>
    </row>
    <row r="1042" spans="1:12" ht="14.25" hidden="1" customHeight="1" x14ac:dyDescent="0.3">
      <c r="A1042" s="8">
        <v>1041</v>
      </c>
      <c r="B1042" s="8" t="str">
        <f>'Criaturas - Base de Dados'!B175</f>
        <v>Areia Amaldiçoada</v>
      </c>
      <c r="C1042" s="8" t="str">
        <f>'Criaturas - Base de Dados'!C175</f>
        <v>Morte</v>
      </c>
      <c r="D1042" s="8" t="str">
        <f>'Criaturas - Base de Dados'!D175</f>
        <v>Espectro do Oásis</v>
      </c>
      <c r="E1042" s="8" t="str">
        <f>'Sistema de Raridade e Evolução'!B4</f>
        <v>Prata</v>
      </c>
      <c r="F1042" s="9">
        <f>ROUND(('Criaturas - Base de Dados'!H175*'Sistema de Raridade e Evolução'!E4)*1000,2)</f>
        <v>216000</v>
      </c>
      <c r="G1042" s="8">
        <f>ROUND('Criaturas - Base de Dados'!I175*'Sistema de Raridade e Evolução'!E4,0)</f>
        <v>132</v>
      </c>
      <c r="H1042" s="8">
        <f>ROUND('Criaturas - Base de Dados'!J175*'Sistema de Raridade e Evolução'!E4,0)</f>
        <v>108</v>
      </c>
      <c r="I1042" s="8">
        <f>ROUND('Criaturas - Base de Dados'!K175*'Sistema de Raridade e Evolução'!E4,0)</f>
        <v>690</v>
      </c>
      <c r="J1042" s="8">
        <f>'Sistema de Raridade e Evolução'!D4</f>
        <v>16</v>
      </c>
      <c r="K1042" s="8" t="s">
        <v>10</v>
      </c>
      <c r="L1042" s="9">
        <f t="shared" si="16"/>
        <v>514285.71</v>
      </c>
    </row>
    <row r="1043" spans="1:12" ht="14.25" hidden="1" customHeight="1" x14ac:dyDescent="0.3">
      <c r="A1043" s="8">
        <v>1042</v>
      </c>
      <c r="B1043" s="8" t="str">
        <f>'Criaturas - Base de Dados'!B175</f>
        <v>Areia Amaldiçoada</v>
      </c>
      <c r="C1043" s="8" t="str">
        <f>'Criaturas - Base de Dados'!C175</f>
        <v>Morte</v>
      </c>
      <c r="D1043" s="8" t="str">
        <f>'Criaturas - Base de Dados'!D175</f>
        <v>Espectro do Oásis</v>
      </c>
      <c r="E1043" s="8" t="str">
        <f>'Sistema de Raridade e Evolução'!B5</f>
        <v>Ouro</v>
      </c>
      <c r="F1043" s="9">
        <f>ROUND(('Criaturas - Base de Dados'!H175*'Sistema de Raridade e Evolução'!E5)*1000,2)</f>
        <v>648000</v>
      </c>
      <c r="G1043" s="8">
        <f>ROUND('Criaturas - Base de Dados'!I175*'Sistema de Raridade e Evolução'!E5,0)</f>
        <v>396</v>
      </c>
      <c r="H1043" s="8">
        <f>ROUND('Criaturas - Base de Dados'!J175*'Sistema de Raridade e Evolução'!E5,0)</f>
        <v>324</v>
      </c>
      <c r="I1043" s="8">
        <f>ROUND('Criaturas - Base de Dados'!K175*'Sistema de Raridade e Evolução'!E5,0)</f>
        <v>2070</v>
      </c>
      <c r="J1043" s="8">
        <f>'Sistema de Raridade e Evolução'!D5</f>
        <v>31</v>
      </c>
      <c r="K1043" s="8" t="s">
        <v>11</v>
      </c>
      <c r="L1043" s="9">
        <f t="shared" si="16"/>
        <v>1542857.14</v>
      </c>
    </row>
    <row r="1044" spans="1:12" ht="14.25" hidden="1" customHeight="1" x14ac:dyDescent="0.3">
      <c r="A1044" s="8">
        <v>1043</v>
      </c>
      <c r="B1044" s="8" t="str">
        <f>'Criaturas - Base de Dados'!B175</f>
        <v>Areia Amaldiçoada</v>
      </c>
      <c r="C1044" s="8" t="str">
        <f>'Criaturas - Base de Dados'!C175</f>
        <v>Morte</v>
      </c>
      <c r="D1044" s="8" t="str">
        <f>'Criaturas - Base de Dados'!D175</f>
        <v>Espectro do Oásis</v>
      </c>
      <c r="E1044" s="8" t="str">
        <f>'Sistema de Raridade e Evolução'!B6</f>
        <v>Platina</v>
      </c>
      <c r="F1044" s="9">
        <f>ROUND(('Criaturas - Base de Dados'!H175*'Sistema de Raridade e Evolução'!E6)*1000,2)</f>
        <v>1800000</v>
      </c>
      <c r="G1044" s="8">
        <f>ROUND('Criaturas - Base de Dados'!I175*'Sistema de Raridade e Evolução'!E6,0)</f>
        <v>1100</v>
      </c>
      <c r="H1044" s="8">
        <f>ROUND('Criaturas - Base de Dados'!J175*'Sistema de Raridade e Evolução'!E6,0)</f>
        <v>900</v>
      </c>
      <c r="I1044" s="8">
        <f>ROUND('Criaturas - Base de Dados'!K175*'Sistema de Raridade e Evolução'!E6,0)</f>
        <v>5750</v>
      </c>
      <c r="J1044" s="8">
        <f>'Sistema de Raridade e Evolução'!D6</f>
        <v>56</v>
      </c>
      <c r="K1044" s="8" t="s">
        <v>12</v>
      </c>
      <c r="L1044" s="9">
        <f t="shared" si="16"/>
        <v>4285714.29</v>
      </c>
    </row>
    <row r="1045" spans="1:12" ht="14.25" hidden="1" customHeight="1" x14ac:dyDescent="0.3">
      <c r="A1045" s="8">
        <v>1044</v>
      </c>
      <c r="B1045" s="8" t="str">
        <f>'Criaturas - Base de Dados'!B175</f>
        <v>Areia Amaldiçoada</v>
      </c>
      <c r="C1045" s="8" t="str">
        <f>'Criaturas - Base de Dados'!C175</f>
        <v>Morte</v>
      </c>
      <c r="D1045" s="8" t="str">
        <f>'Criaturas - Base de Dados'!D175</f>
        <v>Espectro do Oásis</v>
      </c>
      <c r="E1045" s="8" t="str">
        <f>'Sistema de Raridade e Evolução'!B7</f>
        <v>Lendário</v>
      </c>
      <c r="F1045" s="9">
        <f>ROUND(('Criaturas - Base de Dados'!H175*'Sistema de Raridade e Evolução'!E7)*1000,2)</f>
        <v>5400000</v>
      </c>
      <c r="G1045" s="8">
        <f>ROUND('Criaturas - Base de Dados'!I175*'Sistema de Raridade e Evolução'!E7,0)</f>
        <v>3300</v>
      </c>
      <c r="H1045" s="8">
        <f>ROUND('Criaturas - Base de Dados'!J175*'Sistema de Raridade e Evolução'!E7,0)</f>
        <v>2700</v>
      </c>
      <c r="I1045" s="8">
        <f>ROUND('Criaturas - Base de Dados'!K175*'Sistema de Raridade e Evolução'!E7,0)</f>
        <v>17250</v>
      </c>
      <c r="J1045" s="8">
        <f>'Sistema de Raridade e Evolução'!D7</f>
        <v>91</v>
      </c>
      <c r="K1045" s="8" t="s">
        <v>925</v>
      </c>
      <c r="L1045" s="9">
        <f t="shared" si="16"/>
        <v>12857142.859999999</v>
      </c>
    </row>
    <row r="1046" spans="1:12" ht="14.25" customHeight="1" x14ac:dyDescent="0.3">
      <c r="A1046" s="8">
        <v>1045</v>
      </c>
      <c r="B1046" s="8" t="str">
        <f>'Criaturas - Base de Dados'!B176</f>
        <v>Areia Amaldiçoada</v>
      </c>
      <c r="C1046" s="8" t="str">
        <f>'Criaturas - Base de Dados'!C176</f>
        <v>Morte</v>
      </c>
      <c r="D1046" s="8" t="str">
        <f>'Criaturas - Base de Dados'!D176</f>
        <v>Víbora das Areias</v>
      </c>
      <c r="E1046" s="8" t="str">
        <f>'Sistema de Raridade e Evolução'!B2</f>
        <v>Default</v>
      </c>
      <c r="F1046" s="9" t="e">
        <f>ROUND(('Criaturas - Base de Dados'!H176*'Sistema de Raridade e Evolução'!E2)*1000,2)</f>
        <v>#VALUE!</v>
      </c>
      <c r="G1046" s="8" t="e">
        <f>ROUND('Criaturas - Base de Dados'!I176*'Sistema de Raridade e Evolução'!E2,0)</f>
        <v>#VALUE!</v>
      </c>
      <c r="H1046" s="8" t="e">
        <f>ROUND('Criaturas - Base de Dados'!J176*'Sistema de Raridade e Evolução'!E2,0)</f>
        <v>#VALUE!</v>
      </c>
      <c r="I1046" s="8" t="e">
        <f>ROUND('Criaturas - Base de Dados'!K176*'Sistema de Raridade e Evolução'!E2,0)</f>
        <v>#VALUE!</v>
      </c>
      <c r="J1046" s="8">
        <f>'Sistema de Raridade e Evolução'!D2</f>
        <v>1</v>
      </c>
      <c r="K1046" s="8" t="s">
        <v>8</v>
      </c>
      <c r="L1046" s="9" t="e">
        <f t="shared" si="16"/>
        <v>#VALUE!</v>
      </c>
    </row>
    <row r="1047" spans="1:12" ht="14.25" hidden="1" customHeight="1" x14ac:dyDescent="0.3">
      <c r="A1047" s="8">
        <v>1046</v>
      </c>
      <c r="B1047" s="8" t="str">
        <f>'Criaturas - Base de Dados'!B176</f>
        <v>Areia Amaldiçoada</v>
      </c>
      <c r="C1047" s="8" t="str">
        <f>'Criaturas - Base de Dados'!C176</f>
        <v>Morte</v>
      </c>
      <c r="D1047" s="8" t="str">
        <f>'Criaturas - Base de Dados'!D176</f>
        <v>Víbora das Areias</v>
      </c>
      <c r="E1047" s="8" t="str">
        <f>'Sistema de Raridade e Evolução'!B3</f>
        <v>Bronze</v>
      </c>
      <c r="F1047" s="9">
        <f>ROUND(('Criaturas - Base de Dados'!H176*'Sistema de Raridade e Evolução'!E3)*1000,2)</f>
        <v>38000</v>
      </c>
      <c r="G1047" s="8">
        <f>ROUND('Criaturas - Base de Dados'!I176*'Sistema de Raridade e Evolução'!E3,0)</f>
        <v>23</v>
      </c>
      <c r="H1047" s="8">
        <f>ROUND('Criaturas - Base de Dados'!J176*'Sistema de Raridade e Evolução'!E3,0)</f>
        <v>19</v>
      </c>
      <c r="I1047" s="8">
        <f>ROUND('Criaturas - Base de Dados'!K176*'Sistema de Raridade e Evolução'!E3,0)</f>
        <v>122</v>
      </c>
      <c r="J1047" s="8">
        <f>'Sistema de Raridade e Evolução'!D3</f>
        <v>6</v>
      </c>
      <c r="K1047" s="8" t="s">
        <v>9</v>
      </c>
      <c r="L1047" s="9">
        <f t="shared" si="16"/>
        <v>90476.19</v>
      </c>
    </row>
    <row r="1048" spans="1:12" ht="14.25" hidden="1" customHeight="1" x14ac:dyDescent="0.3">
      <c r="A1048" s="8">
        <v>1047</v>
      </c>
      <c r="B1048" s="8" t="str">
        <f>'Criaturas - Base de Dados'!B176</f>
        <v>Areia Amaldiçoada</v>
      </c>
      <c r="C1048" s="8" t="str">
        <f>'Criaturas - Base de Dados'!C176</f>
        <v>Morte</v>
      </c>
      <c r="D1048" s="8" t="str">
        <f>'Criaturas - Base de Dados'!D176</f>
        <v>Víbora das Areias</v>
      </c>
      <c r="E1048" s="8" t="str">
        <f>'Sistema de Raridade e Evolução'!B4</f>
        <v>Prata</v>
      </c>
      <c r="F1048" s="9">
        <f>ROUND(('Criaturas - Base de Dados'!H176*'Sistema de Raridade e Evolução'!E4)*1000,2)</f>
        <v>228000</v>
      </c>
      <c r="G1048" s="8">
        <f>ROUND('Criaturas - Base de Dados'!I176*'Sistema de Raridade e Evolução'!E4,0)</f>
        <v>138</v>
      </c>
      <c r="H1048" s="8">
        <f>ROUND('Criaturas - Base de Dados'!J176*'Sistema de Raridade e Evolução'!E4,0)</f>
        <v>114</v>
      </c>
      <c r="I1048" s="8">
        <f>ROUND('Criaturas - Base de Dados'!K176*'Sistema de Raridade e Evolução'!E4,0)</f>
        <v>732</v>
      </c>
      <c r="J1048" s="8">
        <f>'Sistema de Raridade e Evolução'!D4</f>
        <v>16</v>
      </c>
      <c r="K1048" s="8" t="s">
        <v>10</v>
      </c>
      <c r="L1048" s="9">
        <f t="shared" si="16"/>
        <v>542857.14</v>
      </c>
    </row>
    <row r="1049" spans="1:12" ht="14.25" hidden="1" customHeight="1" x14ac:dyDescent="0.3">
      <c r="A1049" s="8">
        <v>1048</v>
      </c>
      <c r="B1049" s="8" t="str">
        <f>'Criaturas - Base de Dados'!B176</f>
        <v>Areia Amaldiçoada</v>
      </c>
      <c r="C1049" s="8" t="str">
        <f>'Criaturas - Base de Dados'!C176</f>
        <v>Morte</v>
      </c>
      <c r="D1049" s="8" t="str">
        <f>'Criaturas - Base de Dados'!D176</f>
        <v>Víbora das Areias</v>
      </c>
      <c r="E1049" s="8" t="str">
        <f>'Sistema de Raridade e Evolução'!B5</f>
        <v>Ouro</v>
      </c>
      <c r="F1049" s="9">
        <f>ROUND(('Criaturas - Base de Dados'!H176*'Sistema de Raridade e Evolução'!E5)*1000,2)</f>
        <v>684000</v>
      </c>
      <c r="G1049" s="8">
        <f>ROUND('Criaturas - Base de Dados'!I176*'Sistema de Raridade e Evolução'!E5,0)</f>
        <v>414</v>
      </c>
      <c r="H1049" s="8">
        <f>ROUND('Criaturas - Base de Dados'!J176*'Sistema de Raridade e Evolução'!E5,0)</f>
        <v>342</v>
      </c>
      <c r="I1049" s="8">
        <f>ROUND('Criaturas - Base de Dados'!K176*'Sistema de Raridade e Evolução'!E5,0)</f>
        <v>2196</v>
      </c>
      <c r="J1049" s="8">
        <f>'Sistema de Raridade e Evolução'!D5</f>
        <v>31</v>
      </c>
      <c r="K1049" s="8" t="s">
        <v>11</v>
      </c>
      <c r="L1049" s="9">
        <f t="shared" si="16"/>
        <v>1628571.43</v>
      </c>
    </row>
    <row r="1050" spans="1:12" ht="14.25" hidden="1" customHeight="1" x14ac:dyDescent="0.3">
      <c r="A1050" s="8">
        <v>1049</v>
      </c>
      <c r="B1050" s="8" t="str">
        <f>'Criaturas - Base de Dados'!B176</f>
        <v>Areia Amaldiçoada</v>
      </c>
      <c r="C1050" s="8" t="str">
        <f>'Criaturas - Base de Dados'!C176</f>
        <v>Morte</v>
      </c>
      <c r="D1050" s="8" t="str">
        <f>'Criaturas - Base de Dados'!D176</f>
        <v>Víbora das Areias</v>
      </c>
      <c r="E1050" s="8" t="str">
        <f>'Sistema de Raridade e Evolução'!B6</f>
        <v>Platina</v>
      </c>
      <c r="F1050" s="9">
        <f>ROUND(('Criaturas - Base de Dados'!H176*'Sistema de Raridade e Evolução'!E6)*1000,2)</f>
        <v>1900000</v>
      </c>
      <c r="G1050" s="8">
        <f>ROUND('Criaturas - Base de Dados'!I176*'Sistema de Raridade e Evolução'!E6,0)</f>
        <v>1150</v>
      </c>
      <c r="H1050" s="8">
        <f>ROUND('Criaturas - Base de Dados'!J176*'Sistema de Raridade e Evolução'!E6,0)</f>
        <v>950</v>
      </c>
      <c r="I1050" s="8">
        <f>ROUND('Criaturas - Base de Dados'!K176*'Sistema de Raridade e Evolução'!E6,0)</f>
        <v>6100</v>
      </c>
      <c r="J1050" s="8">
        <f>'Sistema de Raridade e Evolução'!D6</f>
        <v>56</v>
      </c>
      <c r="K1050" s="8" t="s">
        <v>12</v>
      </c>
      <c r="L1050" s="9">
        <f t="shared" si="16"/>
        <v>4523809.5199999996</v>
      </c>
    </row>
    <row r="1051" spans="1:12" ht="14.25" hidden="1" customHeight="1" x14ac:dyDescent="0.3">
      <c r="A1051" s="8">
        <v>1050</v>
      </c>
      <c r="B1051" s="8" t="str">
        <f>'Criaturas - Base de Dados'!B176</f>
        <v>Areia Amaldiçoada</v>
      </c>
      <c r="C1051" s="8" t="str">
        <f>'Criaturas - Base de Dados'!C176</f>
        <v>Morte</v>
      </c>
      <c r="D1051" s="8" t="str">
        <f>'Criaturas - Base de Dados'!D176</f>
        <v>Víbora das Areias</v>
      </c>
      <c r="E1051" s="8" t="str">
        <f>'Sistema de Raridade e Evolução'!B7</f>
        <v>Lendário</v>
      </c>
      <c r="F1051" s="9">
        <f>ROUND(('Criaturas - Base de Dados'!H176*'Sistema de Raridade e Evolução'!E7)*1000,2)</f>
        <v>5700000</v>
      </c>
      <c r="G1051" s="8">
        <f>ROUND('Criaturas - Base de Dados'!I176*'Sistema de Raridade e Evolução'!E7,0)</f>
        <v>3450</v>
      </c>
      <c r="H1051" s="8">
        <f>ROUND('Criaturas - Base de Dados'!J176*'Sistema de Raridade e Evolução'!E7,0)</f>
        <v>2850</v>
      </c>
      <c r="I1051" s="8">
        <f>ROUND('Criaturas - Base de Dados'!K176*'Sistema de Raridade e Evolução'!E7,0)</f>
        <v>18300</v>
      </c>
      <c r="J1051" s="8">
        <f>'Sistema de Raridade e Evolução'!D7</f>
        <v>91</v>
      </c>
      <c r="K1051" s="8" t="s">
        <v>925</v>
      </c>
      <c r="L1051" s="9">
        <f t="shared" si="16"/>
        <v>13571428.57</v>
      </c>
    </row>
    <row r="1052" spans="1:12" ht="14.25" customHeight="1" x14ac:dyDescent="0.3">
      <c r="A1052" s="8">
        <v>1051</v>
      </c>
      <c r="B1052" s="8" t="str">
        <f>'Criaturas - Base de Dados'!B177</f>
        <v>Areia Amaldiçoada</v>
      </c>
      <c r="C1052" s="8" t="str">
        <f>'Criaturas - Base de Dados'!C177</f>
        <v>Morte</v>
      </c>
      <c r="D1052" s="8" t="str">
        <f>'Criaturas - Base de Dados'!D177</f>
        <v>Roc das Dunas</v>
      </c>
      <c r="E1052" s="8" t="str">
        <f>'Sistema de Raridade e Evolução'!B2</f>
        <v>Default</v>
      </c>
      <c r="F1052" s="9" t="e">
        <f>ROUND(('Criaturas - Base de Dados'!H177*'Sistema de Raridade e Evolução'!E2)*1000,2)</f>
        <v>#VALUE!</v>
      </c>
      <c r="G1052" s="8" t="e">
        <f>ROUND('Criaturas - Base de Dados'!I177*'Sistema de Raridade e Evolução'!E2,0)</f>
        <v>#VALUE!</v>
      </c>
      <c r="H1052" s="8" t="e">
        <f>ROUND('Criaturas - Base de Dados'!J177*'Sistema de Raridade e Evolução'!E2,0)</f>
        <v>#VALUE!</v>
      </c>
      <c r="I1052" s="8" t="e">
        <f>ROUND('Criaturas - Base de Dados'!K177*'Sistema de Raridade e Evolução'!E2,0)</f>
        <v>#VALUE!</v>
      </c>
      <c r="J1052" s="8">
        <f>'Sistema de Raridade e Evolução'!D2</f>
        <v>1</v>
      </c>
      <c r="K1052" s="8" t="s">
        <v>8</v>
      </c>
      <c r="L1052" s="9" t="e">
        <f t="shared" si="16"/>
        <v>#VALUE!</v>
      </c>
    </row>
    <row r="1053" spans="1:12" ht="14.25" hidden="1" customHeight="1" x14ac:dyDescent="0.3">
      <c r="A1053" s="8">
        <v>1052</v>
      </c>
      <c r="B1053" s="8" t="str">
        <f>'Criaturas - Base de Dados'!B177</f>
        <v>Areia Amaldiçoada</v>
      </c>
      <c r="C1053" s="8" t="str">
        <f>'Criaturas - Base de Dados'!C177</f>
        <v>Morte</v>
      </c>
      <c r="D1053" s="8" t="str">
        <f>'Criaturas - Base de Dados'!D177</f>
        <v>Roc das Dunas</v>
      </c>
      <c r="E1053" s="8" t="str">
        <f>'Sistema de Raridade e Evolução'!B3</f>
        <v>Bronze</v>
      </c>
      <c r="F1053" s="9">
        <f>ROUND(('Criaturas - Base de Dados'!H177*'Sistema de Raridade e Evolução'!E3)*1000,2)</f>
        <v>54000</v>
      </c>
      <c r="G1053" s="8">
        <f>ROUND('Criaturas - Base de Dados'!I177*'Sistema de Raridade e Evolução'!E3,0)</f>
        <v>32</v>
      </c>
      <c r="H1053" s="8">
        <f>ROUND('Criaturas - Base de Dados'!J177*'Sistema de Raridade e Evolução'!E3,0)</f>
        <v>27</v>
      </c>
      <c r="I1053" s="8">
        <f>ROUND('Criaturas - Base de Dados'!K177*'Sistema de Raridade e Evolução'!E3,0)</f>
        <v>173</v>
      </c>
      <c r="J1053" s="8">
        <f>'Sistema de Raridade e Evolução'!D3</f>
        <v>6</v>
      </c>
      <c r="K1053" s="8" t="s">
        <v>9</v>
      </c>
      <c r="L1053" s="9">
        <f t="shared" si="16"/>
        <v>128571.43</v>
      </c>
    </row>
    <row r="1054" spans="1:12" ht="14.25" hidden="1" customHeight="1" x14ac:dyDescent="0.3">
      <c r="A1054" s="8">
        <v>1053</v>
      </c>
      <c r="B1054" s="8" t="str">
        <f>'Criaturas - Base de Dados'!B177</f>
        <v>Areia Amaldiçoada</v>
      </c>
      <c r="C1054" s="8" t="str">
        <f>'Criaturas - Base de Dados'!C177</f>
        <v>Morte</v>
      </c>
      <c r="D1054" s="8" t="str">
        <f>'Criaturas - Base de Dados'!D177</f>
        <v>Roc das Dunas</v>
      </c>
      <c r="E1054" s="8" t="str">
        <f>'Sistema de Raridade e Evolução'!B4</f>
        <v>Prata</v>
      </c>
      <c r="F1054" s="9">
        <f>ROUND(('Criaturas - Base de Dados'!H177*'Sistema de Raridade e Evolução'!E4)*1000,2)</f>
        <v>324000</v>
      </c>
      <c r="G1054" s="8">
        <f>ROUND('Criaturas - Base de Dados'!I177*'Sistema de Raridade e Evolução'!E4,0)</f>
        <v>192</v>
      </c>
      <c r="H1054" s="8">
        <f>ROUND('Criaturas - Base de Dados'!J177*'Sistema de Raridade e Evolução'!E4,0)</f>
        <v>162</v>
      </c>
      <c r="I1054" s="8">
        <f>ROUND('Criaturas - Base de Dados'!K177*'Sistema de Raridade e Evolução'!E4,0)</f>
        <v>1038</v>
      </c>
      <c r="J1054" s="8">
        <f>'Sistema de Raridade e Evolução'!D4</f>
        <v>16</v>
      </c>
      <c r="K1054" s="8" t="s">
        <v>10</v>
      </c>
      <c r="L1054" s="9">
        <f t="shared" si="16"/>
        <v>771428.57</v>
      </c>
    </row>
    <row r="1055" spans="1:12" ht="14.25" hidden="1" customHeight="1" x14ac:dyDescent="0.3">
      <c r="A1055" s="8">
        <v>1054</v>
      </c>
      <c r="B1055" s="8" t="str">
        <f>'Criaturas - Base de Dados'!B177</f>
        <v>Areia Amaldiçoada</v>
      </c>
      <c r="C1055" s="8" t="str">
        <f>'Criaturas - Base de Dados'!C177</f>
        <v>Morte</v>
      </c>
      <c r="D1055" s="8" t="str">
        <f>'Criaturas - Base de Dados'!D177</f>
        <v>Roc das Dunas</v>
      </c>
      <c r="E1055" s="8" t="str">
        <f>'Sistema de Raridade e Evolução'!B5</f>
        <v>Ouro</v>
      </c>
      <c r="F1055" s="9">
        <f>ROUND(('Criaturas - Base de Dados'!H177*'Sistema de Raridade e Evolução'!E5)*1000,2)</f>
        <v>972000</v>
      </c>
      <c r="G1055" s="8">
        <f>ROUND('Criaturas - Base de Dados'!I177*'Sistema de Raridade e Evolução'!E5,0)</f>
        <v>576</v>
      </c>
      <c r="H1055" s="8">
        <f>ROUND('Criaturas - Base de Dados'!J177*'Sistema de Raridade e Evolução'!E5,0)</f>
        <v>486</v>
      </c>
      <c r="I1055" s="8">
        <f>ROUND('Criaturas - Base de Dados'!K177*'Sistema de Raridade e Evolução'!E5,0)</f>
        <v>3114</v>
      </c>
      <c r="J1055" s="8">
        <f>'Sistema de Raridade e Evolução'!D5</f>
        <v>31</v>
      </c>
      <c r="K1055" s="8" t="s">
        <v>11</v>
      </c>
      <c r="L1055" s="9">
        <f t="shared" si="16"/>
        <v>2314285.71</v>
      </c>
    </row>
    <row r="1056" spans="1:12" ht="14.25" hidden="1" customHeight="1" x14ac:dyDescent="0.3">
      <c r="A1056" s="8">
        <v>1055</v>
      </c>
      <c r="B1056" s="8" t="str">
        <f>'Criaturas - Base de Dados'!B177</f>
        <v>Areia Amaldiçoada</v>
      </c>
      <c r="C1056" s="8" t="str">
        <f>'Criaturas - Base de Dados'!C177</f>
        <v>Morte</v>
      </c>
      <c r="D1056" s="8" t="str">
        <f>'Criaturas - Base de Dados'!D177</f>
        <v>Roc das Dunas</v>
      </c>
      <c r="E1056" s="8" t="str">
        <f>'Sistema de Raridade e Evolução'!B6</f>
        <v>Platina</v>
      </c>
      <c r="F1056" s="9">
        <f>ROUND(('Criaturas - Base de Dados'!H177*'Sistema de Raridade e Evolução'!E6)*1000,2)</f>
        <v>2700000</v>
      </c>
      <c r="G1056" s="8">
        <f>ROUND('Criaturas - Base de Dados'!I177*'Sistema de Raridade e Evolução'!E6,0)</f>
        <v>1600</v>
      </c>
      <c r="H1056" s="8">
        <f>ROUND('Criaturas - Base de Dados'!J177*'Sistema de Raridade e Evolução'!E6,0)</f>
        <v>1350</v>
      </c>
      <c r="I1056" s="8">
        <f>ROUND('Criaturas - Base de Dados'!K177*'Sistema de Raridade e Evolução'!E6,0)</f>
        <v>8650</v>
      </c>
      <c r="J1056" s="8">
        <f>'Sistema de Raridade e Evolução'!D6</f>
        <v>56</v>
      </c>
      <c r="K1056" s="8" t="s">
        <v>12</v>
      </c>
      <c r="L1056" s="9">
        <f t="shared" si="16"/>
        <v>6428571.4299999997</v>
      </c>
    </row>
    <row r="1057" spans="1:12" ht="14.25" hidden="1" customHeight="1" x14ac:dyDescent="0.3">
      <c r="A1057" s="8">
        <v>1056</v>
      </c>
      <c r="B1057" s="8" t="str">
        <f>'Criaturas - Base de Dados'!B177</f>
        <v>Areia Amaldiçoada</v>
      </c>
      <c r="C1057" s="8" t="str">
        <f>'Criaturas - Base de Dados'!C177</f>
        <v>Morte</v>
      </c>
      <c r="D1057" s="8" t="str">
        <f>'Criaturas - Base de Dados'!D177</f>
        <v>Roc das Dunas</v>
      </c>
      <c r="E1057" s="8" t="str">
        <f>'Sistema de Raridade e Evolução'!B7</f>
        <v>Lendário</v>
      </c>
      <c r="F1057" s="9">
        <f>ROUND(('Criaturas - Base de Dados'!H177*'Sistema de Raridade e Evolução'!E7)*1000,2)</f>
        <v>8100000</v>
      </c>
      <c r="G1057" s="8">
        <f>ROUND('Criaturas - Base de Dados'!I177*'Sistema de Raridade e Evolução'!E7,0)</f>
        <v>4800</v>
      </c>
      <c r="H1057" s="8">
        <f>ROUND('Criaturas - Base de Dados'!J177*'Sistema de Raridade e Evolução'!E7,0)</f>
        <v>4050</v>
      </c>
      <c r="I1057" s="8">
        <f>ROUND('Criaturas - Base de Dados'!K177*'Sistema de Raridade e Evolução'!E7,0)</f>
        <v>25950</v>
      </c>
      <c r="J1057" s="8">
        <f>'Sistema de Raridade e Evolução'!D7</f>
        <v>91</v>
      </c>
      <c r="K1057" s="8" t="s">
        <v>925</v>
      </c>
      <c r="L1057" s="9">
        <f t="shared" si="16"/>
        <v>19285714.289999999</v>
      </c>
    </row>
    <row r="1058" spans="1:12" ht="14.25" customHeight="1" x14ac:dyDescent="0.3">
      <c r="A1058" s="8">
        <v>1057</v>
      </c>
      <c r="B1058" s="8" t="str">
        <f>'Criaturas - Base de Dados'!B178</f>
        <v>Areia Amaldiçoada</v>
      </c>
      <c r="C1058" s="8" t="str">
        <f>'Criaturas - Base de Dados'!C178</f>
        <v>Morte</v>
      </c>
      <c r="D1058" s="8" t="str">
        <f>'Criaturas - Base de Dados'!D178</f>
        <v>Camelo Espectral</v>
      </c>
      <c r="E1058" s="8" t="str">
        <f>'Sistema de Raridade e Evolução'!B2</f>
        <v>Default</v>
      </c>
      <c r="F1058" s="9" t="e">
        <f>ROUND(('Criaturas - Base de Dados'!H178*'Sistema de Raridade e Evolução'!E2)*1000,2)</f>
        <v>#VALUE!</v>
      </c>
      <c r="G1058" s="8" t="e">
        <f>ROUND('Criaturas - Base de Dados'!I178*'Sistema de Raridade e Evolução'!E2,0)</f>
        <v>#VALUE!</v>
      </c>
      <c r="H1058" s="8" t="e">
        <f>ROUND('Criaturas - Base de Dados'!J178*'Sistema de Raridade e Evolução'!E2,0)</f>
        <v>#VALUE!</v>
      </c>
      <c r="I1058" s="8" t="e">
        <f>ROUND('Criaturas - Base de Dados'!K178*'Sistema de Raridade e Evolução'!E2,0)</f>
        <v>#VALUE!</v>
      </c>
      <c r="J1058" s="8">
        <f>'Sistema de Raridade e Evolução'!D2</f>
        <v>1</v>
      </c>
      <c r="K1058" s="8" t="s">
        <v>8</v>
      </c>
      <c r="L1058" s="9" t="e">
        <f t="shared" si="16"/>
        <v>#VALUE!</v>
      </c>
    </row>
    <row r="1059" spans="1:12" ht="14.25" hidden="1" customHeight="1" x14ac:dyDescent="0.3">
      <c r="A1059" s="8">
        <v>1058</v>
      </c>
      <c r="B1059" s="8" t="str">
        <f>'Criaturas - Base de Dados'!B178</f>
        <v>Areia Amaldiçoada</v>
      </c>
      <c r="C1059" s="8" t="str">
        <f>'Criaturas - Base de Dados'!C178</f>
        <v>Morte</v>
      </c>
      <c r="D1059" s="8" t="str">
        <f>'Criaturas - Base de Dados'!D178</f>
        <v>Camelo Espectral</v>
      </c>
      <c r="E1059" s="8" t="str">
        <f>'Sistema de Raridade e Evolução'!B3</f>
        <v>Bronze</v>
      </c>
      <c r="F1059" s="9">
        <f>ROUND(('Criaturas - Base de Dados'!H178*'Sistema de Raridade e Evolução'!E3)*1000,2)</f>
        <v>48000</v>
      </c>
      <c r="G1059" s="8">
        <f>ROUND('Criaturas - Base de Dados'!I178*'Sistema de Raridade e Evolução'!E3,0)</f>
        <v>29</v>
      </c>
      <c r="H1059" s="8">
        <f>ROUND('Criaturas - Base de Dados'!J178*'Sistema de Raridade e Evolução'!E3,0)</f>
        <v>24</v>
      </c>
      <c r="I1059" s="8">
        <f>ROUND('Criaturas - Base de Dados'!K178*'Sistema de Raridade e Evolução'!E3,0)</f>
        <v>154</v>
      </c>
      <c r="J1059" s="8">
        <f>'Sistema de Raridade e Evolução'!D3</f>
        <v>6</v>
      </c>
      <c r="K1059" s="8" t="s">
        <v>9</v>
      </c>
      <c r="L1059" s="9">
        <f t="shared" si="16"/>
        <v>114285.71</v>
      </c>
    </row>
    <row r="1060" spans="1:12" ht="14.25" hidden="1" customHeight="1" x14ac:dyDescent="0.3">
      <c r="A1060" s="8">
        <v>1059</v>
      </c>
      <c r="B1060" s="8" t="str">
        <f>'Criaturas - Base de Dados'!B178</f>
        <v>Areia Amaldiçoada</v>
      </c>
      <c r="C1060" s="8" t="str">
        <f>'Criaturas - Base de Dados'!C178</f>
        <v>Morte</v>
      </c>
      <c r="D1060" s="8" t="str">
        <f>'Criaturas - Base de Dados'!D178</f>
        <v>Camelo Espectral</v>
      </c>
      <c r="E1060" s="8" t="str">
        <f>'Sistema de Raridade e Evolução'!B4</f>
        <v>Prata</v>
      </c>
      <c r="F1060" s="9">
        <f>ROUND(('Criaturas - Base de Dados'!H178*'Sistema de Raridade e Evolução'!E4)*1000,2)</f>
        <v>288000</v>
      </c>
      <c r="G1060" s="8">
        <f>ROUND('Criaturas - Base de Dados'!I178*'Sistema de Raridade e Evolução'!E4,0)</f>
        <v>174</v>
      </c>
      <c r="H1060" s="8">
        <f>ROUND('Criaturas - Base de Dados'!J178*'Sistema de Raridade e Evolução'!E4,0)</f>
        <v>144</v>
      </c>
      <c r="I1060" s="8">
        <f>ROUND('Criaturas - Base de Dados'!K178*'Sistema de Raridade e Evolução'!E4,0)</f>
        <v>924</v>
      </c>
      <c r="J1060" s="8">
        <f>'Sistema de Raridade e Evolução'!D4</f>
        <v>16</v>
      </c>
      <c r="K1060" s="8" t="s">
        <v>10</v>
      </c>
      <c r="L1060" s="9">
        <f t="shared" si="16"/>
        <v>685714.29</v>
      </c>
    </row>
    <row r="1061" spans="1:12" ht="14.25" hidden="1" customHeight="1" x14ac:dyDescent="0.3">
      <c r="A1061" s="8">
        <v>1060</v>
      </c>
      <c r="B1061" s="8" t="str">
        <f>'Criaturas - Base de Dados'!B178</f>
        <v>Areia Amaldiçoada</v>
      </c>
      <c r="C1061" s="8" t="str">
        <f>'Criaturas - Base de Dados'!C178</f>
        <v>Morte</v>
      </c>
      <c r="D1061" s="8" t="str">
        <f>'Criaturas - Base de Dados'!D178</f>
        <v>Camelo Espectral</v>
      </c>
      <c r="E1061" s="8" t="str">
        <f>'Sistema de Raridade e Evolução'!B5</f>
        <v>Ouro</v>
      </c>
      <c r="F1061" s="9">
        <f>ROUND(('Criaturas - Base de Dados'!H178*'Sistema de Raridade e Evolução'!E5)*1000,2)</f>
        <v>864000</v>
      </c>
      <c r="G1061" s="8">
        <f>ROUND('Criaturas - Base de Dados'!I178*'Sistema de Raridade e Evolução'!E5,0)</f>
        <v>522</v>
      </c>
      <c r="H1061" s="8">
        <f>ROUND('Criaturas - Base de Dados'!J178*'Sistema de Raridade e Evolução'!E5,0)</f>
        <v>432</v>
      </c>
      <c r="I1061" s="8">
        <f>ROUND('Criaturas - Base de Dados'!K178*'Sistema de Raridade e Evolução'!E5,0)</f>
        <v>2772</v>
      </c>
      <c r="J1061" s="8">
        <f>'Sistema de Raridade e Evolução'!D5</f>
        <v>31</v>
      </c>
      <c r="K1061" s="8" t="s">
        <v>11</v>
      </c>
      <c r="L1061" s="9">
        <f t="shared" si="16"/>
        <v>2057142.86</v>
      </c>
    </row>
    <row r="1062" spans="1:12" ht="14.25" hidden="1" customHeight="1" x14ac:dyDescent="0.3">
      <c r="A1062" s="8">
        <v>1061</v>
      </c>
      <c r="B1062" s="8" t="str">
        <f>'Criaturas - Base de Dados'!B178</f>
        <v>Areia Amaldiçoada</v>
      </c>
      <c r="C1062" s="8" t="str">
        <f>'Criaturas - Base de Dados'!C178</f>
        <v>Morte</v>
      </c>
      <c r="D1062" s="8" t="str">
        <f>'Criaturas - Base de Dados'!D178</f>
        <v>Camelo Espectral</v>
      </c>
      <c r="E1062" s="8" t="str">
        <f>'Sistema de Raridade e Evolução'!B6</f>
        <v>Platina</v>
      </c>
      <c r="F1062" s="9">
        <f>ROUND(('Criaturas - Base de Dados'!H178*'Sistema de Raridade e Evolução'!E6)*1000,2)</f>
        <v>2400000</v>
      </c>
      <c r="G1062" s="8">
        <f>ROUND('Criaturas - Base de Dados'!I178*'Sistema de Raridade e Evolução'!E6,0)</f>
        <v>1450</v>
      </c>
      <c r="H1062" s="8">
        <f>ROUND('Criaturas - Base de Dados'!J178*'Sistema de Raridade e Evolução'!E6,0)</f>
        <v>1200</v>
      </c>
      <c r="I1062" s="8">
        <f>ROUND('Criaturas - Base de Dados'!K178*'Sistema de Raridade e Evolução'!E6,0)</f>
        <v>7700</v>
      </c>
      <c r="J1062" s="8">
        <f>'Sistema de Raridade e Evolução'!D6</f>
        <v>56</v>
      </c>
      <c r="K1062" s="8" t="s">
        <v>12</v>
      </c>
      <c r="L1062" s="9">
        <f t="shared" si="16"/>
        <v>5714285.71</v>
      </c>
    </row>
    <row r="1063" spans="1:12" ht="14.25" hidden="1" customHeight="1" x14ac:dyDescent="0.3">
      <c r="A1063" s="8">
        <v>1062</v>
      </c>
      <c r="B1063" s="8" t="str">
        <f>'Criaturas - Base de Dados'!B178</f>
        <v>Areia Amaldiçoada</v>
      </c>
      <c r="C1063" s="8" t="str">
        <f>'Criaturas - Base de Dados'!C178</f>
        <v>Morte</v>
      </c>
      <c r="D1063" s="8" t="str">
        <f>'Criaturas - Base de Dados'!D178</f>
        <v>Camelo Espectral</v>
      </c>
      <c r="E1063" s="8" t="str">
        <f>'Sistema de Raridade e Evolução'!B7</f>
        <v>Lendário</v>
      </c>
      <c r="F1063" s="9">
        <f>ROUND(('Criaturas - Base de Dados'!H178*'Sistema de Raridade e Evolução'!E7)*1000,2)</f>
        <v>7200000</v>
      </c>
      <c r="G1063" s="8">
        <f>ROUND('Criaturas - Base de Dados'!I178*'Sistema de Raridade e Evolução'!E7,0)</f>
        <v>4350</v>
      </c>
      <c r="H1063" s="8">
        <f>ROUND('Criaturas - Base de Dados'!J178*'Sistema de Raridade e Evolução'!E7,0)</f>
        <v>3600</v>
      </c>
      <c r="I1063" s="8">
        <f>ROUND('Criaturas - Base de Dados'!K178*'Sistema de Raridade e Evolução'!E7,0)</f>
        <v>23100</v>
      </c>
      <c r="J1063" s="8">
        <f>'Sistema de Raridade e Evolução'!D7</f>
        <v>91</v>
      </c>
      <c r="K1063" s="8" t="s">
        <v>925</v>
      </c>
      <c r="L1063" s="9">
        <f t="shared" si="16"/>
        <v>17142857.140000001</v>
      </c>
    </row>
    <row r="1064" spans="1:12" ht="14.25" customHeight="1" x14ac:dyDescent="0.3">
      <c r="A1064" s="8">
        <v>1063</v>
      </c>
      <c r="B1064" s="8" t="str">
        <f>'Criaturas - Base de Dados'!B179</f>
        <v>Areia Amaldiçoada</v>
      </c>
      <c r="C1064" s="8" t="str">
        <f>'Criaturas - Base de Dados'!C179</f>
        <v>Morte</v>
      </c>
      <c r="D1064" s="8" t="str">
        <f>'Criaturas - Base de Dados'!D179</f>
        <v>Wyrm de Areia</v>
      </c>
      <c r="E1064" s="8" t="str">
        <f>'Sistema de Raridade e Evolução'!B2</f>
        <v>Default</v>
      </c>
      <c r="F1064" s="9" t="e">
        <f>ROUND(('Criaturas - Base de Dados'!H179*'Sistema de Raridade e Evolução'!E2)*1000,2)</f>
        <v>#VALUE!</v>
      </c>
      <c r="G1064" s="8" t="e">
        <f>ROUND('Criaturas - Base de Dados'!I179*'Sistema de Raridade e Evolução'!E2,0)</f>
        <v>#VALUE!</v>
      </c>
      <c r="H1064" s="8" t="e">
        <f>ROUND('Criaturas - Base de Dados'!J179*'Sistema de Raridade e Evolução'!E2,0)</f>
        <v>#VALUE!</v>
      </c>
      <c r="I1064" s="8" t="e">
        <f>ROUND('Criaturas - Base de Dados'!K179*'Sistema de Raridade e Evolução'!E2,0)</f>
        <v>#VALUE!</v>
      </c>
      <c r="J1064" s="8">
        <f>'Sistema de Raridade e Evolução'!D2</f>
        <v>1</v>
      </c>
      <c r="K1064" s="8" t="s">
        <v>8</v>
      </c>
      <c r="L1064" s="9" t="e">
        <f t="shared" si="16"/>
        <v>#VALUE!</v>
      </c>
    </row>
    <row r="1065" spans="1:12" ht="14.25" hidden="1" customHeight="1" x14ac:dyDescent="0.3">
      <c r="A1065" s="8">
        <v>1064</v>
      </c>
      <c r="B1065" s="8" t="str">
        <f>'Criaturas - Base de Dados'!B179</f>
        <v>Areia Amaldiçoada</v>
      </c>
      <c r="C1065" s="8" t="str">
        <f>'Criaturas - Base de Dados'!C179</f>
        <v>Morte</v>
      </c>
      <c r="D1065" s="8" t="str">
        <f>'Criaturas - Base de Dados'!D179</f>
        <v>Wyrm de Areia</v>
      </c>
      <c r="E1065" s="8" t="str">
        <f>'Sistema de Raridade e Evolução'!B3</f>
        <v>Bronze</v>
      </c>
      <c r="F1065" s="9">
        <f>ROUND(('Criaturas - Base de Dados'!H179*'Sistema de Raridade e Evolução'!E3)*1000,2)</f>
        <v>50000</v>
      </c>
      <c r="G1065" s="8">
        <f>ROUND('Criaturas - Base de Dados'!I179*'Sistema de Raridade e Evolução'!E3,0)</f>
        <v>30</v>
      </c>
      <c r="H1065" s="8">
        <f>ROUND('Criaturas - Base de Dados'!J179*'Sistema de Raridade e Evolução'!E3,0)</f>
        <v>25</v>
      </c>
      <c r="I1065" s="8">
        <f>ROUND('Criaturas - Base de Dados'!K179*'Sistema de Raridade e Evolução'!E3,0)</f>
        <v>160</v>
      </c>
      <c r="J1065" s="8">
        <f>'Sistema de Raridade e Evolução'!D3</f>
        <v>6</v>
      </c>
      <c r="K1065" s="8" t="s">
        <v>9</v>
      </c>
      <c r="L1065" s="9">
        <f t="shared" si="16"/>
        <v>119047.62</v>
      </c>
    </row>
    <row r="1066" spans="1:12" ht="14.25" hidden="1" customHeight="1" x14ac:dyDescent="0.3">
      <c r="A1066" s="8">
        <v>1065</v>
      </c>
      <c r="B1066" s="8" t="str">
        <f>'Criaturas - Base de Dados'!B179</f>
        <v>Areia Amaldiçoada</v>
      </c>
      <c r="C1066" s="8" t="str">
        <f>'Criaturas - Base de Dados'!C179</f>
        <v>Morte</v>
      </c>
      <c r="D1066" s="8" t="str">
        <f>'Criaturas - Base de Dados'!D179</f>
        <v>Wyrm de Areia</v>
      </c>
      <c r="E1066" s="8" t="str">
        <f>'Sistema de Raridade e Evolução'!B4</f>
        <v>Prata</v>
      </c>
      <c r="F1066" s="9">
        <f>ROUND(('Criaturas - Base de Dados'!H179*'Sistema de Raridade e Evolução'!E4)*1000,2)</f>
        <v>300000</v>
      </c>
      <c r="G1066" s="8">
        <f>ROUND('Criaturas - Base de Dados'!I179*'Sistema de Raridade e Evolução'!E4,0)</f>
        <v>180</v>
      </c>
      <c r="H1066" s="8">
        <f>ROUND('Criaturas - Base de Dados'!J179*'Sistema de Raridade e Evolução'!E4,0)</f>
        <v>150</v>
      </c>
      <c r="I1066" s="8">
        <f>ROUND('Criaturas - Base de Dados'!K179*'Sistema de Raridade e Evolução'!E4,0)</f>
        <v>960</v>
      </c>
      <c r="J1066" s="8">
        <f>'Sistema de Raridade e Evolução'!D4</f>
        <v>16</v>
      </c>
      <c r="K1066" s="8" t="s">
        <v>10</v>
      </c>
      <c r="L1066" s="9">
        <f t="shared" si="16"/>
        <v>714285.71</v>
      </c>
    </row>
    <row r="1067" spans="1:12" ht="14.25" hidden="1" customHeight="1" x14ac:dyDescent="0.3">
      <c r="A1067" s="8">
        <v>1066</v>
      </c>
      <c r="B1067" s="8" t="str">
        <f>'Criaturas - Base de Dados'!B179</f>
        <v>Areia Amaldiçoada</v>
      </c>
      <c r="C1067" s="8" t="str">
        <f>'Criaturas - Base de Dados'!C179</f>
        <v>Morte</v>
      </c>
      <c r="D1067" s="8" t="str">
        <f>'Criaturas - Base de Dados'!D179</f>
        <v>Wyrm de Areia</v>
      </c>
      <c r="E1067" s="8" t="str">
        <f>'Sistema de Raridade e Evolução'!B5</f>
        <v>Ouro</v>
      </c>
      <c r="F1067" s="9">
        <f>ROUND(('Criaturas - Base de Dados'!H179*'Sistema de Raridade e Evolução'!E5)*1000,2)</f>
        <v>900000</v>
      </c>
      <c r="G1067" s="8">
        <f>ROUND('Criaturas - Base de Dados'!I179*'Sistema de Raridade e Evolução'!E5,0)</f>
        <v>540</v>
      </c>
      <c r="H1067" s="8">
        <f>ROUND('Criaturas - Base de Dados'!J179*'Sistema de Raridade e Evolução'!E5,0)</f>
        <v>450</v>
      </c>
      <c r="I1067" s="8">
        <f>ROUND('Criaturas - Base de Dados'!K179*'Sistema de Raridade e Evolução'!E5,0)</f>
        <v>2880</v>
      </c>
      <c r="J1067" s="8">
        <f>'Sistema de Raridade e Evolução'!D5</f>
        <v>31</v>
      </c>
      <c r="K1067" s="8" t="s">
        <v>11</v>
      </c>
      <c r="L1067" s="9">
        <f t="shared" si="16"/>
        <v>2142857.14</v>
      </c>
    </row>
    <row r="1068" spans="1:12" ht="14.25" hidden="1" customHeight="1" x14ac:dyDescent="0.3">
      <c r="A1068" s="8">
        <v>1067</v>
      </c>
      <c r="B1068" s="8" t="str">
        <f>'Criaturas - Base de Dados'!B179</f>
        <v>Areia Amaldiçoada</v>
      </c>
      <c r="C1068" s="8" t="str">
        <f>'Criaturas - Base de Dados'!C179</f>
        <v>Morte</v>
      </c>
      <c r="D1068" s="8" t="str">
        <f>'Criaturas - Base de Dados'!D179</f>
        <v>Wyrm de Areia</v>
      </c>
      <c r="E1068" s="8" t="str">
        <f>'Sistema de Raridade e Evolução'!B6</f>
        <v>Platina</v>
      </c>
      <c r="F1068" s="9">
        <f>ROUND(('Criaturas - Base de Dados'!H179*'Sistema de Raridade e Evolução'!E6)*1000,2)</f>
        <v>2500000</v>
      </c>
      <c r="G1068" s="8">
        <f>ROUND('Criaturas - Base de Dados'!I179*'Sistema de Raridade e Evolução'!E6,0)</f>
        <v>1500</v>
      </c>
      <c r="H1068" s="8">
        <f>ROUND('Criaturas - Base de Dados'!J179*'Sistema de Raridade e Evolução'!E6,0)</f>
        <v>1250</v>
      </c>
      <c r="I1068" s="8">
        <f>ROUND('Criaturas - Base de Dados'!K179*'Sistema de Raridade e Evolução'!E6,0)</f>
        <v>8000</v>
      </c>
      <c r="J1068" s="8">
        <f>'Sistema de Raridade e Evolução'!D6</f>
        <v>56</v>
      </c>
      <c r="K1068" s="8" t="s">
        <v>12</v>
      </c>
      <c r="L1068" s="9">
        <f t="shared" si="16"/>
        <v>5952380.9500000002</v>
      </c>
    </row>
    <row r="1069" spans="1:12" ht="14.25" hidden="1" customHeight="1" x14ac:dyDescent="0.3">
      <c r="A1069" s="8">
        <v>1068</v>
      </c>
      <c r="B1069" s="8" t="str">
        <f>'Criaturas - Base de Dados'!B179</f>
        <v>Areia Amaldiçoada</v>
      </c>
      <c r="C1069" s="8" t="str">
        <f>'Criaturas - Base de Dados'!C179</f>
        <v>Morte</v>
      </c>
      <c r="D1069" s="8" t="str">
        <f>'Criaturas - Base de Dados'!D179</f>
        <v>Wyrm de Areia</v>
      </c>
      <c r="E1069" s="8" t="str">
        <f>'Sistema de Raridade e Evolução'!B7</f>
        <v>Lendário</v>
      </c>
      <c r="F1069" s="9">
        <f>ROUND(('Criaturas - Base de Dados'!H179*'Sistema de Raridade e Evolução'!E7)*1000,2)</f>
        <v>7500000</v>
      </c>
      <c r="G1069" s="8">
        <f>ROUND('Criaturas - Base de Dados'!I179*'Sistema de Raridade e Evolução'!E7,0)</f>
        <v>4500</v>
      </c>
      <c r="H1069" s="8">
        <f>ROUND('Criaturas - Base de Dados'!J179*'Sistema de Raridade e Evolução'!E7,0)</f>
        <v>3750</v>
      </c>
      <c r="I1069" s="8">
        <f>ROUND('Criaturas - Base de Dados'!K179*'Sistema de Raridade e Evolução'!E7,0)</f>
        <v>24000</v>
      </c>
      <c r="J1069" s="8">
        <f>'Sistema de Raridade e Evolução'!D7</f>
        <v>91</v>
      </c>
      <c r="K1069" s="8" t="s">
        <v>925</v>
      </c>
      <c r="L1069" s="9">
        <f t="shared" si="16"/>
        <v>17857142.859999999</v>
      </c>
    </row>
    <row r="1070" spans="1:12" ht="14.25" customHeight="1" x14ac:dyDescent="0.3">
      <c r="A1070" s="8">
        <v>1069</v>
      </c>
      <c r="B1070" s="8" t="str">
        <f>'Criaturas - Base de Dados'!B180</f>
        <v>Areia Amaldiçoada</v>
      </c>
      <c r="C1070" s="8" t="str">
        <f>'Criaturas - Base de Dados'!C180</f>
        <v>Morte</v>
      </c>
      <c r="D1070" s="8" t="str">
        <f>'Criaturas - Base de Dados'!D180</f>
        <v>Sombra do Faraó</v>
      </c>
      <c r="E1070" s="8" t="str">
        <f>'Sistema de Raridade e Evolução'!B2</f>
        <v>Default</v>
      </c>
      <c r="F1070" s="9" t="e">
        <f>ROUND(('Criaturas - Base de Dados'!H180*'Sistema de Raridade e Evolução'!E2)*1000,2)</f>
        <v>#VALUE!</v>
      </c>
      <c r="G1070" s="8" t="e">
        <f>ROUND('Criaturas - Base de Dados'!I180*'Sistema de Raridade e Evolução'!E2,0)</f>
        <v>#VALUE!</v>
      </c>
      <c r="H1070" s="8" t="e">
        <f>ROUND('Criaturas - Base de Dados'!J180*'Sistema de Raridade e Evolução'!E2,0)</f>
        <v>#VALUE!</v>
      </c>
      <c r="I1070" s="8" t="e">
        <f>ROUND('Criaturas - Base de Dados'!K180*'Sistema de Raridade e Evolução'!E2,0)</f>
        <v>#VALUE!</v>
      </c>
      <c r="J1070" s="8">
        <f>'Sistema de Raridade e Evolução'!D2</f>
        <v>1</v>
      </c>
      <c r="K1070" s="8" t="s">
        <v>8</v>
      </c>
      <c r="L1070" s="9" t="e">
        <f t="shared" si="16"/>
        <v>#VALUE!</v>
      </c>
    </row>
    <row r="1071" spans="1:12" ht="14.25" hidden="1" customHeight="1" x14ac:dyDescent="0.3">
      <c r="A1071" s="8">
        <v>1070</v>
      </c>
      <c r="B1071" s="8" t="str">
        <f>'Criaturas - Base de Dados'!B180</f>
        <v>Areia Amaldiçoada</v>
      </c>
      <c r="C1071" s="8" t="str">
        <f>'Criaturas - Base de Dados'!C180</f>
        <v>Morte</v>
      </c>
      <c r="D1071" s="8" t="str">
        <f>'Criaturas - Base de Dados'!D180</f>
        <v>Sombra do Faraó</v>
      </c>
      <c r="E1071" s="8" t="str">
        <f>'Sistema de Raridade e Evolução'!B3</f>
        <v>Bronze</v>
      </c>
      <c r="F1071" s="9">
        <f>ROUND(('Criaturas - Base de Dados'!H180*'Sistema de Raridade e Evolução'!E3)*1000,2)</f>
        <v>69000</v>
      </c>
      <c r="G1071" s="8">
        <f>ROUND('Criaturas - Base de Dados'!I180*'Sistema de Raridade e Evolução'!E3,0)</f>
        <v>41</v>
      </c>
      <c r="H1071" s="8">
        <f>ROUND('Criaturas - Base de Dados'!J180*'Sistema de Raridade e Evolução'!E3,0)</f>
        <v>34</v>
      </c>
      <c r="I1071" s="8">
        <f>ROUND('Criaturas - Base de Dados'!K180*'Sistema de Raridade e Evolução'!E3,0)</f>
        <v>221</v>
      </c>
      <c r="J1071" s="8">
        <f>'Sistema de Raridade e Evolução'!D3</f>
        <v>6</v>
      </c>
      <c r="K1071" s="8" t="s">
        <v>9</v>
      </c>
      <c r="L1071" s="9">
        <f t="shared" si="16"/>
        <v>164285.71</v>
      </c>
    </row>
    <row r="1072" spans="1:12" ht="14.25" hidden="1" customHeight="1" x14ac:dyDescent="0.3">
      <c r="A1072" s="8">
        <v>1071</v>
      </c>
      <c r="B1072" s="8" t="str">
        <f>'Criaturas - Base de Dados'!B180</f>
        <v>Areia Amaldiçoada</v>
      </c>
      <c r="C1072" s="8" t="str">
        <f>'Criaturas - Base de Dados'!C180</f>
        <v>Morte</v>
      </c>
      <c r="D1072" s="8" t="str">
        <f>'Criaturas - Base de Dados'!D180</f>
        <v>Sombra do Faraó</v>
      </c>
      <c r="E1072" s="8" t="str">
        <f>'Sistema de Raridade e Evolução'!B4</f>
        <v>Prata</v>
      </c>
      <c r="F1072" s="9">
        <f>ROUND(('Criaturas - Base de Dados'!H180*'Sistema de Raridade e Evolução'!E4)*1000,2)</f>
        <v>414000</v>
      </c>
      <c r="G1072" s="8">
        <f>ROUND('Criaturas - Base de Dados'!I180*'Sistema de Raridade e Evolução'!E4,0)</f>
        <v>246</v>
      </c>
      <c r="H1072" s="8">
        <f>ROUND('Criaturas - Base de Dados'!J180*'Sistema de Raridade e Evolução'!E4,0)</f>
        <v>204</v>
      </c>
      <c r="I1072" s="8">
        <f>ROUND('Criaturas - Base de Dados'!K180*'Sistema de Raridade e Evolução'!E4,0)</f>
        <v>1326</v>
      </c>
      <c r="J1072" s="8">
        <f>'Sistema de Raridade e Evolução'!D4</f>
        <v>16</v>
      </c>
      <c r="K1072" s="8" t="s">
        <v>10</v>
      </c>
      <c r="L1072" s="9">
        <f t="shared" si="16"/>
        <v>985714.29</v>
      </c>
    </row>
    <row r="1073" spans="1:12" ht="14.25" hidden="1" customHeight="1" x14ac:dyDescent="0.3">
      <c r="A1073" s="8">
        <v>1072</v>
      </c>
      <c r="B1073" s="8" t="str">
        <f>'Criaturas - Base de Dados'!B180</f>
        <v>Areia Amaldiçoada</v>
      </c>
      <c r="C1073" s="8" t="str">
        <f>'Criaturas - Base de Dados'!C180</f>
        <v>Morte</v>
      </c>
      <c r="D1073" s="8" t="str">
        <f>'Criaturas - Base de Dados'!D180</f>
        <v>Sombra do Faraó</v>
      </c>
      <c r="E1073" s="8" t="str">
        <f>'Sistema de Raridade e Evolução'!B5</f>
        <v>Ouro</v>
      </c>
      <c r="F1073" s="9">
        <f>ROUND(('Criaturas - Base de Dados'!H180*'Sistema de Raridade e Evolução'!E5)*1000,2)</f>
        <v>1242000</v>
      </c>
      <c r="G1073" s="8">
        <f>ROUND('Criaturas - Base de Dados'!I180*'Sistema de Raridade e Evolução'!E5,0)</f>
        <v>738</v>
      </c>
      <c r="H1073" s="8">
        <f>ROUND('Criaturas - Base de Dados'!J180*'Sistema de Raridade e Evolução'!E5,0)</f>
        <v>612</v>
      </c>
      <c r="I1073" s="8">
        <f>ROUND('Criaturas - Base de Dados'!K180*'Sistema de Raridade e Evolução'!E5,0)</f>
        <v>3978</v>
      </c>
      <c r="J1073" s="8">
        <f>'Sistema de Raridade e Evolução'!D5</f>
        <v>31</v>
      </c>
      <c r="K1073" s="8" t="s">
        <v>11</v>
      </c>
      <c r="L1073" s="9">
        <f t="shared" si="16"/>
        <v>2957142.86</v>
      </c>
    </row>
    <row r="1074" spans="1:12" ht="14.25" hidden="1" customHeight="1" x14ac:dyDescent="0.3">
      <c r="A1074" s="8">
        <v>1073</v>
      </c>
      <c r="B1074" s="8" t="str">
        <f>'Criaturas - Base de Dados'!B180</f>
        <v>Areia Amaldiçoada</v>
      </c>
      <c r="C1074" s="8" t="str">
        <f>'Criaturas - Base de Dados'!C180</f>
        <v>Morte</v>
      </c>
      <c r="D1074" s="8" t="str">
        <f>'Criaturas - Base de Dados'!D180</f>
        <v>Sombra do Faraó</v>
      </c>
      <c r="E1074" s="8" t="str">
        <f>'Sistema de Raridade e Evolução'!B6</f>
        <v>Platina</v>
      </c>
      <c r="F1074" s="9">
        <f>ROUND(('Criaturas - Base de Dados'!H180*'Sistema de Raridade e Evolução'!E6)*1000,2)</f>
        <v>3450000</v>
      </c>
      <c r="G1074" s="8">
        <f>ROUND('Criaturas - Base de Dados'!I180*'Sistema de Raridade e Evolução'!E6,0)</f>
        <v>2050</v>
      </c>
      <c r="H1074" s="8">
        <f>ROUND('Criaturas - Base de Dados'!J180*'Sistema de Raridade e Evolução'!E6,0)</f>
        <v>1700</v>
      </c>
      <c r="I1074" s="8">
        <f>ROUND('Criaturas - Base de Dados'!K180*'Sistema de Raridade e Evolução'!E6,0)</f>
        <v>11050</v>
      </c>
      <c r="J1074" s="8">
        <f>'Sistema de Raridade e Evolução'!D6</f>
        <v>56</v>
      </c>
      <c r="K1074" s="8" t="s">
        <v>12</v>
      </c>
      <c r="L1074" s="9">
        <f t="shared" si="16"/>
        <v>8214285.71</v>
      </c>
    </row>
    <row r="1075" spans="1:12" ht="14.25" hidden="1" customHeight="1" x14ac:dyDescent="0.3">
      <c r="A1075" s="8">
        <v>1074</v>
      </c>
      <c r="B1075" s="8" t="str">
        <f>'Criaturas - Base de Dados'!B180</f>
        <v>Areia Amaldiçoada</v>
      </c>
      <c r="C1075" s="8" t="str">
        <f>'Criaturas - Base de Dados'!C180</f>
        <v>Morte</v>
      </c>
      <c r="D1075" s="8" t="str">
        <f>'Criaturas - Base de Dados'!D180</f>
        <v>Sombra do Faraó</v>
      </c>
      <c r="E1075" s="8" t="str">
        <f>'Sistema de Raridade e Evolução'!B7</f>
        <v>Lendário</v>
      </c>
      <c r="F1075" s="9">
        <f>ROUND(('Criaturas - Base de Dados'!H180*'Sistema de Raridade e Evolução'!E7)*1000,2)</f>
        <v>10350000</v>
      </c>
      <c r="G1075" s="8">
        <f>ROUND('Criaturas - Base de Dados'!I180*'Sistema de Raridade e Evolução'!E7,0)</f>
        <v>6150</v>
      </c>
      <c r="H1075" s="8">
        <f>ROUND('Criaturas - Base de Dados'!J180*'Sistema de Raridade e Evolução'!E7,0)</f>
        <v>5100</v>
      </c>
      <c r="I1075" s="8">
        <f>ROUND('Criaturas - Base de Dados'!K180*'Sistema de Raridade e Evolução'!E7,0)</f>
        <v>33150</v>
      </c>
      <c r="J1075" s="8">
        <f>'Sistema de Raridade e Evolução'!D7</f>
        <v>91</v>
      </c>
      <c r="K1075" s="8" t="s">
        <v>925</v>
      </c>
      <c r="L1075" s="9">
        <f t="shared" si="16"/>
        <v>24642857.140000001</v>
      </c>
    </row>
    <row r="1076" spans="1:12" ht="14.25" customHeight="1" x14ac:dyDescent="0.3">
      <c r="A1076" s="8">
        <v>1075</v>
      </c>
      <c r="B1076" s="8" t="str">
        <f>'Criaturas - Base de Dados'!B181</f>
        <v>Areia Amaldiçoada</v>
      </c>
      <c r="C1076" s="8" t="str">
        <f>'Criaturas - Base de Dados'!C181</f>
        <v>Morte</v>
      </c>
      <c r="D1076" s="8" t="str">
        <f>'Criaturas - Base de Dados'!D181</f>
        <v>Guardião de Obelisco</v>
      </c>
      <c r="E1076" s="8" t="str">
        <f>'Sistema de Raridade e Evolução'!B2</f>
        <v>Default</v>
      </c>
      <c r="F1076" s="9" t="e">
        <f>ROUND(('Criaturas - Base de Dados'!H181*'Sistema de Raridade e Evolução'!E2)*1000,2)</f>
        <v>#VALUE!</v>
      </c>
      <c r="G1076" s="8" t="e">
        <f>ROUND('Criaturas - Base de Dados'!I181*'Sistema de Raridade e Evolução'!E2,0)</f>
        <v>#VALUE!</v>
      </c>
      <c r="H1076" s="8" t="e">
        <f>ROUND('Criaturas - Base de Dados'!J181*'Sistema de Raridade e Evolução'!E2,0)</f>
        <v>#VALUE!</v>
      </c>
      <c r="I1076" s="8" t="e">
        <f>ROUND('Criaturas - Base de Dados'!K181*'Sistema de Raridade e Evolução'!E2,0)</f>
        <v>#VALUE!</v>
      </c>
      <c r="J1076" s="8">
        <f>'Sistema de Raridade e Evolução'!D2</f>
        <v>1</v>
      </c>
      <c r="K1076" s="8" t="s">
        <v>8</v>
      </c>
      <c r="L1076" s="9" t="e">
        <f t="shared" si="16"/>
        <v>#VALUE!</v>
      </c>
    </row>
    <row r="1077" spans="1:12" ht="14.25" hidden="1" customHeight="1" x14ac:dyDescent="0.3">
      <c r="A1077" s="8">
        <v>1076</v>
      </c>
      <c r="B1077" s="8" t="str">
        <f>'Criaturas - Base de Dados'!B181</f>
        <v>Areia Amaldiçoada</v>
      </c>
      <c r="C1077" s="8" t="str">
        <f>'Criaturas - Base de Dados'!C181</f>
        <v>Morte</v>
      </c>
      <c r="D1077" s="8" t="str">
        <f>'Criaturas - Base de Dados'!D181</f>
        <v>Guardião de Obelisco</v>
      </c>
      <c r="E1077" s="8" t="str">
        <f>'Sistema de Raridade e Evolução'!B3</f>
        <v>Bronze</v>
      </c>
      <c r="F1077" s="9">
        <f>ROUND(('Criaturas - Base de Dados'!H181*'Sistema de Raridade e Evolução'!E3)*1000,2)</f>
        <v>71000</v>
      </c>
      <c r="G1077" s="8">
        <f>ROUND('Criaturas - Base de Dados'!I181*'Sistema de Raridade e Evolução'!E3,0)</f>
        <v>43</v>
      </c>
      <c r="H1077" s="8">
        <f>ROUND('Criaturas - Base de Dados'!J181*'Sistema de Raridade e Evolução'!E3,0)</f>
        <v>36</v>
      </c>
      <c r="I1077" s="8">
        <f>ROUND('Criaturas - Base de Dados'!K181*'Sistema de Raridade e Evolução'!E3,0)</f>
        <v>227</v>
      </c>
      <c r="J1077" s="8">
        <f>'Sistema de Raridade e Evolução'!D3</f>
        <v>6</v>
      </c>
      <c r="K1077" s="8" t="s">
        <v>9</v>
      </c>
      <c r="L1077" s="9">
        <f t="shared" si="16"/>
        <v>169047.62</v>
      </c>
    </row>
    <row r="1078" spans="1:12" ht="14.25" hidden="1" customHeight="1" x14ac:dyDescent="0.3">
      <c r="A1078" s="8">
        <v>1077</v>
      </c>
      <c r="B1078" s="8" t="str">
        <f>'Criaturas - Base de Dados'!B181</f>
        <v>Areia Amaldiçoada</v>
      </c>
      <c r="C1078" s="8" t="str">
        <f>'Criaturas - Base de Dados'!C181</f>
        <v>Morte</v>
      </c>
      <c r="D1078" s="8" t="str">
        <f>'Criaturas - Base de Dados'!D181</f>
        <v>Guardião de Obelisco</v>
      </c>
      <c r="E1078" s="8" t="str">
        <f>'Sistema de Raridade e Evolução'!B4</f>
        <v>Prata</v>
      </c>
      <c r="F1078" s="9">
        <f>ROUND(('Criaturas - Base de Dados'!H181*'Sistema de Raridade e Evolução'!E4)*1000,2)</f>
        <v>426000</v>
      </c>
      <c r="G1078" s="8">
        <f>ROUND('Criaturas - Base de Dados'!I181*'Sistema de Raridade e Evolução'!E4,0)</f>
        <v>258</v>
      </c>
      <c r="H1078" s="8">
        <f>ROUND('Criaturas - Base de Dados'!J181*'Sistema de Raridade e Evolução'!E4,0)</f>
        <v>216</v>
      </c>
      <c r="I1078" s="8">
        <f>ROUND('Criaturas - Base de Dados'!K181*'Sistema de Raridade e Evolução'!E4,0)</f>
        <v>1362</v>
      </c>
      <c r="J1078" s="8">
        <f>'Sistema de Raridade e Evolução'!D4</f>
        <v>16</v>
      </c>
      <c r="K1078" s="8" t="s">
        <v>10</v>
      </c>
      <c r="L1078" s="9">
        <f t="shared" si="16"/>
        <v>1014285.71</v>
      </c>
    </row>
    <row r="1079" spans="1:12" ht="14.25" hidden="1" customHeight="1" x14ac:dyDescent="0.3">
      <c r="A1079" s="8">
        <v>1078</v>
      </c>
      <c r="B1079" s="8" t="str">
        <f>'Criaturas - Base de Dados'!B181</f>
        <v>Areia Amaldiçoada</v>
      </c>
      <c r="C1079" s="8" t="str">
        <f>'Criaturas - Base de Dados'!C181</f>
        <v>Morte</v>
      </c>
      <c r="D1079" s="8" t="str">
        <f>'Criaturas - Base de Dados'!D181</f>
        <v>Guardião de Obelisco</v>
      </c>
      <c r="E1079" s="8" t="str">
        <f>'Sistema de Raridade e Evolução'!B5</f>
        <v>Ouro</v>
      </c>
      <c r="F1079" s="9">
        <f>ROUND(('Criaturas - Base de Dados'!H181*'Sistema de Raridade e Evolução'!E5)*1000,2)</f>
        <v>1278000</v>
      </c>
      <c r="G1079" s="8">
        <f>ROUND('Criaturas - Base de Dados'!I181*'Sistema de Raridade e Evolução'!E5,0)</f>
        <v>774</v>
      </c>
      <c r="H1079" s="8">
        <f>ROUND('Criaturas - Base de Dados'!J181*'Sistema de Raridade e Evolução'!E5,0)</f>
        <v>648</v>
      </c>
      <c r="I1079" s="8">
        <f>ROUND('Criaturas - Base de Dados'!K181*'Sistema de Raridade e Evolução'!E5,0)</f>
        <v>4086</v>
      </c>
      <c r="J1079" s="8">
        <f>'Sistema de Raridade e Evolução'!D5</f>
        <v>31</v>
      </c>
      <c r="K1079" s="8" t="s">
        <v>11</v>
      </c>
      <c r="L1079" s="9">
        <f t="shared" si="16"/>
        <v>3042857.14</v>
      </c>
    </row>
    <row r="1080" spans="1:12" ht="14.25" hidden="1" customHeight="1" x14ac:dyDescent="0.3">
      <c r="A1080" s="8">
        <v>1079</v>
      </c>
      <c r="B1080" s="8" t="str">
        <f>'Criaturas - Base de Dados'!B181</f>
        <v>Areia Amaldiçoada</v>
      </c>
      <c r="C1080" s="8" t="str">
        <f>'Criaturas - Base de Dados'!C181</f>
        <v>Morte</v>
      </c>
      <c r="D1080" s="8" t="str">
        <f>'Criaturas - Base de Dados'!D181</f>
        <v>Guardião de Obelisco</v>
      </c>
      <c r="E1080" s="8" t="str">
        <f>'Sistema de Raridade e Evolução'!B6</f>
        <v>Platina</v>
      </c>
      <c r="F1080" s="9">
        <f>ROUND(('Criaturas - Base de Dados'!H181*'Sistema de Raridade e Evolução'!E6)*1000,2)</f>
        <v>3550000</v>
      </c>
      <c r="G1080" s="8">
        <f>ROUND('Criaturas - Base de Dados'!I181*'Sistema de Raridade e Evolução'!E6,0)</f>
        <v>2150</v>
      </c>
      <c r="H1080" s="8">
        <f>ROUND('Criaturas - Base de Dados'!J181*'Sistema de Raridade e Evolução'!E6,0)</f>
        <v>1800</v>
      </c>
      <c r="I1080" s="8">
        <f>ROUND('Criaturas - Base de Dados'!K181*'Sistema de Raridade e Evolução'!E6,0)</f>
        <v>11350</v>
      </c>
      <c r="J1080" s="8">
        <f>'Sistema de Raridade e Evolução'!D6</f>
        <v>56</v>
      </c>
      <c r="K1080" s="8" t="s">
        <v>12</v>
      </c>
      <c r="L1080" s="9">
        <f t="shared" si="16"/>
        <v>8452380.9499999993</v>
      </c>
    </row>
    <row r="1081" spans="1:12" ht="14.25" hidden="1" customHeight="1" x14ac:dyDescent="0.3">
      <c r="A1081" s="8">
        <v>1080</v>
      </c>
      <c r="B1081" s="8" t="str">
        <f>'Criaturas - Base de Dados'!B181</f>
        <v>Areia Amaldiçoada</v>
      </c>
      <c r="C1081" s="8" t="str">
        <f>'Criaturas - Base de Dados'!C181</f>
        <v>Morte</v>
      </c>
      <c r="D1081" s="8" t="str">
        <f>'Criaturas - Base de Dados'!D181</f>
        <v>Guardião de Obelisco</v>
      </c>
      <c r="E1081" s="8" t="str">
        <f>'Sistema de Raridade e Evolução'!B7</f>
        <v>Lendário</v>
      </c>
      <c r="F1081" s="9">
        <f>ROUND(('Criaturas - Base de Dados'!H181*'Sistema de Raridade e Evolução'!E7)*1000,2)</f>
        <v>10650000</v>
      </c>
      <c r="G1081" s="8">
        <f>ROUND('Criaturas - Base de Dados'!I181*'Sistema de Raridade e Evolução'!E7,0)</f>
        <v>6450</v>
      </c>
      <c r="H1081" s="8">
        <f>ROUND('Criaturas - Base de Dados'!J181*'Sistema de Raridade e Evolução'!E7,0)</f>
        <v>5400</v>
      </c>
      <c r="I1081" s="8">
        <f>ROUND('Criaturas - Base de Dados'!K181*'Sistema de Raridade e Evolução'!E7,0)</f>
        <v>34050</v>
      </c>
      <c r="J1081" s="8">
        <f>'Sistema de Raridade e Evolução'!D7</f>
        <v>91</v>
      </c>
      <c r="K1081" s="8" t="s">
        <v>925</v>
      </c>
      <c r="L1081" s="9">
        <f t="shared" si="16"/>
        <v>25357142.859999999</v>
      </c>
    </row>
    <row r="1082" spans="1:12" ht="14.25" customHeight="1" x14ac:dyDescent="0.3">
      <c r="A1082" s="8">
        <v>1081</v>
      </c>
      <c r="B1082" s="8" t="str">
        <f>'Criaturas - Base de Dados'!B182</f>
        <v>Selva Esmeralda</v>
      </c>
      <c r="C1082" s="8" t="str">
        <f>'Criaturas - Base de Dados'!C182</f>
        <v>Veneno</v>
      </c>
      <c r="D1082" s="8" t="str">
        <f>'Criaturas - Base de Dados'!D182</f>
        <v>Naga Venenosa</v>
      </c>
      <c r="E1082" s="8" t="str">
        <f>'Sistema de Raridade e Evolução'!B2</f>
        <v>Default</v>
      </c>
      <c r="F1082" s="9" t="e">
        <f>ROUND(('Criaturas - Base de Dados'!H182*'Sistema de Raridade e Evolução'!E2)*1000,2)</f>
        <v>#VALUE!</v>
      </c>
      <c r="G1082" s="8" t="e">
        <f>ROUND('Criaturas - Base de Dados'!I182*'Sistema de Raridade e Evolução'!E2,0)</f>
        <v>#VALUE!</v>
      </c>
      <c r="H1082" s="8" t="e">
        <f>ROUND('Criaturas - Base de Dados'!J182*'Sistema de Raridade e Evolução'!E2,0)</f>
        <v>#VALUE!</v>
      </c>
      <c r="I1082" s="8" t="e">
        <f>ROUND('Criaturas - Base de Dados'!K182*'Sistema de Raridade e Evolução'!E2,0)</f>
        <v>#VALUE!</v>
      </c>
      <c r="J1082" s="8">
        <f>'Sistema de Raridade e Evolução'!D2</f>
        <v>1</v>
      </c>
      <c r="K1082" s="8" t="s">
        <v>8</v>
      </c>
      <c r="L1082" s="9" t="e">
        <f t="shared" si="16"/>
        <v>#VALUE!</v>
      </c>
    </row>
    <row r="1083" spans="1:12" ht="14.25" hidden="1" customHeight="1" x14ac:dyDescent="0.3">
      <c r="A1083" s="8">
        <v>1082</v>
      </c>
      <c r="B1083" s="8" t="str">
        <f>'Criaturas - Base de Dados'!B182</f>
        <v>Selva Esmeralda</v>
      </c>
      <c r="C1083" s="8" t="str">
        <f>'Criaturas - Base de Dados'!C182</f>
        <v>Veneno</v>
      </c>
      <c r="D1083" s="8" t="str">
        <f>'Criaturas - Base de Dados'!D182</f>
        <v>Naga Venenosa</v>
      </c>
      <c r="E1083" s="8" t="str">
        <f>'Sistema de Raridade e Evolução'!B3</f>
        <v>Bronze</v>
      </c>
      <c r="F1083" s="9">
        <f>ROUND(('Criaturas - Base de Dados'!H182*'Sistema de Raridade e Evolução'!E3)*1000,2)</f>
        <v>10000</v>
      </c>
      <c r="G1083" s="8">
        <f>ROUND('Criaturas - Base de Dados'!I182*'Sistema de Raridade e Evolução'!E3,0)</f>
        <v>6</v>
      </c>
      <c r="H1083" s="8">
        <f>ROUND('Criaturas - Base de Dados'!J182*'Sistema de Raridade e Evolução'!E3,0)</f>
        <v>5</v>
      </c>
      <c r="I1083" s="8">
        <f>ROUND('Criaturas - Base de Dados'!K182*'Sistema de Raridade e Evolução'!E3,0)</f>
        <v>32</v>
      </c>
      <c r="J1083" s="8">
        <f>'Sistema de Raridade e Evolução'!D3</f>
        <v>6</v>
      </c>
      <c r="K1083" s="8" t="s">
        <v>9</v>
      </c>
      <c r="L1083" s="9">
        <f t="shared" si="16"/>
        <v>23809.52</v>
      </c>
    </row>
    <row r="1084" spans="1:12" ht="14.25" hidden="1" customHeight="1" x14ac:dyDescent="0.3">
      <c r="A1084" s="8">
        <v>1083</v>
      </c>
      <c r="B1084" s="8" t="str">
        <f>'Criaturas - Base de Dados'!B182</f>
        <v>Selva Esmeralda</v>
      </c>
      <c r="C1084" s="8" t="str">
        <f>'Criaturas - Base de Dados'!C182</f>
        <v>Veneno</v>
      </c>
      <c r="D1084" s="8" t="str">
        <f>'Criaturas - Base de Dados'!D182</f>
        <v>Naga Venenosa</v>
      </c>
      <c r="E1084" s="8" t="str">
        <f>'Sistema de Raridade e Evolução'!B4</f>
        <v>Prata</v>
      </c>
      <c r="F1084" s="9">
        <f>ROUND(('Criaturas - Base de Dados'!H182*'Sistema de Raridade e Evolução'!E4)*1000,2)</f>
        <v>60000</v>
      </c>
      <c r="G1084" s="8">
        <f>ROUND('Criaturas - Base de Dados'!I182*'Sistema de Raridade e Evolução'!E4,0)</f>
        <v>36</v>
      </c>
      <c r="H1084" s="8">
        <f>ROUND('Criaturas - Base de Dados'!J182*'Sistema de Raridade e Evolução'!E4,0)</f>
        <v>30</v>
      </c>
      <c r="I1084" s="8">
        <f>ROUND('Criaturas - Base de Dados'!K182*'Sistema de Raridade e Evolução'!E4,0)</f>
        <v>192</v>
      </c>
      <c r="J1084" s="8">
        <f>'Sistema de Raridade e Evolução'!D4</f>
        <v>16</v>
      </c>
      <c r="K1084" s="8" t="s">
        <v>10</v>
      </c>
      <c r="L1084" s="9">
        <f t="shared" si="16"/>
        <v>142857.14000000001</v>
      </c>
    </row>
    <row r="1085" spans="1:12" ht="14.25" hidden="1" customHeight="1" x14ac:dyDescent="0.3">
      <c r="A1085" s="8">
        <v>1084</v>
      </c>
      <c r="B1085" s="8" t="str">
        <f>'Criaturas - Base de Dados'!B182</f>
        <v>Selva Esmeralda</v>
      </c>
      <c r="C1085" s="8" t="str">
        <f>'Criaturas - Base de Dados'!C182</f>
        <v>Veneno</v>
      </c>
      <c r="D1085" s="8" t="str">
        <f>'Criaturas - Base de Dados'!D182</f>
        <v>Naga Venenosa</v>
      </c>
      <c r="E1085" s="8" t="str">
        <f>'Sistema de Raridade e Evolução'!B5</f>
        <v>Ouro</v>
      </c>
      <c r="F1085" s="9">
        <f>ROUND(('Criaturas - Base de Dados'!H182*'Sistema de Raridade e Evolução'!E5)*1000,2)</f>
        <v>180000</v>
      </c>
      <c r="G1085" s="8">
        <f>ROUND('Criaturas - Base de Dados'!I182*'Sistema de Raridade e Evolução'!E5,0)</f>
        <v>108</v>
      </c>
      <c r="H1085" s="8">
        <f>ROUND('Criaturas - Base de Dados'!J182*'Sistema de Raridade e Evolução'!E5,0)</f>
        <v>90</v>
      </c>
      <c r="I1085" s="8">
        <f>ROUND('Criaturas - Base de Dados'!K182*'Sistema de Raridade e Evolução'!E5,0)</f>
        <v>576</v>
      </c>
      <c r="J1085" s="8">
        <f>'Sistema de Raridade e Evolução'!D5</f>
        <v>31</v>
      </c>
      <c r="K1085" s="8" t="s">
        <v>11</v>
      </c>
      <c r="L1085" s="9">
        <f t="shared" si="16"/>
        <v>428571.43</v>
      </c>
    </row>
    <row r="1086" spans="1:12" ht="14.25" hidden="1" customHeight="1" x14ac:dyDescent="0.3">
      <c r="A1086" s="8">
        <v>1085</v>
      </c>
      <c r="B1086" s="8" t="str">
        <f>'Criaturas - Base de Dados'!B182</f>
        <v>Selva Esmeralda</v>
      </c>
      <c r="C1086" s="8" t="str">
        <f>'Criaturas - Base de Dados'!C182</f>
        <v>Veneno</v>
      </c>
      <c r="D1086" s="8" t="str">
        <f>'Criaturas - Base de Dados'!D182</f>
        <v>Naga Venenosa</v>
      </c>
      <c r="E1086" s="8" t="str">
        <f>'Sistema de Raridade e Evolução'!B6</f>
        <v>Platina</v>
      </c>
      <c r="F1086" s="9">
        <f>ROUND(('Criaturas - Base de Dados'!H182*'Sistema de Raridade e Evolução'!E6)*1000,2)</f>
        <v>500000</v>
      </c>
      <c r="G1086" s="8">
        <f>ROUND('Criaturas - Base de Dados'!I182*'Sistema de Raridade e Evolução'!E6,0)</f>
        <v>300</v>
      </c>
      <c r="H1086" s="8">
        <f>ROUND('Criaturas - Base de Dados'!J182*'Sistema de Raridade e Evolução'!E6,0)</f>
        <v>250</v>
      </c>
      <c r="I1086" s="8">
        <f>ROUND('Criaturas - Base de Dados'!K182*'Sistema de Raridade e Evolução'!E6,0)</f>
        <v>1600</v>
      </c>
      <c r="J1086" s="8">
        <f>'Sistema de Raridade e Evolução'!D6</f>
        <v>56</v>
      </c>
      <c r="K1086" s="8" t="s">
        <v>12</v>
      </c>
      <c r="L1086" s="9">
        <f t="shared" si="16"/>
        <v>1190476.19</v>
      </c>
    </row>
    <row r="1087" spans="1:12" ht="14.25" hidden="1" customHeight="1" x14ac:dyDescent="0.3">
      <c r="A1087" s="8">
        <v>1086</v>
      </c>
      <c r="B1087" s="8" t="str">
        <f>'Criaturas - Base de Dados'!B182</f>
        <v>Selva Esmeralda</v>
      </c>
      <c r="C1087" s="8" t="str">
        <f>'Criaturas - Base de Dados'!C182</f>
        <v>Veneno</v>
      </c>
      <c r="D1087" s="8" t="str">
        <f>'Criaturas - Base de Dados'!D182</f>
        <v>Naga Venenosa</v>
      </c>
      <c r="E1087" s="8" t="str">
        <f>'Sistema de Raridade e Evolução'!B7</f>
        <v>Lendário</v>
      </c>
      <c r="F1087" s="9">
        <f>ROUND(('Criaturas - Base de Dados'!H182*'Sistema de Raridade e Evolução'!E7)*1000,2)</f>
        <v>1500000</v>
      </c>
      <c r="G1087" s="8">
        <f>ROUND('Criaturas - Base de Dados'!I182*'Sistema de Raridade e Evolução'!E7,0)</f>
        <v>900</v>
      </c>
      <c r="H1087" s="8">
        <f>ROUND('Criaturas - Base de Dados'!J182*'Sistema de Raridade e Evolução'!E7,0)</f>
        <v>750</v>
      </c>
      <c r="I1087" s="8">
        <f>ROUND('Criaturas - Base de Dados'!K182*'Sistema de Raridade e Evolução'!E7,0)</f>
        <v>4800</v>
      </c>
      <c r="J1087" s="8">
        <f>'Sistema de Raridade e Evolução'!D7</f>
        <v>91</v>
      </c>
      <c r="K1087" s="8" t="s">
        <v>925</v>
      </c>
      <c r="L1087" s="9">
        <f t="shared" si="16"/>
        <v>3571428.57</v>
      </c>
    </row>
    <row r="1088" spans="1:12" ht="14.25" customHeight="1" x14ac:dyDescent="0.3">
      <c r="A1088" s="8">
        <v>1087</v>
      </c>
      <c r="B1088" s="8" t="str">
        <f>'Criaturas - Base de Dados'!B183</f>
        <v>Selva Esmeralda</v>
      </c>
      <c r="C1088" s="8" t="str">
        <f>'Criaturas - Base de Dados'!C183</f>
        <v>Veneno</v>
      </c>
      <c r="D1088" s="8" t="str">
        <f>'Criaturas - Base de Dados'!D183</f>
        <v>Basilisco da Selva</v>
      </c>
      <c r="E1088" s="8" t="str">
        <f>'Sistema de Raridade e Evolução'!B2</f>
        <v>Default</v>
      </c>
      <c r="F1088" s="9" t="e">
        <f>ROUND(('Criaturas - Base de Dados'!H183*'Sistema de Raridade e Evolução'!E2)*1000,2)</f>
        <v>#VALUE!</v>
      </c>
      <c r="G1088" s="8" t="e">
        <f>ROUND('Criaturas - Base de Dados'!I183*'Sistema de Raridade e Evolução'!E2,0)</f>
        <v>#VALUE!</v>
      </c>
      <c r="H1088" s="8" t="e">
        <f>ROUND('Criaturas - Base de Dados'!J183*'Sistema de Raridade e Evolução'!E2,0)</f>
        <v>#VALUE!</v>
      </c>
      <c r="I1088" s="8" t="e">
        <f>ROUND('Criaturas - Base de Dados'!K183*'Sistema de Raridade e Evolução'!E2,0)</f>
        <v>#VALUE!</v>
      </c>
      <c r="J1088" s="8">
        <f>'Sistema de Raridade e Evolução'!D2</f>
        <v>1</v>
      </c>
      <c r="K1088" s="8" t="s">
        <v>8</v>
      </c>
      <c r="L1088" s="9" t="e">
        <f t="shared" si="16"/>
        <v>#VALUE!</v>
      </c>
    </row>
    <row r="1089" spans="1:12" ht="14.25" hidden="1" customHeight="1" x14ac:dyDescent="0.3">
      <c r="A1089" s="8">
        <v>1088</v>
      </c>
      <c r="B1089" s="8" t="str">
        <f>'Criaturas - Base de Dados'!B183</f>
        <v>Selva Esmeralda</v>
      </c>
      <c r="C1089" s="8" t="str">
        <f>'Criaturas - Base de Dados'!C183</f>
        <v>Veneno</v>
      </c>
      <c r="D1089" s="8" t="str">
        <f>'Criaturas - Base de Dados'!D183</f>
        <v>Basilisco da Selva</v>
      </c>
      <c r="E1089" s="8" t="str">
        <f>'Sistema de Raridade e Evolução'!B3</f>
        <v>Bronze</v>
      </c>
      <c r="F1089" s="9">
        <f>ROUND(('Criaturas - Base de Dados'!H183*'Sistema de Raridade e Evolução'!E3)*1000,2)</f>
        <v>12000</v>
      </c>
      <c r="G1089" s="8">
        <f>ROUND('Criaturas - Base de Dados'!I183*'Sistema de Raridade e Evolução'!E3,0)</f>
        <v>7</v>
      </c>
      <c r="H1089" s="8">
        <f>ROUND('Criaturas - Base de Dados'!J183*'Sistema de Raridade e Evolução'!E3,0)</f>
        <v>6</v>
      </c>
      <c r="I1089" s="8">
        <f>ROUND('Criaturas - Base de Dados'!K183*'Sistema de Raridade e Evolução'!E3,0)</f>
        <v>38</v>
      </c>
      <c r="J1089" s="8">
        <f>'Sistema de Raridade e Evolução'!D3</f>
        <v>6</v>
      </c>
      <c r="K1089" s="8" t="s">
        <v>9</v>
      </c>
      <c r="L1089" s="9">
        <f t="shared" si="16"/>
        <v>28571.43</v>
      </c>
    </row>
    <row r="1090" spans="1:12" ht="14.25" hidden="1" customHeight="1" x14ac:dyDescent="0.3">
      <c r="A1090" s="8">
        <v>1089</v>
      </c>
      <c r="B1090" s="8" t="str">
        <f>'Criaturas - Base de Dados'!B183</f>
        <v>Selva Esmeralda</v>
      </c>
      <c r="C1090" s="8" t="str">
        <f>'Criaturas - Base de Dados'!C183</f>
        <v>Veneno</v>
      </c>
      <c r="D1090" s="8" t="str">
        <f>'Criaturas - Base de Dados'!D183</f>
        <v>Basilisco da Selva</v>
      </c>
      <c r="E1090" s="8" t="str">
        <f>'Sistema de Raridade e Evolução'!B4</f>
        <v>Prata</v>
      </c>
      <c r="F1090" s="9">
        <f>ROUND(('Criaturas - Base de Dados'!H183*'Sistema de Raridade e Evolução'!E4)*1000,2)</f>
        <v>72000</v>
      </c>
      <c r="G1090" s="8">
        <f>ROUND('Criaturas - Base de Dados'!I183*'Sistema de Raridade e Evolução'!E4,0)</f>
        <v>42</v>
      </c>
      <c r="H1090" s="8">
        <f>ROUND('Criaturas - Base de Dados'!J183*'Sistema de Raridade e Evolução'!E4,0)</f>
        <v>36</v>
      </c>
      <c r="I1090" s="8">
        <f>ROUND('Criaturas - Base de Dados'!K183*'Sistema de Raridade e Evolução'!E4,0)</f>
        <v>228</v>
      </c>
      <c r="J1090" s="8">
        <f>'Sistema de Raridade e Evolução'!D4</f>
        <v>16</v>
      </c>
      <c r="K1090" s="8" t="s">
        <v>10</v>
      </c>
      <c r="L1090" s="9">
        <f t="shared" ref="L1090:L1153" si="17">ROUND(F1090*(2.5/1.05),2)</f>
        <v>171428.57</v>
      </c>
    </row>
    <row r="1091" spans="1:12" ht="14.25" hidden="1" customHeight="1" x14ac:dyDescent="0.3">
      <c r="A1091" s="8">
        <v>1090</v>
      </c>
      <c r="B1091" s="8" t="str">
        <f>'Criaturas - Base de Dados'!B183</f>
        <v>Selva Esmeralda</v>
      </c>
      <c r="C1091" s="8" t="str">
        <f>'Criaturas - Base de Dados'!C183</f>
        <v>Veneno</v>
      </c>
      <c r="D1091" s="8" t="str">
        <f>'Criaturas - Base de Dados'!D183</f>
        <v>Basilisco da Selva</v>
      </c>
      <c r="E1091" s="8" t="str">
        <f>'Sistema de Raridade e Evolução'!B5</f>
        <v>Ouro</v>
      </c>
      <c r="F1091" s="9">
        <f>ROUND(('Criaturas - Base de Dados'!H183*'Sistema de Raridade e Evolução'!E5)*1000,2)</f>
        <v>216000</v>
      </c>
      <c r="G1091" s="8">
        <f>ROUND('Criaturas - Base de Dados'!I183*'Sistema de Raridade e Evolução'!E5,0)</f>
        <v>126</v>
      </c>
      <c r="H1091" s="8">
        <f>ROUND('Criaturas - Base de Dados'!J183*'Sistema de Raridade e Evolução'!E5,0)</f>
        <v>108</v>
      </c>
      <c r="I1091" s="8">
        <f>ROUND('Criaturas - Base de Dados'!K183*'Sistema de Raridade e Evolução'!E5,0)</f>
        <v>684</v>
      </c>
      <c r="J1091" s="8">
        <f>'Sistema de Raridade e Evolução'!D5</f>
        <v>31</v>
      </c>
      <c r="K1091" s="8" t="s">
        <v>11</v>
      </c>
      <c r="L1091" s="9">
        <f t="shared" si="17"/>
        <v>514285.71</v>
      </c>
    </row>
    <row r="1092" spans="1:12" ht="14.25" hidden="1" customHeight="1" x14ac:dyDescent="0.3">
      <c r="A1092" s="8">
        <v>1091</v>
      </c>
      <c r="B1092" s="8" t="str">
        <f>'Criaturas - Base de Dados'!B183</f>
        <v>Selva Esmeralda</v>
      </c>
      <c r="C1092" s="8" t="str">
        <f>'Criaturas - Base de Dados'!C183</f>
        <v>Veneno</v>
      </c>
      <c r="D1092" s="8" t="str">
        <f>'Criaturas - Base de Dados'!D183</f>
        <v>Basilisco da Selva</v>
      </c>
      <c r="E1092" s="8" t="str">
        <f>'Sistema de Raridade e Evolução'!B6</f>
        <v>Platina</v>
      </c>
      <c r="F1092" s="9">
        <f>ROUND(('Criaturas - Base de Dados'!H183*'Sistema de Raridade e Evolução'!E6)*1000,2)</f>
        <v>600000</v>
      </c>
      <c r="G1092" s="8">
        <f>ROUND('Criaturas - Base de Dados'!I183*'Sistema de Raridade e Evolução'!E6,0)</f>
        <v>350</v>
      </c>
      <c r="H1092" s="8">
        <f>ROUND('Criaturas - Base de Dados'!J183*'Sistema de Raridade e Evolução'!E6,0)</f>
        <v>300</v>
      </c>
      <c r="I1092" s="8">
        <f>ROUND('Criaturas - Base de Dados'!K183*'Sistema de Raridade e Evolução'!E6,0)</f>
        <v>1900</v>
      </c>
      <c r="J1092" s="8">
        <f>'Sistema de Raridade e Evolução'!D6</f>
        <v>56</v>
      </c>
      <c r="K1092" s="8" t="s">
        <v>12</v>
      </c>
      <c r="L1092" s="9">
        <f t="shared" si="17"/>
        <v>1428571.43</v>
      </c>
    </row>
    <row r="1093" spans="1:12" ht="14.25" hidden="1" customHeight="1" x14ac:dyDescent="0.3">
      <c r="A1093" s="8">
        <v>1092</v>
      </c>
      <c r="B1093" s="8" t="str">
        <f>'Criaturas - Base de Dados'!B183</f>
        <v>Selva Esmeralda</v>
      </c>
      <c r="C1093" s="8" t="str">
        <f>'Criaturas - Base de Dados'!C183</f>
        <v>Veneno</v>
      </c>
      <c r="D1093" s="8" t="str">
        <f>'Criaturas - Base de Dados'!D183</f>
        <v>Basilisco da Selva</v>
      </c>
      <c r="E1093" s="8" t="str">
        <f>'Sistema de Raridade e Evolução'!B7</f>
        <v>Lendário</v>
      </c>
      <c r="F1093" s="9">
        <f>ROUND(('Criaturas - Base de Dados'!H183*'Sistema de Raridade e Evolução'!E7)*1000,2)</f>
        <v>1800000</v>
      </c>
      <c r="G1093" s="8">
        <f>ROUND('Criaturas - Base de Dados'!I183*'Sistema de Raridade e Evolução'!E7,0)</f>
        <v>1050</v>
      </c>
      <c r="H1093" s="8">
        <f>ROUND('Criaturas - Base de Dados'!J183*'Sistema de Raridade e Evolução'!E7,0)</f>
        <v>900</v>
      </c>
      <c r="I1093" s="8">
        <f>ROUND('Criaturas - Base de Dados'!K183*'Sistema de Raridade e Evolução'!E7,0)</f>
        <v>5700</v>
      </c>
      <c r="J1093" s="8">
        <f>'Sistema de Raridade e Evolução'!D7</f>
        <v>91</v>
      </c>
      <c r="K1093" s="8" t="s">
        <v>925</v>
      </c>
      <c r="L1093" s="9">
        <f t="shared" si="17"/>
        <v>4285714.29</v>
      </c>
    </row>
    <row r="1094" spans="1:12" ht="14.25" customHeight="1" x14ac:dyDescent="0.3">
      <c r="A1094" s="8">
        <v>1093</v>
      </c>
      <c r="B1094" s="8" t="str">
        <f>'Criaturas - Base de Dados'!B184</f>
        <v>Selva Esmeralda</v>
      </c>
      <c r="C1094" s="8" t="str">
        <f>'Criaturas - Base de Dados'!C184</f>
        <v>Veneno</v>
      </c>
      <c r="D1094" s="8" t="str">
        <f>'Criaturas - Base de Dados'!D184</f>
        <v>Hidra de Lerna</v>
      </c>
      <c r="E1094" s="8" t="str">
        <f>'Sistema de Raridade e Evolução'!B2</f>
        <v>Default</v>
      </c>
      <c r="F1094" s="9" t="e">
        <f>ROUND(('Criaturas - Base de Dados'!H184*'Sistema de Raridade e Evolução'!E2)*1000,2)</f>
        <v>#VALUE!</v>
      </c>
      <c r="G1094" s="8" t="e">
        <f>ROUND('Criaturas - Base de Dados'!I184*'Sistema de Raridade e Evolução'!E2,0)</f>
        <v>#VALUE!</v>
      </c>
      <c r="H1094" s="8" t="e">
        <f>ROUND('Criaturas - Base de Dados'!J184*'Sistema de Raridade e Evolução'!E2,0)</f>
        <v>#VALUE!</v>
      </c>
      <c r="I1094" s="8" t="e">
        <f>ROUND('Criaturas - Base de Dados'!K184*'Sistema de Raridade e Evolução'!E2,0)</f>
        <v>#VALUE!</v>
      </c>
      <c r="J1094" s="8">
        <f>'Sistema de Raridade e Evolução'!D2</f>
        <v>1</v>
      </c>
      <c r="K1094" s="8" t="s">
        <v>8</v>
      </c>
      <c r="L1094" s="9" t="e">
        <f t="shared" si="17"/>
        <v>#VALUE!</v>
      </c>
    </row>
    <row r="1095" spans="1:12" ht="14.25" hidden="1" customHeight="1" x14ac:dyDescent="0.3">
      <c r="A1095" s="8">
        <v>1094</v>
      </c>
      <c r="B1095" s="8" t="str">
        <f>'Criaturas - Base de Dados'!B184</f>
        <v>Selva Esmeralda</v>
      </c>
      <c r="C1095" s="8" t="str">
        <f>'Criaturas - Base de Dados'!C184</f>
        <v>Veneno</v>
      </c>
      <c r="D1095" s="8" t="str">
        <f>'Criaturas - Base de Dados'!D184</f>
        <v>Hidra de Lerna</v>
      </c>
      <c r="E1095" s="8" t="str">
        <f>'Sistema de Raridade e Evolução'!B3</f>
        <v>Bronze</v>
      </c>
      <c r="F1095" s="9">
        <f>ROUND(('Criaturas - Base de Dados'!H184*'Sistema de Raridade e Evolução'!E3)*1000,2)</f>
        <v>14000</v>
      </c>
      <c r="G1095" s="8">
        <f>ROUND('Criaturas - Base de Dados'!I184*'Sistema de Raridade e Evolução'!E3,0)</f>
        <v>8</v>
      </c>
      <c r="H1095" s="8">
        <f>ROUND('Criaturas - Base de Dados'!J184*'Sistema de Raridade e Evolução'!E3,0)</f>
        <v>7</v>
      </c>
      <c r="I1095" s="8">
        <f>ROUND('Criaturas - Base de Dados'!K184*'Sistema de Raridade e Evolução'!E3,0)</f>
        <v>45</v>
      </c>
      <c r="J1095" s="8">
        <f>'Sistema de Raridade e Evolução'!D3</f>
        <v>6</v>
      </c>
      <c r="K1095" s="8" t="s">
        <v>9</v>
      </c>
      <c r="L1095" s="9">
        <f t="shared" si="17"/>
        <v>33333.33</v>
      </c>
    </row>
    <row r="1096" spans="1:12" ht="14.25" hidden="1" customHeight="1" x14ac:dyDescent="0.3">
      <c r="A1096" s="8">
        <v>1095</v>
      </c>
      <c r="B1096" s="8" t="str">
        <f>'Criaturas - Base de Dados'!B184</f>
        <v>Selva Esmeralda</v>
      </c>
      <c r="C1096" s="8" t="str">
        <f>'Criaturas - Base de Dados'!C184</f>
        <v>Veneno</v>
      </c>
      <c r="D1096" s="8" t="str">
        <f>'Criaturas - Base de Dados'!D184</f>
        <v>Hidra de Lerna</v>
      </c>
      <c r="E1096" s="8" t="str">
        <f>'Sistema de Raridade e Evolução'!B4</f>
        <v>Prata</v>
      </c>
      <c r="F1096" s="9">
        <f>ROUND(('Criaturas - Base de Dados'!H184*'Sistema de Raridade e Evolução'!E4)*1000,2)</f>
        <v>84000</v>
      </c>
      <c r="G1096" s="8">
        <f>ROUND('Criaturas - Base de Dados'!I184*'Sistema de Raridade e Evolução'!E4,0)</f>
        <v>48</v>
      </c>
      <c r="H1096" s="8">
        <f>ROUND('Criaturas - Base de Dados'!J184*'Sistema de Raridade e Evolução'!E4,0)</f>
        <v>42</v>
      </c>
      <c r="I1096" s="8">
        <f>ROUND('Criaturas - Base de Dados'!K184*'Sistema de Raridade e Evolução'!E4,0)</f>
        <v>270</v>
      </c>
      <c r="J1096" s="8">
        <f>'Sistema de Raridade e Evolução'!D4</f>
        <v>16</v>
      </c>
      <c r="K1096" s="8" t="s">
        <v>10</v>
      </c>
      <c r="L1096" s="9">
        <f t="shared" si="17"/>
        <v>200000</v>
      </c>
    </row>
    <row r="1097" spans="1:12" ht="14.25" hidden="1" customHeight="1" x14ac:dyDescent="0.3">
      <c r="A1097" s="8">
        <v>1096</v>
      </c>
      <c r="B1097" s="8" t="str">
        <f>'Criaturas - Base de Dados'!B184</f>
        <v>Selva Esmeralda</v>
      </c>
      <c r="C1097" s="8" t="str">
        <f>'Criaturas - Base de Dados'!C184</f>
        <v>Veneno</v>
      </c>
      <c r="D1097" s="8" t="str">
        <f>'Criaturas - Base de Dados'!D184</f>
        <v>Hidra de Lerna</v>
      </c>
      <c r="E1097" s="8" t="str">
        <f>'Sistema de Raridade e Evolução'!B5</f>
        <v>Ouro</v>
      </c>
      <c r="F1097" s="9">
        <f>ROUND(('Criaturas - Base de Dados'!H184*'Sistema de Raridade e Evolução'!E5)*1000,2)</f>
        <v>252000</v>
      </c>
      <c r="G1097" s="8">
        <f>ROUND('Criaturas - Base de Dados'!I184*'Sistema de Raridade e Evolução'!E5,0)</f>
        <v>144</v>
      </c>
      <c r="H1097" s="8">
        <f>ROUND('Criaturas - Base de Dados'!J184*'Sistema de Raridade e Evolução'!E5,0)</f>
        <v>126</v>
      </c>
      <c r="I1097" s="8">
        <f>ROUND('Criaturas - Base de Dados'!K184*'Sistema de Raridade e Evolução'!E5,0)</f>
        <v>810</v>
      </c>
      <c r="J1097" s="8">
        <f>'Sistema de Raridade e Evolução'!D5</f>
        <v>31</v>
      </c>
      <c r="K1097" s="8" t="s">
        <v>11</v>
      </c>
      <c r="L1097" s="9">
        <f t="shared" si="17"/>
        <v>600000</v>
      </c>
    </row>
    <row r="1098" spans="1:12" ht="14.25" hidden="1" customHeight="1" x14ac:dyDescent="0.3">
      <c r="A1098" s="8">
        <v>1097</v>
      </c>
      <c r="B1098" s="8" t="str">
        <f>'Criaturas - Base de Dados'!B184</f>
        <v>Selva Esmeralda</v>
      </c>
      <c r="C1098" s="8" t="str">
        <f>'Criaturas - Base de Dados'!C184</f>
        <v>Veneno</v>
      </c>
      <c r="D1098" s="8" t="str">
        <f>'Criaturas - Base de Dados'!D184</f>
        <v>Hidra de Lerna</v>
      </c>
      <c r="E1098" s="8" t="str">
        <f>'Sistema de Raridade e Evolução'!B6</f>
        <v>Platina</v>
      </c>
      <c r="F1098" s="9">
        <f>ROUND(('Criaturas - Base de Dados'!H184*'Sistema de Raridade e Evolução'!E6)*1000,2)</f>
        <v>700000</v>
      </c>
      <c r="G1098" s="8">
        <f>ROUND('Criaturas - Base de Dados'!I184*'Sistema de Raridade e Evolução'!E6,0)</f>
        <v>400</v>
      </c>
      <c r="H1098" s="8">
        <f>ROUND('Criaturas - Base de Dados'!J184*'Sistema de Raridade e Evolução'!E6,0)</f>
        <v>350</v>
      </c>
      <c r="I1098" s="8">
        <f>ROUND('Criaturas - Base de Dados'!K184*'Sistema de Raridade e Evolução'!E6,0)</f>
        <v>2250</v>
      </c>
      <c r="J1098" s="8">
        <f>'Sistema de Raridade e Evolução'!D6</f>
        <v>56</v>
      </c>
      <c r="K1098" s="8" t="s">
        <v>12</v>
      </c>
      <c r="L1098" s="9">
        <f t="shared" si="17"/>
        <v>1666666.67</v>
      </c>
    </row>
    <row r="1099" spans="1:12" ht="14.25" hidden="1" customHeight="1" x14ac:dyDescent="0.3">
      <c r="A1099" s="8">
        <v>1098</v>
      </c>
      <c r="B1099" s="8" t="str">
        <f>'Criaturas - Base de Dados'!B184</f>
        <v>Selva Esmeralda</v>
      </c>
      <c r="C1099" s="8" t="str">
        <f>'Criaturas - Base de Dados'!C184</f>
        <v>Veneno</v>
      </c>
      <c r="D1099" s="8" t="str">
        <f>'Criaturas - Base de Dados'!D184</f>
        <v>Hidra de Lerna</v>
      </c>
      <c r="E1099" s="8" t="str">
        <f>'Sistema de Raridade e Evolução'!B7</f>
        <v>Lendário</v>
      </c>
      <c r="F1099" s="9">
        <f>ROUND(('Criaturas - Base de Dados'!H184*'Sistema de Raridade e Evolução'!E7)*1000,2)</f>
        <v>2100000</v>
      </c>
      <c r="G1099" s="8">
        <f>ROUND('Criaturas - Base de Dados'!I184*'Sistema de Raridade e Evolução'!E7,0)</f>
        <v>1200</v>
      </c>
      <c r="H1099" s="8">
        <f>ROUND('Criaturas - Base de Dados'!J184*'Sistema de Raridade e Evolução'!E7,0)</f>
        <v>1050</v>
      </c>
      <c r="I1099" s="8">
        <f>ROUND('Criaturas - Base de Dados'!K184*'Sistema de Raridade e Evolução'!E7,0)</f>
        <v>6750</v>
      </c>
      <c r="J1099" s="8">
        <f>'Sistema de Raridade e Evolução'!D7</f>
        <v>91</v>
      </c>
      <c r="K1099" s="8" t="s">
        <v>925</v>
      </c>
      <c r="L1099" s="9">
        <f t="shared" si="17"/>
        <v>5000000</v>
      </c>
    </row>
    <row r="1100" spans="1:12" ht="14.25" customHeight="1" x14ac:dyDescent="0.3">
      <c r="A1100" s="8">
        <v>1099</v>
      </c>
      <c r="B1100" s="8" t="str">
        <f>'Criaturas - Base de Dados'!B185</f>
        <v>Selva Esmeralda</v>
      </c>
      <c r="C1100" s="8" t="str">
        <f>'Criaturas - Base de Dados'!C185</f>
        <v>Veneno</v>
      </c>
      <c r="D1100" s="8" t="str">
        <f>'Criaturas - Base de Dados'!D185</f>
        <v>Cobra-Rei Ancestral</v>
      </c>
      <c r="E1100" s="8" t="str">
        <f>'Sistema de Raridade e Evolução'!B2</f>
        <v>Default</v>
      </c>
      <c r="F1100" s="9" t="e">
        <f>ROUND(('Criaturas - Base de Dados'!H185*'Sistema de Raridade e Evolução'!E2)*1000,2)</f>
        <v>#VALUE!</v>
      </c>
      <c r="G1100" s="8" t="e">
        <f>ROUND('Criaturas - Base de Dados'!I185*'Sistema de Raridade e Evolução'!E2,0)</f>
        <v>#VALUE!</v>
      </c>
      <c r="H1100" s="8" t="e">
        <f>ROUND('Criaturas - Base de Dados'!J185*'Sistema de Raridade e Evolução'!E2,0)</f>
        <v>#VALUE!</v>
      </c>
      <c r="I1100" s="8" t="e">
        <f>ROUND('Criaturas - Base de Dados'!K185*'Sistema de Raridade e Evolução'!E2,0)</f>
        <v>#VALUE!</v>
      </c>
      <c r="J1100" s="8">
        <f>'Sistema de Raridade e Evolução'!D2</f>
        <v>1</v>
      </c>
      <c r="K1100" s="8" t="s">
        <v>8</v>
      </c>
      <c r="L1100" s="9" t="e">
        <f t="shared" si="17"/>
        <v>#VALUE!</v>
      </c>
    </row>
    <row r="1101" spans="1:12" ht="14.25" hidden="1" customHeight="1" x14ac:dyDescent="0.3">
      <c r="A1101" s="8">
        <v>1100</v>
      </c>
      <c r="B1101" s="8" t="str">
        <f>'Criaturas - Base de Dados'!B185</f>
        <v>Selva Esmeralda</v>
      </c>
      <c r="C1101" s="8" t="str">
        <f>'Criaturas - Base de Dados'!C185</f>
        <v>Veneno</v>
      </c>
      <c r="D1101" s="8" t="str">
        <f>'Criaturas - Base de Dados'!D185</f>
        <v>Cobra-Rei Ancestral</v>
      </c>
      <c r="E1101" s="8" t="str">
        <f>'Sistema de Raridade e Evolução'!B3</f>
        <v>Bronze</v>
      </c>
      <c r="F1101" s="9">
        <f>ROUND(('Criaturas - Base de Dados'!H185*'Sistema de Raridade e Evolução'!E3)*1000,2)</f>
        <v>16000</v>
      </c>
      <c r="G1101" s="8">
        <f>ROUND('Criaturas - Base de Dados'!I185*'Sistema de Raridade e Evolução'!E3,0)</f>
        <v>10</v>
      </c>
      <c r="H1101" s="8">
        <f>ROUND('Criaturas - Base de Dados'!J185*'Sistema de Raridade e Evolução'!E3,0)</f>
        <v>8</v>
      </c>
      <c r="I1101" s="8">
        <f>ROUND('Criaturas - Base de Dados'!K185*'Sistema de Raridade e Evolução'!E3,0)</f>
        <v>51</v>
      </c>
      <c r="J1101" s="8">
        <f>'Sistema de Raridade e Evolução'!D3</f>
        <v>6</v>
      </c>
      <c r="K1101" s="8" t="s">
        <v>9</v>
      </c>
      <c r="L1101" s="9">
        <f t="shared" si="17"/>
        <v>38095.24</v>
      </c>
    </row>
    <row r="1102" spans="1:12" ht="14.25" hidden="1" customHeight="1" x14ac:dyDescent="0.3">
      <c r="A1102" s="8">
        <v>1101</v>
      </c>
      <c r="B1102" s="8" t="str">
        <f>'Criaturas - Base de Dados'!B185</f>
        <v>Selva Esmeralda</v>
      </c>
      <c r="C1102" s="8" t="str">
        <f>'Criaturas - Base de Dados'!C185</f>
        <v>Veneno</v>
      </c>
      <c r="D1102" s="8" t="str">
        <f>'Criaturas - Base de Dados'!D185</f>
        <v>Cobra-Rei Ancestral</v>
      </c>
      <c r="E1102" s="8" t="str">
        <f>'Sistema de Raridade e Evolução'!B4</f>
        <v>Prata</v>
      </c>
      <c r="F1102" s="9">
        <f>ROUND(('Criaturas - Base de Dados'!H185*'Sistema de Raridade e Evolução'!E4)*1000,2)</f>
        <v>96000</v>
      </c>
      <c r="G1102" s="8">
        <f>ROUND('Criaturas - Base de Dados'!I185*'Sistema de Raridade e Evolução'!E4,0)</f>
        <v>60</v>
      </c>
      <c r="H1102" s="8">
        <f>ROUND('Criaturas - Base de Dados'!J185*'Sistema de Raridade e Evolução'!E4,0)</f>
        <v>48</v>
      </c>
      <c r="I1102" s="8">
        <f>ROUND('Criaturas - Base de Dados'!K185*'Sistema de Raridade e Evolução'!E4,0)</f>
        <v>306</v>
      </c>
      <c r="J1102" s="8">
        <f>'Sistema de Raridade e Evolução'!D4</f>
        <v>16</v>
      </c>
      <c r="K1102" s="8" t="s">
        <v>10</v>
      </c>
      <c r="L1102" s="9">
        <f t="shared" si="17"/>
        <v>228571.43</v>
      </c>
    </row>
    <row r="1103" spans="1:12" ht="14.25" hidden="1" customHeight="1" x14ac:dyDescent="0.3">
      <c r="A1103" s="8">
        <v>1102</v>
      </c>
      <c r="B1103" s="8" t="str">
        <f>'Criaturas - Base de Dados'!B185</f>
        <v>Selva Esmeralda</v>
      </c>
      <c r="C1103" s="8" t="str">
        <f>'Criaturas - Base de Dados'!C185</f>
        <v>Veneno</v>
      </c>
      <c r="D1103" s="8" t="str">
        <f>'Criaturas - Base de Dados'!D185</f>
        <v>Cobra-Rei Ancestral</v>
      </c>
      <c r="E1103" s="8" t="str">
        <f>'Sistema de Raridade e Evolução'!B5</f>
        <v>Ouro</v>
      </c>
      <c r="F1103" s="9">
        <f>ROUND(('Criaturas - Base de Dados'!H185*'Sistema de Raridade e Evolução'!E5)*1000,2)</f>
        <v>288000</v>
      </c>
      <c r="G1103" s="8">
        <f>ROUND('Criaturas - Base de Dados'!I185*'Sistema de Raridade e Evolução'!E5,0)</f>
        <v>180</v>
      </c>
      <c r="H1103" s="8">
        <f>ROUND('Criaturas - Base de Dados'!J185*'Sistema de Raridade e Evolução'!E5,0)</f>
        <v>144</v>
      </c>
      <c r="I1103" s="8">
        <f>ROUND('Criaturas - Base de Dados'!K185*'Sistema de Raridade e Evolução'!E5,0)</f>
        <v>918</v>
      </c>
      <c r="J1103" s="8">
        <f>'Sistema de Raridade e Evolução'!D5</f>
        <v>31</v>
      </c>
      <c r="K1103" s="8" t="s">
        <v>11</v>
      </c>
      <c r="L1103" s="9">
        <f t="shared" si="17"/>
        <v>685714.29</v>
      </c>
    </row>
    <row r="1104" spans="1:12" ht="14.25" hidden="1" customHeight="1" x14ac:dyDescent="0.3">
      <c r="A1104" s="8">
        <v>1103</v>
      </c>
      <c r="B1104" s="8" t="str">
        <f>'Criaturas - Base de Dados'!B185</f>
        <v>Selva Esmeralda</v>
      </c>
      <c r="C1104" s="8" t="str">
        <f>'Criaturas - Base de Dados'!C185</f>
        <v>Veneno</v>
      </c>
      <c r="D1104" s="8" t="str">
        <f>'Criaturas - Base de Dados'!D185</f>
        <v>Cobra-Rei Ancestral</v>
      </c>
      <c r="E1104" s="8" t="str">
        <f>'Sistema de Raridade e Evolução'!B6</f>
        <v>Platina</v>
      </c>
      <c r="F1104" s="9">
        <f>ROUND(('Criaturas - Base de Dados'!H185*'Sistema de Raridade e Evolução'!E6)*1000,2)</f>
        <v>800000</v>
      </c>
      <c r="G1104" s="8">
        <f>ROUND('Criaturas - Base de Dados'!I185*'Sistema de Raridade e Evolução'!E6,0)</f>
        <v>500</v>
      </c>
      <c r="H1104" s="8">
        <f>ROUND('Criaturas - Base de Dados'!J185*'Sistema de Raridade e Evolução'!E6,0)</f>
        <v>400</v>
      </c>
      <c r="I1104" s="8">
        <f>ROUND('Criaturas - Base de Dados'!K185*'Sistema de Raridade e Evolução'!E6,0)</f>
        <v>2550</v>
      </c>
      <c r="J1104" s="8">
        <f>'Sistema de Raridade e Evolução'!D6</f>
        <v>56</v>
      </c>
      <c r="K1104" s="8" t="s">
        <v>12</v>
      </c>
      <c r="L1104" s="9">
        <f t="shared" si="17"/>
        <v>1904761.9</v>
      </c>
    </row>
    <row r="1105" spans="1:12" ht="14.25" hidden="1" customHeight="1" x14ac:dyDescent="0.3">
      <c r="A1105" s="8">
        <v>1104</v>
      </c>
      <c r="B1105" s="8" t="str">
        <f>'Criaturas - Base de Dados'!B185</f>
        <v>Selva Esmeralda</v>
      </c>
      <c r="C1105" s="8" t="str">
        <f>'Criaturas - Base de Dados'!C185</f>
        <v>Veneno</v>
      </c>
      <c r="D1105" s="8" t="str">
        <f>'Criaturas - Base de Dados'!D185</f>
        <v>Cobra-Rei Ancestral</v>
      </c>
      <c r="E1105" s="8" t="str">
        <f>'Sistema de Raridade e Evolução'!B7</f>
        <v>Lendário</v>
      </c>
      <c r="F1105" s="9">
        <f>ROUND(('Criaturas - Base de Dados'!H185*'Sistema de Raridade e Evolução'!E7)*1000,2)</f>
        <v>2400000</v>
      </c>
      <c r="G1105" s="8">
        <f>ROUND('Criaturas - Base de Dados'!I185*'Sistema de Raridade e Evolução'!E7,0)</f>
        <v>1500</v>
      </c>
      <c r="H1105" s="8">
        <f>ROUND('Criaturas - Base de Dados'!J185*'Sistema de Raridade e Evolução'!E7,0)</f>
        <v>1200</v>
      </c>
      <c r="I1105" s="8">
        <f>ROUND('Criaturas - Base de Dados'!K185*'Sistema de Raridade e Evolução'!E7,0)</f>
        <v>7650</v>
      </c>
      <c r="J1105" s="8">
        <f>'Sistema de Raridade e Evolução'!D7</f>
        <v>91</v>
      </c>
      <c r="K1105" s="8" t="s">
        <v>925</v>
      </c>
      <c r="L1105" s="9">
        <f t="shared" si="17"/>
        <v>5714285.71</v>
      </c>
    </row>
    <row r="1106" spans="1:12" ht="14.25" customHeight="1" x14ac:dyDescent="0.3">
      <c r="A1106" s="8">
        <v>1105</v>
      </c>
      <c r="B1106" s="8" t="str">
        <f>'Criaturas - Base de Dados'!B186</f>
        <v>Selva Esmeralda</v>
      </c>
      <c r="C1106" s="8" t="str">
        <f>'Criaturas - Base de Dados'!C186</f>
        <v>Veneno</v>
      </c>
      <c r="D1106" s="8" t="str">
        <f>'Criaturas - Base de Dados'!D186</f>
        <v>Jorōgumo, a Aranha Encantadora</v>
      </c>
      <c r="E1106" s="8" t="str">
        <f>'Sistema de Raridade e Evolução'!B2</f>
        <v>Default</v>
      </c>
      <c r="F1106" s="9" t="e">
        <f>ROUND(('Criaturas - Base de Dados'!H186*'Sistema de Raridade e Evolução'!E2)*1000,2)</f>
        <v>#VALUE!</v>
      </c>
      <c r="G1106" s="8" t="e">
        <f>ROUND('Criaturas - Base de Dados'!I186*'Sistema de Raridade e Evolução'!E2,0)</f>
        <v>#VALUE!</v>
      </c>
      <c r="H1106" s="8" t="e">
        <f>ROUND('Criaturas - Base de Dados'!J186*'Sistema de Raridade e Evolução'!E2,0)</f>
        <v>#VALUE!</v>
      </c>
      <c r="I1106" s="8" t="e">
        <f>ROUND('Criaturas - Base de Dados'!K186*'Sistema de Raridade e Evolução'!E2,0)</f>
        <v>#VALUE!</v>
      </c>
      <c r="J1106" s="8">
        <f>'Sistema de Raridade e Evolução'!D2</f>
        <v>1</v>
      </c>
      <c r="K1106" s="8" t="s">
        <v>8</v>
      </c>
      <c r="L1106" s="9" t="e">
        <f t="shared" si="17"/>
        <v>#VALUE!</v>
      </c>
    </row>
    <row r="1107" spans="1:12" ht="14.25" hidden="1" customHeight="1" x14ac:dyDescent="0.3">
      <c r="A1107" s="8">
        <v>1106</v>
      </c>
      <c r="B1107" s="8" t="str">
        <f>'Criaturas - Base de Dados'!B186</f>
        <v>Selva Esmeralda</v>
      </c>
      <c r="C1107" s="8" t="str">
        <f>'Criaturas - Base de Dados'!C186</f>
        <v>Veneno</v>
      </c>
      <c r="D1107" s="8" t="str">
        <f>'Criaturas - Base de Dados'!D186</f>
        <v>Jorōgumo, a Aranha Encantadora</v>
      </c>
      <c r="E1107" s="8" t="str">
        <f>'Sistema de Raridade e Evolução'!B3</f>
        <v>Bronze</v>
      </c>
      <c r="F1107" s="9">
        <f>ROUND(('Criaturas - Base de Dados'!H186*'Sistema de Raridade e Evolução'!E3)*1000,2)</f>
        <v>16000</v>
      </c>
      <c r="G1107" s="8">
        <f>ROUND('Criaturas - Base de Dados'!I186*'Sistema de Raridade e Evolução'!E3,0)</f>
        <v>10</v>
      </c>
      <c r="H1107" s="8">
        <f>ROUND('Criaturas - Base de Dados'!J186*'Sistema de Raridade e Evolução'!E3,0)</f>
        <v>8</v>
      </c>
      <c r="I1107" s="8">
        <f>ROUND('Criaturas - Base de Dados'!K186*'Sistema de Raridade e Evolução'!E3,0)</f>
        <v>51</v>
      </c>
      <c r="J1107" s="8">
        <f>'Sistema de Raridade e Evolução'!D3</f>
        <v>6</v>
      </c>
      <c r="K1107" s="8" t="s">
        <v>9</v>
      </c>
      <c r="L1107" s="9">
        <f t="shared" si="17"/>
        <v>38095.24</v>
      </c>
    </row>
    <row r="1108" spans="1:12" ht="14.25" hidden="1" customHeight="1" x14ac:dyDescent="0.3">
      <c r="A1108" s="8">
        <v>1107</v>
      </c>
      <c r="B1108" s="8" t="str">
        <f>'Criaturas - Base de Dados'!B186</f>
        <v>Selva Esmeralda</v>
      </c>
      <c r="C1108" s="8" t="str">
        <f>'Criaturas - Base de Dados'!C186</f>
        <v>Veneno</v>
      </c>
      <c r="D1108" s="8" t="str">
        <f>'Criaturas - Base de Dados'!D186</f>
        <v>Jorōgumo, a Aranha Encantadora</v>
      </c>
      <c r="E1108" s="8" t="str">
        <f>'Sistema de Raridade e Evolução'!B4</f>
        <v>Prata</v>
      </c>
      <c r="F1108" s="9">
        <f>ROUND(('Criaturas - Base de Dados'!H186*'Sistema de Raridade e Evolução'!E4)*1000,2)</f>
        <v>96000</v>
      </c>
      <c r="G1108" s="8">
        <f>ROUND('Criaturas - Base de Dados'!I186*'Sistema de Raridade e Evolução'!E4,0)</f>
        <v>60</v>
      </c>
      <c r="H1108" s="8">
        <f>ROUND('Criaturas - Base de Dados'!J186*'Sistema de Raridade e Evolução'!E4,0)</f>
        <v>48</v>
      </c>
      <c r="I1108" s="8">
        <f>ROUND('Criaturas - Base de Dados'!K186*'Sistema de Raridade e Evolução'!E4,0)</f>
        <v>306</v>
      </c>
      <c r="J1108" s="8">
        <f>'Sistema de Raridade e Evolução'!D4</f>
        <v>16</v>
      </c>
      <c r="K1108" s="8" t="s">
        <v>10</v>
      </c>
      <c r="L1108" s="9">
        <f t="shared" si="17"/>
        <v>228571.43</v>
      </c>
    </row>
    <row r="1109" spans="1:12" ht="14.25" hidden="1" customHeight="1" x14ac:dyDescent="0.3">
      <c r="A1109" s="8">
        <v>1108</v>
      </c>
      <c r="B1109" s="8" t="str">
        <f>'Criaturas - Base de Dados'!B186</f>
        <v>Selva Esmeralda</v>
      </c>
      <c r="C1109" s="8" t="str">
        <f>'Criaturas - Base de Dados'!C186</f>
        <v>Veneno</v>
      </c>
      <c r="D1109" s="8" t="str">
        <f>'Criaturas - Base de Dados'!D186</f>
        <v>Jorōgumo, a Aranha Encantadora</v>
      </c>
      <c r="E1109" s="8" t="str">
        <f>'Sistema de Raridade e Evolução'!B5</f>
        <v>Ouro</v>
      </c>
      <c r="F1109" s="9">
        <f>ROUND(('Criaturas - Base de Dados'!H186*'Sistema de Raridade e Evolução'!E5)*1000,2)</f>
        <v>288000</v>
      </c>
      <c r="G1109" s="8">
        <f>ROUND('Criaturas - Base de Dados'!I186*'Sistema de Raridade e Evolução'!E5,0)</f>
        <v>180</v>
      </c>
      <c r="H1109" s="8">
        <f>ROUND('Criaturas - Base de Dados'!J186*'Sistema de Raridade e Evolução'!E5,0)</f>
        <v>144</v>
      </c>
      <c r="I1109" s="8">
        <f>ROUND('Criaturas - Base de Dados'!K186*'Sistema de Raridade e Evolução'!E5,0)</f>
        <v>918</v>
      </c>
      <c r="J1109" s="8">
        <f>'Sistema de Raridade e Evolução'!D5</f>
        <v>31</v>
      </c>
      <c r="K1109" s="8" t="s">
        <v>11</v>
      </c>
      <c r="L1109" s="9">
        <f t="shared" si="17"/>
        <v>685714.29</v>
      </c>
    </row>
    <row r="1110" spans="1:12" ht="14.25" hidden="1" customHeight="1" x14ac:dyDescent="0.3">
      <c r="A1110" s="8">
        <v>1109</v>
      </c>
      <c r="B1110" s="8" t="str">
        <f>'Criaturas - Base de Dados'!B186</f>
        <v>Selva Esmeralda</v>
      </c>
      <c r="C1110" s="8" t="str">
        <f>'Criaturas - Base de Dados'!C186</f>
        <v>Veneno</v>
      </c>
      <c r="D1110" s="8" t="str">
        <f>'Criaturas - Base de Dados'!D186</f>
        <v>Jorōgumo, a Aranha Encantadora</v>
      </c>
      <c r="E1110" s="8" t="str">
        <f>'Sistema de Raridade e Evolução'!B6</f>
        <v>Platina</v>
      </c>
      <c r="F1110" s="9">
        <f>ROUND(('Criaturas - Base de Dados'!H186*'Sistema de Raridade e Evolução'!E6)*1000,2)</f>
        <v>800000</v>
      </c>
      <c r="G1110" s="8">
        <f>ROUND('Criaturas - Base de Dados'!I186*'Sistema de Raridade e Evolução'!E6,0)</f>
        <v>500</v>
      </c>
      <c r="H1110" s="8">
        <f>ROUND('Criaturas - Base de Dados'!J186*'Sistema de Raridade e Evolução'!E6,0)</f>
        <v>400</v>
      </c>
      <c r="I1110" s="8">
        <f>ROUND('Criaturas - Base de Dados'!K186*'Sistema de Raridade e Evolução'!E6,0)</f>
        <v>2550</v>
      </c>
      <c r="J1110" s="8">
        <f>'Sistema de Raridade e Evolução'!D6</f>
        <v>56</v>
      </c>
      <c r="K1110" s="8" t="s">
        <v>12</v>
      </c>
      <c r="L1110" s="9">
        <f t="shared" si="17"/>
        <v>1904761.9</v>
      </c>
    </row>
    <row r="1111" spans="1:12" ht="14.25" hidden="1" customHeight="1" x14ac:dyDescent="0.3">
      <c r="A1111" s="8">
        <v>1110</v>
      </c>
      <c r="B1111" s="8" t="str">
        <f>'Criaturas - Base de Dados'!B186</f>
        <v>Selva Esmeralda</v>
      </c>
      <c r="C1111" s="8" t="str">
        <f>'Criaturas - Base de Dados'!C186</f>
        <v>Veneno</v>
      </c>
      <c r="D1111" s="8" t="str">
        <f>'Criaturas - Base de Dados'!D186</f>
        <v>Jorōgumo, a Aranha Encantadora</v>
      </c>
      <c r="E1111" s="8" t="str">
        <f>'Sistema de Raridade e Evolução'!B7</f>
        <v>Lendário</v>
      </c>
      <c r="F1111" s="9">
        <f>ROUND(('Criaturas - Base de Dados'!H186*'Sistema de Raridade e Evolução'!E7)*1000,2)</f>
        <v>2400000</v>
      </c>
      <c r="G1111" s="8">
        <f>ROUND('Criaturas - Base de Dados'!I186*'Sistema de Raridade e Evolução'!E7,0)</f>
        <v>1500</v>
      </c>
      <c r="H1111" s="8">
        <f>ROUND('Criaturas - Base de Dados'!J186*'Sistema de Raridade e Evolução'!E7,0)</f>
        <v>1200</v>
      </c>
      <c r="I1111" s="8">
        <f>ROUND('Criaturas - Base de Dados'!K186*'Sistema de Raridade e Evolução'!E7,0)</f>
        <v>7650</v>
      </c>
      <c r="J1111" s="8">
        <f>'Sistema de Raridade e Evolução'!D7</f>
        <v>91</v>
      </c>
      <c r="K1111" s="8" t="s">
        <v>925</v>
      </c>
      <c r="L1111" s="9">
        <f t="shared" si="17"/>
        <v>5714285.71</v>
      </c>
    </row>
    <row r="1112" spans="1:12" ht="14.25" customHeight="1" x14ac:dyDescent="0.3">
      <c r="A1112" s="8">
        <v>1111</v>
      </c>
      <c r="B1112" s="8" t="str">
        <f>'Criaturas - Base de Dados'!B187</f>
        <v>Selva Esmeralda</v>
      </c>
      <c r="C1112" s="8" t="str">
        <f>'Criaturas - Base de Dados'!C187</f>
        <v>Veneno</v>
      </c>
      <c r="D1112" s="8" t="str">
        <f>'Criaturas - Base de Dados'!D187</f>
        <v>Sapo-Veneno Místico</v>
      </c>
      <c r="E1112" s="8" t="str">
        <f>'Sistema de Raridade e Evolução'!B2</f>
        <v>Default</v>
      </c>
      <c r="F1112" s="9" t="e">
        <f>ROUND(('Criaturas - Base de Dados'!H187*'Sistema de Raridade e Evolução'!E2)*1000,2)</f>
        <v>#VALUE!</v>
      </c>
      <c r="G1112" s="8" t="e">
        <f>ROUND('Criaturas - Base de Dados'!I187*'Sistema de Raridade e Evolução'!E2,0)</f>
        <v>#VALUE!</v>
      </c>
      <c r="H1112" s="8" t="e">
        <f>ROUND('Criaturas - Base de Dados'!J187*'Sistema de Raridade e Evolução'!E2,0)</f>
        <v>#VALUE!</v>
      </c>
      <c r="I1112" s="8" t="e">
        <f>ROUND('Criaturas - Base de Dados'!K187*'Sistema de Raridade e Evolução'!E2,0)</f>
        <v>#VALUE!</v>
      </c>
      <c r="J1112" s="8">
        <f>'Sistema de Raridade e Evolução'!D2</f>
        <v>1</v>
      </c>
      <c r="K1112" s="8" t="s">
        <v>8</v>
      </c>
      <c r="L1112" s="9" t="e">
        <f t="shared" si="17"/>
        <v>#VALUE!</v>
      </c>
    </row>
    <row r="1113" spans="1:12" ht="14.25" hidden="1" customHeight="1" x14ac:dyDescent="0.3">
      <c r="A1113" s="8">
        <v>1112</v>
      </c>
      <c r="B1113" s="8" t="str">
        <f>'Criaturas - Base de Dados'!B187</f>
        <v>Selva Esmeralda</v>
      </c>
      <c r="C1113" s="8" t="str">
        <f>'Criaturas - Base de Dados'!C187</f>
        <v>Veneno</v>
      </c>
      <c r="D1113" s="8" t="str">
        <f>'Criaturas - Base de Dados'!D187</f>
        <v>Sapo-Veneno Místico</v>
      </c>
      <c r="E1113" s="8" t="str">
        <f>'Sistema de Raridade e Evolução'!B3</f>
        <v>Bronze</v>
      </c>
      <c r="F1113" s="9">
        <f>ROUND(('Criaturas - Base de Dados'!H187*'Sistema de Raridade e Evolução'!E3)*1000,2)</f>
        <v>18000</v>
      </c>
      <c r="G1113" s="8">
        <f>ROUND('Criaturas - Base de Dados'!I187*'Sistema de Raridade e Evolução'!E3,0)</f>
        <v>11</v>
      </c>
      <c r="H1113" s="8">
        <f>ROUND('Criaturas - Base de Dados'!J187*'Sistema de Raridade e Evolução'!E3,0)</f>
        <v>9</v>
      </c>
      <c r="I1113" s="8">
        <f>ROUND('Criaturas - Base de Dados'!K187*'Sistema de Raridade e Evolução'!E3,0)</f>
        <v>58</v>
      </c>
      <c r="J1113" s="8">
        <f>'Sistema de Raridade e Evolução'!D3</f>
        <v>6</v>
      </c>
      <c r="K1113" s="8" t="s">
        <v>9</v>
      </c>
      <c r="L1113" s="9">
        <f t="shared" si="17"/>
        <v>42857.14</v>
      </c>
    </row>
    <row r="1114" spans="1:12" ht="14.25" hidden="1" customHeight="1" x14ac:dyDescent="0.3">
      <c r="A1114" s="8">
        <v>1113</v>
      </c>
      <c r="B1114" s="8" t="str">
        <f>'Criaturas - Base de Dados'!B187</f>
        <v>Selva Esmeralda</v>
      </c>
      <c r="C1114" s="8" t="str">
        <f>'Criaturas - Base de Dados'!C187</f>
        <v>Veneno</v>
      </c>
      <c r="D1114" s="8" t="str">
        <f>'Criaturas - Base de Dados'!D187</f>
        <v>Sapo-Veneno Místico</v>
      </c>
      <c r="E1114" s="8" t="str">
        <f>'Sistema de Raridade e Evolução'!B4</f>
        <v>Prata</v>
      </c>
      <c r="F1114" s="9">
        <f>ROUND(('Criaturas - Base de Dados'!H187*'Sistema de Raridade e Evolução'!E4)*1000,2)</f>
        <v>108000</v>
      </c>
      <c r="G1114" s="8">
        <f>ROUND('Criaturas - Base de Dados'!I187*'Sistema de Raridade e Evolução'!E4,0)</f>
        <v>66</v>
      </c>
      <c r="H1114" s="8">
        <f>ROUND('Criaturas - Base de Dados'!J187*'Sistema de Raridade e Evolução'!E4,0)</f>
        <v>54</v>
      </c>
      <c r="I1114" s="8">
        <f>ROUND('Criaturas - Base de Dados'!K187*'Sistema de Raridade e Evolução'!E4,0)</f>
        <v>348</v>
      </c>
      <c r="J1114" s="8">
        <f>'Sistema de Raridade e Evolução'!D4</f>
        <v>16</v>
      </c>
      <c r="K1114" s="8" t="s">
        <v>10</v>
      </c>
      <c r="L1114" s="9">
        <f t="shared" si="17"/>
        <v>257142.86</v>
      </c>
    </row>
    <row r="1115" spans="1:12" ht="14.25" hidden="1" customHeight="1" x14ac:dyDescent="0.3">
      <c r="A1115" s="8">
        <v>1114</v>
      </c>
      <c r="B1115" s="8" t="str">
        <f>'Criaturas - Base de Dados'!B187</f>
        <v>Selva Esmeralda</v>
      </c>
      <c r="C1115" s="8" t="str">
        <f>'Criaturas - Base de Dados'!C187</f>
        <v>Veneno</v>
      </c>
      <c r="D1115" s="8" t="str">
        <f>'Criaturas - Base de Dados'!D187</f>
        <v>Sapo-Veneno Místico</v>
      </c>
      <c r="E1115" s="8" t="str">
        <f>'Sistema de Raridade e Evolução'!B5</f>
        <v>Ouro</v>
      </c>
      <c r="F1115" s="9">
        <f>ROUND(('Criaturas - Base de Dados'!H187*'Sistema de Raridade e Evolução'!E5)*1000,2)</f>
        <v>324000</v>
      </c>
      <c r="G1115" s="8">
        <f>ROUND('Criaturas - Base de Dados'!I187*'Sistema de Raridade e Evolução'!E5,0)</f>
        <v>198</v>
      </c>
      <c r="H1115" s="8">
        <f>ROUND('Criaturas - Base de Dados'!J187*'Sistema de Raridade e Evolução'!E5,0)</f>
        <v>162</v>
      </c>
      <c r="I1115" s="8">
        <f>ROUND('Criaturas - Base de Dados'!K187*'Sistema de Raridade e Evolução'!E5,0)</f>
        <v>1044</v>
      </c>
      <c r="J1115" s="8">
        <f>'Sistema de Raridade e Evolução'!D5</f>
        <v>31</v>
      </c>
      <c r="K1115" s="8" t="s">
        <v>11</v>
      </c>
      <c r="L1115" s="9">
        <f t="shared" si="17"/>
        <v>771428.57</v>
      </c>
    </row>
    <row r="1116" spans="1:12" ht="14.25" hidden="1" customHeight="1" x14ac:dyDescent="0.3">
      <c r="A1116" s="8">
        <v>1115</v>
      </c>
      <c r="B1116" s="8" t="str">
        <f>'Criaturas - Base de Dados'!B187</f>
        <v>Selva Esmeralda</v>
      </c>
      <c r="C1116" s="8" t="str">
        <f>'Criaturas - Base de Dados'!C187</f>
        <v>Veneno</v>
      </c>
      <c r="D1116" s="8" t="str">
        <f>'Criaturas - Base de Dados'!D187</f>
        <v>Sapo-Veneno Místico</v>
      </c>
      <c r="E1116" s="8" t="str">
        <f>'Sistema de Raridade e Evolução'!B6</f>
        <v>Platina</v>
      </c>
      <c r="F1116" s="9">
        <f>ROUND(('Criaturas - Base de Dados'!H187*'Sistema de Raridade e Evolução'!E6)*1000,2)</f>
        <v>900000</v>
      </c>
      <c r="G1116" s="8">
        <f>ROUND('Criaturas - Base de Dados'!I187*'Sistema de Raridade e Evolução'!E6,0)</f>
        <v>550</v>
      </c>
      <c r="H1116" s="8">
        <f>ROUND('Criaturas - Base de Dados'!J187*'Sistema de Raridade e Evolução'!E6,0)</f>
        <v>450</v>
      </c>
      <c r="I1116" s="8">
        <f>ROUND('Criaturas - Base de Dados'!K187*'Sistema de Raridade e Evolução'!E6,0)</f>
        <v>2900</v>
      </c>
      <c r="J1116" s="8">
        <f>'Sistema de Raridade e Evolução'!D6</f>
        <v>56</v>
      </c>
      <c r="K1116" s="8" t="s">
        <v>12</v>
      </c>
      <c r="L1116" s="9">
        <f t="shared" si="17"/>
        <v>2142857.14</v>
      </c>
    </row>
    <row r="1117" spans="1:12" ht="14.25" hidden="1" customHeight="1" x14ac:dyDescent="0.3">
      <c r="A1117" s="8">
        <v>1116</v>
      </c>
      <c r="B1117" s="8" t="str">
        <f>'Criaturas - Base de Dados'!B187</f>
        <v>Selva Esmeralda</v>
      </c>
      <c r="C1117" s="8" t="str">
        <f>'Criaturas - Base de Dados'!C187</f>
        <v>Veneno</v>
      </c>
      <c r="D1117" s="8" t="str">
        <f>'Criaturas - Base de Dados'!D187</f>
        <v>Sapo-Veneno Místico</v>
      </c>
      <c r="E1117" s="8" t="str">
        <f>'Sistema de Raridade e Evolução'!B7</f>
        <v>Lendário</v>
      </c>
      <c r="F1117" s="9">
        <f>ROUND(('Criaturas - Base de Dados'!H187*'Sistema de Raridade e Evolução'!E7)*1000,2)</f>
        <v>2700000</v>
      </c>
      <c r="G1117" s="8">
        <f>ROUND('Criaturas - Base de Dados'!I187*'Sistema de Raridade e Evolução'!E7,0)</f>
        <v>1650</v>
      </c>
      <c r="H1117" s="8">
        <f>ROUND('Criaturas - Base de Dados'!J187*'Sistema de Raridade e Evolução'!E7,0)</f>
        <v>1350</v>
      </c>
      <c r="I1117" s="8">
        <f>ROUND('Criaturas - Base de Dados'!K187*'Sistema de Raridade e Evolução'!E7,0)</f>
        <v>8700</v>
      </c>
      <c r="J1117" s="8">
        <f>'Sistema de Raridade e Evolução'!D7</f>
        <v>91</v>
      </c>
      <c r="K1117" s="8" t="s">
        <v>925</v>
      </c>
      <c r="L1117" s="9">
        <f t="shared" si="17"/>
        <v>6428571.4299999997</v>
      </c>
    </row>
    <row r="1118" spans="1:12" ht="14.25" customHeight="1" x14ac:dyDescent="0.3">
      <c r="A1118" s="8">
        <v>1117</v>
      </c>
      <c r="B1118" s="8" t="str">
        <f>'Criaturas - Base de Dados'!B188</f>
        <v>Selva Esmeralda</v>
      </c>
      <c r="C1118" s="8" t="str">
        <f>'Criaturas - Base de Dados'!C188</f>
        <v>Veneno</v>
      </c>
      <c r="D1118" s="8" t="str">
        <f>'Criaturas - Base de Dados'!D188</f>
        <v>Quimera Tóxica</v>
      </c>
      <c r="E1118" s="8" t="str">
        <f>'Sistema de Raridade e Evolução'!B2</f>
        <v>Default</v>
      </c>
      <c r="F1118" s="9" t="e">
        <f>ROUND(('Criaturas - Base de Dados'!H188*'Sistema de Raridade e Evolução'!E2)*1000,2)</f>
        <v>#VALUE!</v>
      </c>
      <c r="G1118" s="8" t="e">
        <f>ROUND('Criaturas - Base de Dados'!I188*'Sistema de Raridade e Evolução'!E2,0)</f>
        <v>#VALUE!</v>
      </c>
      <c r="H1118" s="8" t="e">
        <f>ROUND('Criaturas - Base de Dados'!J188*'Sistema de Raridade e Evolução'!E2,0)</f>
        <v>#VALUE!</v>
      </c>
      <c r="I1118" s="8" t="e">
        <f>ROUND('Criaturas - Base de Dados'!K188*'Sistema de Raridade e Evolução'!E2,0)</f>
        <v>#VALUE!</v>
      </c>
      <c r="J1118" s="8">
        <f>'Sistema de Raridade e Evolução'!D2</f>
        <v>1</v>
      </c>
      <c r="K1118" s="8" t="s">
        <v>8</v>
      </c>
      <c r="L1118" s="9" t="e">
        <f t="shared" si="17"/>
        <v>#VALUE!</v>
      </c>
    </row>
    <row r="1119" spans="1:12" ht="14.25" hidden="1" customHeight="1" x14ac:dyDescent="0.3">
      <c r="A1119" s="8">
        <v>1118</v>
      </c>
      <c r="B1119" s="8" t="str">
        <f>'Criaturas - Base de Dados'!B188</f>
        <v>Selva Esmeralda</v>
      </c>
      <c r="C1119" s="8" t="str">
        <f>'Criaturas - Base de Dados'!C188</f>
        <v>Veneno</v>
      </c>
      <c r="D1119" s="8" t="str">
        <f>'Criaturas - Base de Dados'!D188</f>
        <v>Quimera Tóxica</v>
      </c>
      <c r="E1119" s="8" t="str">
        <f>'Sistema de Raridade e Evolução'!B3</f>
        <v>Bronze</v>
      </c>
      <c r="F1119" s="9">
        <f>ROUND(('Criaturas - Base de Dados'!H188*'Sistema de Raridade e Evolução'!E3)*1000,2)</f>
        <v>20000</v>
      </c>
      <c r="G1119" s="8">
        <f>ROUND('Criaturas - Base de Dados'!I188*'Sistema de Raridade e Evolução'!E3,0)</f>
        <v>12</v>
      </c>
      <c r="H1119" s="8">
        <f>ROUND('Criaturas - Base de Dados'!J188*'Sistema de Raridade e Evolução'!E3,0)</f>
        <v>10</v>
      </c>
      <c r="I1119" s="8">
        <f>ROUND('Criaturas - Base de Dados'!K188*'Sistema de Raridade e Evolução'!E3,0)</f>
        <v>64</v>
      </c>
      <c r="J1119" s="8">
        <f>'Sistema de Raridade e Evolução'!D3</f>
        <v>6</v>
      </c>
      <c r="K1119" s="8" t="s">
        <v>9</v>
      </c>
      <c r="L1119" s="9">
        <f t="shared" si="17"/>
        <v>47619.05</v>
      </c>
    </row>
    <row r="1120" spans="1:12" ht="14.25" hidden="1" customHeight="1" x14ac:dyDescent="0.3">
      <c r="A1120" s="8">
        <v>1119</v>
      </c>
      <c r="B1120" s="8" t="str">
        <f>'Criaturas - Base de Dados'!B188</f>
        <v>Selva Esmeralda</v>
      </c>
      <c r="C1120" s="8" t="str">
        <f>'Criaturas - Base de Dados'!C188</f>
        <v>Veneno</v>
      </c>
      <c r="D1120" s="8" t="str">
        <f>'Criaturas - Base de Dados'!D188</f>
        <v>Quimera Tóxica</v>
      </c>
      <c r="E1120" s="8" t="str">
        <f>'Sistema de Raridade e Evolução'!B4</f>
        <v>Prata</v>
      </c>
      <c r="F1120" s="9">
        <f>ROUND(('Criaturas - Base de Dados'!H188*'Sistema de Raridade e Evolução'!E4)*1000,2)</f>
        <v>120000</v>
      </c>
      <c r="G1120" s="8">
        <f>ROUND('Criaturas - Base de Dados'!I188*'Sistema de Raridade e Evolução'!E4,0)</f>
        <v>72</v>
      </c>
      <c r="H1120" s="8">
        <f>ROUND('Criaturas - Base de Dados'!J188*'Sistema de Raridade e Evolução'!E4,0)</f>
        <v>60</v>
      </c>
      <c r="I1120" s="8">
        <f>ROUND('Criaturas - Base de Dados'!K188*'Sistema de Raridade e Evolução'!E4,0)</f>
        <v>384</v>
      </c>
      <c r="J1120" s="8">
        <f>'Sistema de Raridade e Evolução'!D4</f>
        <v>16</v>
      </c>
      <c r="K1120" s="8" t="s">
        <v>10</v>
      </c>
      <c r="L1120" s="9">
        <f t="shared" si="17"/>
        <v>285714.28999999998</v>
      </c>
    </row>
    <row r="1121" spans="1:12" ht="14.25" hidden="1" customHeight="1" x14ac:dyDescent="0.3">
      <c r="A1121" s="8">
        <v>1120</v>
      </c>
      <c r="B1121" s="8" t="str">
        <f>'Criaturas - Base de Dados'!B188</f>
        <v>Selva Esmeralda</v>
      </c>
      <c r="C1121" s="8" t="str">
        <f>'Criaturas - Base de Dados'!C188</f>
        <v>Veneno</v>
      </c>
      <c r="D1121" s="8" t="str">
        <f>'Criaturas - Base de Dados'!D188</f>
        <v>Quimera Tóxica</v>
      </c>
      <c r="E1121" s="8" t="str">
        <f>'Sistema de Raridade e Evolução'!B5</f>
        <v>Ouro</v>
      </c>
      <c r="F1121" s="9">
        <f>ROUND(('Criaturas - Base de Dados'!H188*'Sistema de Raridade e Evolução'!E5)*1000,2)</f>
        <v>360000</v>
      </c>
      <c r="G1121" s="8">
        <f>ROUND('Criaturas - Base de Dados'!I188*'Sistema de Raridade e Evolução'!E5,0)</f>
        <v>216</v>
      </c>
      <c r="H1121" s="8">
        <f>ROUND('Criaturas - Base de Dados'!J188*'Sistema de Raridade e Evolução'!E5,0)</f>
        <v>180</v>
      </c>
      <c r="I1121" s="8">
        <f>ROUND('Criaturas - Base de Dados'!K188*'Sistema de Raridade e Evolução'!E5,0)</f>
        <v>1152</v>
      </c>
      <c r="J1121" s="8">
        <f>'Sistema de Raridade e Evolução'!D5</f>
        <v>31</v>
      </c>
      <c r="K1121" s="8" t="s">
        <v>11</v>
      </c>
      <c r="L1121" s="9">
        <f t="shared" si="17"/>
        <v>857142.86</v>
      </c>
    </row>
    <row r="1122" spans="1:12" ht="14.25" hidden="1" customHeight="1" x14ac:dyDescent="0.3">
      <c r="A1122" s="8">
        <v>1121</v>
      </c>
      <c r="B1122" s="8" t="str">
        <f>'Criaturas - Base de Dados'!B188</f>
        <v>Selva Esmeralda</v>
      </c>
      <c r="C1122" s="8" t="str">
        <f>'Criaturas - Base de Dados'!C188</f>
        <v>Veneno</v>
      </c>
      <c r="D1122" s="8" t="str">
        <f>'Criaturas - Base de Dados'!D188</f>
        <v>Quimera Tóxica</v>
      </c>
      <c r="E1122" s="8" t="str">
        <f>'Sistema de Raridade e Evolução'!B6</f>
        <v>Platina</v>
      </c>
      <c r="F1122" s="9">
        <f>ROUND(('Criaturas - Base de Dados'!H188*'Sistema de Raridade e Evolução'!E6)*1000,2)</f>
        <v>1000000</v>
      </c>
      <c r="G1122" s="8">
        <f>ROUND('Criaturas - Base de Dados'!I188*'Sistema de Raridade e Evolução'!E6,0)</f>
        <v>600</v>
      </c>
      <c r="H1122" s="8">
        <f>ROUND('Criaturas - Base de Dados'!J188*'Sistema de Raridade e Evolução'!E6,0)</f>
        <v>500</v>
      </c>
      <c r="I1122" s="8">
        <f>ROUND('Criaturas - Base de Dados'!K188*'Sistema de Raridade e Evolução'!E6,0)</f>
        <v>3200</v>
      </c>
      <c r="J1122" s="8">
        <f>'Sistema de Raridade e Evolução'!D6</f>
        <v>56</v>
      </c>
      <c r="K1122" s="8" t="s">
        <v>12</v>
      </c>
      <c r="L1122" s="9">
        <f t="shared" si="17"/>
        <v>2380952.38</v>
      </c>
    </row>
    <row r="1123" spans="1:12" ht="14.25" hidden="1" customHeight="1" x14ac:dyDescent="0.3">
      <c r="A1123" s="8">
        <v>1122</v>
      </c>
      <c r="B1123" s="8" t="str">
        <f>'Criaturas - Base de Dados'!B188</f>
        <v>Selva Esmeralda</v>
      </c>
      <c r="C1123" s="8" t="str">
        <f>'Criaturas - Base de Dados'!C188</f>
        <v>Veneno</v>
      </c>
      <c r="D1123" s="8" t="str">
        <f>'Criaturas - Base de Dados'!D188</f>
        <v>Quimera Tóxica</v>
      </c>
      <c r="E1123" s="8" t="str">
        <f>'Sistema de Raridade e Evolução'!B7</f>
        <v>Lendário</v>
      </c>
      <c r="F1123" s="9">
        <f>ROUND(('Criaturas - Base de Dados'!H188*'Sistema de Raridade e Evolução'!E7)*1000,2)</f>
        <v>3000000</v>
      </c>
      <c r="G1123" s="8">
        <f>ROUND('Criaturas - Base de Dados'!I188*'Sistema de Raridade e Evolução'!E7,0)</f>
        <v>1800</v>
      </c>
      <c r="H1123" s="8">
        <f>ROUND('Criaturas - Base de Dados'!J188*'Sistema de Raridade e Evolução'!E7,0)</f>
        <v>1500</v>
      </c>
      <c r="I1123" s="8">
        <f>ROUND('Criaturas - Base de Dados'!K188*'Sistema de Raridade e Evolução'!E7,0)</f>
        <v>9600</v>
      </c>
      <c r="J1123" s="8">
        <f>'Sistema de Raridade e Evolução'!D7</f>
        <v>91</v>
      </c>
      <c r="K1123" s="8" t="s">
        <v>925</v>
      </c>
      <c r="L1123" s="9">
        <f t="shared" si="17"/>
        <v>7142857.1399999997</v>
      </c>
    </row>
    <row r="1124" spans="1:12" ht="14.25" customHeight="1" x14ac:dyDescent="0.3">
      <c r="A1124" s="8">
        <v>1123</v>
      </c>
      <c r="B1124" s="8" t="str">
        <f>'Criaturas - Base de Dados'!B189</f>
        <v>Selva Esmeralda</v>
      </c>
      <c r="C1124" s="8" t="str">
        <f>'Criaturas - Base de Dados'!C189</f>
        <v>Veneno</v>
      </c>
      <c r="D1124" s="8" t="str">
        <f>'Criaturas - Base de Dados'!D189</f>
        <v>Wyvern Venenoso</v>
      </c>
      <c r="E1124" s="8" t="str">
        <f>'Sistema de Raridade e Evolução'!B2</f>
        <v>Default</v>
      </c>
      <c r="F1124" s="9" t="e">
        <f>ROUND(('Criaturas - Base de Dados'!H189*'Sistema de Raridade e Evolução'!E2)*1000,2)</f>
        <v>#VALUE!</v>
      </c>
      <c r="G1124" s="8" t="e">
        <f>ROUND('Criaturas - Base de Dados'!I189*'Sistema de Raridade e Evolução'!E2,0)</f>
        <v>#VALUE!</v>
      </c>
      <c r="H1124" s="8" t="e">
        <f>ROUND('Criaturas - Base de Dados'!J189*'Sistema de Raridade e Evolução'!E2,0)</f>
        <v>#VALUE!</v>
      </c>
      <c r="I1124" s="8" t="e">
        <f>ROUND('Criaturas - Base de Dados'!K189*'Sistema de Raridade e Evolução'!E2,0)</f>
        <v>#VALUE!</v>
      </c>
      <c r="J1124" s="8">
        <f>'Sistema de Raridade e Evolução'!D2</f>
        <v>1</v>
      </c>
      <c r="K1124" s="8" t="s">
        <v>8</v>
      </c>
      <c r="L1124" s="9" t="e">
        <f t="shared" si="17"/>
        <v>#VALUE!</v>
      </c>
    </row>
    <row r="1125" spans="1:12" ht="14.25" hidden="1" customHeight="1" x14ac:dyDescent="0.3">
      <c r="A1125" s="8">
        <v>1124</v>
      </c>
      <c r="B1125" s="8" t="str">
        <f>'Criaturas - Base de Dados'!B189</f>
        <v>Selva Esmeralda</v>
      </c>
      <c r="C1125" s="8" t="str">
        <f>'Criaturas - Base de Dados'!C189</f>
        <v>Veneno</v>
      </c>
      <c r="D1125" s="8" t="str">
        <f>'Criaturas - Base de Dados'!D189</f>
        <v>Wyvern Venenoso</v>
      </c>
      <c r="E1125" s="8" t="str">
        <f>'Sistema de Raridade e Evolução'!B3</f>
        <v>Bronze</v>
      </c>
      <c r="F1125" s="9">
        <f>ROUND(('Criaturas - Base de Dados'!H189*'Sistema de Raridade e Evolução'!E3)*1000,2)</f>
        <v>22000</v>
      </c>
      <c r="G1125" s="8">
        <f>ROUND('Criaturas - Base de Dados'!I189*'Sistema de Raridade e Evolução'!E3,0)</f>
        <v>13</v>
      </c>
      <c r="H1125" s="8">
        <f>ROUND('Criaturas - Base de Dados'!J189*'Sistema de Raridade e Evolução'!E3,0)</f>
        <v>11</v>
      </c>
      <c r="I1125" s="8">
        <f>ROUND('Criaturas - Base de Dados'!K189*'Sistema de Raridade e Evolução'!E3,0)</f>
        <v>70</v>
      </c>
      <c r="J1125" s="8">
        <f>'Sistema de Raridade e Evolução'!D3</f>
        <v>6</v>
      </c>
      <c r="K1125" s="8" t="s">
        <v>9</v>
      </c>
      <c r="L1125" s="9">
        <f t="shared" si="17"/>
        <v>52380.95</v>
      </c>
    </row>
    <row r="1126" spans="1:12" ht="14.25" hidden="1" customHeight="1" x14ac:dyDescent="0.3">
      <c r="A1126" s="8">
        <v>1125</v>
      </c>
      <c r="B1126" s="8" t="str">
        <f>'Criaturas - Base de Dados'!B189</f>
        <v>Selva Esmeralda</v>
      </c>
      <c r="C1126" s="8" t="str">
        <f>'Criaturas - Base de Dados'!C189</f>
        <v>Veneno</v>
      </c>
      <c r="D1126" s="8" t="str">
        <f>'Criaturas - Base de Dados'!D189</f>
        <v>Wyvern Venenoso</v>
      </c>
      <c r="E1126" s="8" t="str">
        <f>'Sistema de Raridade e Evolução'!B4</f>
        <v>Prata</v>
      </c>
      <c r="F1126" s="9">
        <f>ROUND(('Criaturas - Base de Dados'!H189*'Sistema de Raridade e Evolução'!E4)*1000,2)</f>
        <v>132000</v>
      </c>
      <c r="G1126" s="8">
        <f>ROUND('Criaturas - Base de Dados'!I189*'Sistema de Raridade e Evolução'!E4,0)</f>
        <v>78</v>
      </c>
      <c r="H1126" s="8">
        <f>ROUND('Criaturas - Base de Dados'!J189*'Sistema de Raridade e Evolução'!E4,0)</f>
        <v>66</v>
      </c>
      <c r="I1126" s="8">
        <f>ROUND('Criaturas - Base de Dados'!K189*'Sistema de Raridade e Evolução'!E4,0)</f>
        <v>420</v>
      </c>
      <c r="J1126" s="8">
        <f>'Sistema de Raridade e Evolução'!D4</f>
        <v>16</v>
      </c>
      <c r="K1126" s="8" t="s">
        <v>10</v>
      </c>
      <c r="L1126" s="9">
        <f t="shared" si="17"/>
        <v>314285.71000000002</v>
      </c>
    </row>
    <row r="1127" spans="1:12" ht="14.25" hidden="1" customHeight="1" x14ac:dyDescent="0.3">
      <c r="A1127" s="8">
        <v>1126</v>
      </c>
      <c r="B1127" s="8" t="str">
        <f>'Criaturas - Base de Dados'!B189</f>
        <v>Selva Esmeralda</v>
      </c>
      <c r="C1127" s="8" t="str">
        <f>'Criaturas - Base de Dados'!C189</f>
        <v>Veneno</v>
      </c>
      <c r="D1127" s="8" t="str">
        <f>'Criaturas - Base de Dados'!D189</f>
        <v>Wyvern Venenoso</v>
      </c>
      <c r="E1127" s="8" t="str">
        <f>'Sistema de Raridade e Evolução'!B5</f>
        <v>Ouro</v>
      </c>
      <c r="F1127" s="9">
        <f>ROUND(('Criaturas - Base de Dados'!H189*'Sistema de Raridade e Evolução'!E5)*1000,2)</f>
        <v>396000</v>
      </c>
      <c r="G1127" s="8">
        <f>ROUND('Criaturas - Base de Dados'!I189*'Sistema de Raridade e Evolução'!E5,0)</f>
        <v>234</v>
      </c>
      <c r="H1127" s="8">
        <f>ROUND('Criaturas - Base de Dados'!J189*'Sistema de Raridade e Evolução'!E5,0)</f>
        <v>198</v>
      </c>
      <c r="I1127" s="8">
        <f>ROUND('Criaturas - Base de Dados'!K189*'Sistema de Raridade e Evolução'!E5,0)</f>
        <v>1260</v>
      </c>
      <c r="J1127" s="8">
        <f>'Sistema de Raridade e Evolução'!D5</f>
        <v>31</v>
      </c>
      <c r="K1127" s="8" t="s">
        <v>11</v>
      </c>
      <c r="L1127" s="9">
        <f t="shared" si="17"/>
        <v>942857.14</v>
      </c>
    </row>
    <row r="1128" spans="1:12" ht="14.25" hidden="1" customHeight="1" x14ac:dyDescent="0.3">
      <c r="A1128" s="8">
        <v>1127</v>
      </c>
      <c r="B1128" s="8" t="str">
        <f>'Criaturas - Base de Dados'!B189</f>
        <v>Selva Esmeralda</v>
      </c>
      <c r="C1128" s="8" t="str">
        <f>'Criaturas - Base de Dados'!C189</f>
        <v>Veneno</v>
      </c>
      <c r="D1128" s="8" t="str">
        <f>'Criaturas - Base de Dados'!D189</f>
        <v>Wyvern Venenoso</v>
      </c>
      <c r="E1128" s="8" t="str">
        <f>'Sistema de Raridade e Evolução'!B6</f>
        <v>Platina</v>
      </c>
      <c r="F1128" s="9">
        <f>ROUND(('Criaturas - Base de Dados'!H189*'Sistema de Raridade e Evolução'!E6)*1000,2)</f>
        <v>1100000</v>
      </c>
      <c r="G1128" s="8">
        <f>ROUND('Criaturas - Base de Dados'!I189*'Sistema de Raridade e Evolução'!E6,0)</f>
        <v>650</v>
      </c>
      <c r="H1128" s="8">
        <f>ROUND('Criaturas - Base de Dados'!J189*'Sistema de Raridade e Evolução'!E6,0)</f>
        <v>550</v>
      </c>
      <c r="I1128" s="8">
        <f>ROUND('Criaturas - Base de Dados'!K189*'Sistema de Raridade e Evolução'!E6,0)</f>
        <v>3500</v>
      </c>
      <c r="J1128" s="8">
        <f>'Sistema de Raridade e Evolução'!D6</f>
        <v>56</v>
      </c>
      <c r="K1128" s="8" t="s">
        <v>12</v>
      </c>
      <c r="L1128" s="9">
        <f t="shared" si="17"/>
        <v>2619047.62</v>
      </c>
    </row>
    <row r="1129" spans="1:12" ht="14.25" hidden="1" customHeight="1" x14ac:dyDescent="0.3">
      <c r="A1129" s="8">
        <v>1128</v>
      </c>
      <c r="B1129" s="8" t="str">
        <f>'Criaturas - Base de Dados'!B189</f>
        <v>Selva Esmeralda</v>
      </c>
      <c r="C1129" s="8" t="str">
        <f>'Criaturas - Base de Dados'!C189</f>
        <v>Veneno</v>
      </c>
      <c r="D1129" s="8" t="str">
        <f>'Criaturas - Base de Dados'!D189</f>
        <v>Wyvern Venenoso</v>
      </c>
      <c r="E1129" s="8" t="str">
        <f>'Sistema de Raridade e Evolução'!B7</f>
        <v>Lendário</v>
      </c>
      <c r="F1129" s="9">
        <f>ROUND(('Criaturas - Base de Dados'!H189*'Sistema de Raridade e Evolução'!E7)*1000,2)</f>
        <v>3300000</v>
      </c>
      <c r="G1129" s="8">
        <f>ROUND('Criaturas - Base de Dados'!I189*'Sistema de Raridade e Evolução'!E7,0)</f>
        <v>1950</v>
      </c>
      <c r="H1129" s="8">
        <f>ROUND('Criaturas - Base de Dados'!J189*'Sistema de Raridade e Evolução'!E7,0)</f>
        <v>1650</v>
      </c>
      <c r="I1129" s="8">
        <f>ROUND('Criaturas - Base de Dados'!K189*'Sistema de Raridade e Evolução'!E7,0)</f>
        <v>10500</v>
      </c>
      <c r="J1129" s="8">
        <f>'Sistema de Raridade e Evolução'!D7</f>
        <v>91</v>
      </c>
      <c r="K1129" s="8" t="s">
        <v>925</v>
      </c>
      <c r="L1129" s="9">
        <f t="shared" si="17"/>
        <v>7857142.8600000003</v>
      </c>
    </row>
    <row r="1130" spans="1:12" ht="14.25" customHeight="1" x14ac:dyDescent="0.3">
      <c r="A1130" s="8">
        <v>1129</v>
      </c>
      <c r="B1130" s="8" t="str">
        <f>'Criaturas - Base de Dados'!B190</f>
        <v>Selva Esmeralda</v>
      </c>
      <c r="C1130" s="8" t="str">
        <f>'Criaturas - Base de Dados'!C190</f>
        <v>Veneno</v>
      </c>
      <c r="D1130" s="8" t="str">
        <f>'Criaturas - Base de Dados'!D190</f>
        <v>Manticora Ancestral</v>
      </c>
      <c r="E1130" s="8" t="str">
        <f>'Sistema de Raridade e Evolução'!B2</f>
        <v>Default</v>
      </c>
      <c r="F1130" s="9" t="e">
        <f>ROUND(('Criaturas - Base de Dados'!H190*'Sistema de Raridade e Evolução'!E2)*1000,2)</f>
        <v>#VALUE!</v>
      </c>
      <c r="G1130" s="8" t="e">
        <f>ROUND('Criaturas - Base de Dados'!I190*'Sistema de Raridade e Evolução'!E2,0)</f>
        <v>#VALUE!</v>
      </c>
      <c r="H1130" s="8" t="e">
        <f>ROUND('Criaturas - Base de Dados'!J190*'Sistema de Raridade e Evolução'!E2,0)</f>
        <v>#VALUE!</v>
      </c>
      <c r="I1130" s="8" t="e">
        <f>ROUND('Criaturas - Base de Dados'!K190*'Sistema de Raridade e Evolução'!E2,0)</f>
        <v>#VALUE!</v>
      </c>
      <c r="J1130" s="8">
        <f>'Sistema de Raridade e Evolução'!D2</f>
        <v>1</v>
      </c>
      <c r="K1130" s="8" t="s">
        <v>8</v>
      </c>
      <c r="L1130" s="9" t="e">
        <f t="shared" si="17"/>
        <v>#VALUE!</v>
      </c>
    </row>
    <row r="1131" spans="1:12" ht="14.25" hidden="1" customHeight="1" x14ac:dyDescent="0.3">
      <c r="A1131" s="8">
        <v>1130</v>
      </c>
      <c r="B1131" s="8" t="str">
        <f>'Criaturas - Base de Dados'!B190</f>
        <v>Selva Esmeralda</v>
      </c>
      <c r="C1131" s="8" t="str">
        <f>'Criaturas - Base de Dados'!C190</f>
        <v>Veneno</v>
      </c>
      <c r="D1131" s="8" t="str">
        <f>'Criaturas - Base de Dados'!D190</f>
        <v>Manticora Ancestral</v>
      </c>
      <c r="E1131" s="8" t="str">
        <f>'Sistema de Raridade e Evolução'!B3</f>
        <v>Bronze</v>
      </c>
      <c r="F1131" s="9">
        <f>ROUND(('Criaturas - Base de Dados'!H190*'Sistema de Raridade e Evolução'!E3)*1000,2)</f>
        <v>24000</v>
      </c>
      <c r="G1131" s="8">
        <f>ROUND('Criaturas - Base de Dados'!I190*'Sistema de Raridade e Evolução'!E3,0)</f>
        <v>14</v>
      </c>
      <c r="H1131" s="8">
        <f>ROUND('Criaturas - Base de Dados'!J190*'Sistema de Raridade e Evolução'!E3,0)</f>
        <v>12</v>
      </c>
      <c r="I1131" s="8">
        <f>ROUND('Criaturas - Base de Dados'!K190*'Sistema de Raridade e Evolução'!E3,0)</f>
        <v>77</v>
      </c>
      <c r="J1131" s="8">
        <f>'Sistema de Raridade e Evolução'!D3</f>
        <v>6</v>
      </c>
      <c r="K1131" s="8" t="s">
        <v>9</v>
      </c>
      <c r="L1131" s="9">
        <f t="shared" si="17"/>
        <v>57142.86</v>
      </c>
    </row>
    <row r="1132" spans="1:12" ht="14.25" hidden="1" customHeight="1" x14ac:dyDescent="0.3">
      <c r="A1132" s="8">
        <v>1131</v>
      </c>
      <c r="B1132" s="8" t="str">
        <f>'Criaturas - Base de Dados'!B190</f>
        <v>Selva Esmeralda</v>
      </c>
      <c r="C1132" s="8" t="str">
        <f>'Criaturas - Base de Dados'!C190</f>
        <v>Veneno</v>
      </c>
      <c r="D1132" s="8" t="str">
        <f>'Criaturas - Base de Dados'!D190</f>
        <v>Manticora Ancestral</v>
      </c>
      <c r="E1132" s="8" t="str">
        <f>'Sistema de Raridade e Evolução'!B4</f>
        <v>Prata</v>
      </c>
      <c r="F1132" s="9">
        <f>ROUND(('Criaturas - Base de Dados'!H190*'Sistema de Raridade e Evolução'!E4)*1000,2)</f>
        <v>144000</v>
      </c>
      <c r="G1132" s="8">
        <f>ROUND('Criaturas - Base de Dados'!I190*'Sistema de Raridade e Evolução'!E4,0)</f>
        <v>84</v>
      </c>
      <c r="H1132" s="8">
        <f>ROUND('Criaturas - Base de Dados'!J190*'Sistema de Raridade e Evolução'!E4,0)</f>
        <v>72</v>
      </c>
      <c r="I1132" s="8">
        <f>ROUND('Criaturas - Base de Dados'!K190*'Sistema de Raridade e Evolução'!E4,0)</f>
        <v>462</v>
      </c>
      <c r="J1132" s="8">
        <f>'Sistema de Raridade e Evolução'!D4</f>
        <v>16</v>
      </c>
      <c r="K1132" s="8" t="s">
        <v>10</v>
      </c>
      <c r="L1132" s="9">
        <f t="shared" si="17"/>
        <v>342857.14</v>
      </c>
    </row>
    <row r="1133" spans="1:12" ht="14.25" hidden="1" customHeight="1" x14ac:dyDescent="0.3">
      <c r="A1133" s="8">
        <v>1132</v>
      </c>
      <c r="B1133" s="8" t="str">
        <f>'Criaturas - Base de Dados'!B190</f>
        <v>Selva Esmeralda</v>
      </c>
      <c r="C1133" s="8" t="str">
        <f>'Criaturas - Base de Dados'!C190</f>
        <v>Veneno</v>
      </c>
      <c r="D1133" s="8" t="str">
        <f>'Criaturas - Base de Dados'!D190</f>
        <v>Manticora Ancestral</v>
      </c>
      <c r="E1133" s="8" t="str">
        <f>'Sistema de Raridade e Evolução'!B5</f>
        <v>Ouro</v>
      </c>
      <c r="F1133" s="9">
        <f>ROUND(('Criaturas - Base de Dados'!H190*'Sistema de Raridade e Evolução'!E5)*1000,2)</f>
        <v>432000</v>
      </c>
      <c r="G1133" s="8">
        <f>ROUND('Criaturas - Base de Dados'!I190*'Sistema de Raridade e Evolução'!E5,0)</f>
        <v>252</v>
      </c>
      <c r="H1133" s="8">
        <f>ROUND('Criaturas - Base de Dados'!J190*'Sistema de Raridade e Evolução'!E5,0)</f>
        <v>216</v>
      </c>
      <c r="I1133" s="8">
        <f>ROUND('Criaturas - Base de Dados'!K190*'Sistema de Raridade e Evolução'!E5,0)</f>
        <v>1386</v>
      </c>
      <c r="J1133" s="8">
        <f>'Sistema de Raridade e Evolução'!D5</f>
        <v>31</v>
      </c>
      <c r="K1133" s="8" t="s">
        <v>11</v>
      </c>
      <c r="L1133" s="9">
        <f t="shared" si="17"/>
        <v>1028571.43</v>
      </c>
    </row>
    <row r="1134" spans="1:12" ht="14.25" hidden="1" customHeight="1" x14ac:dyDescent="0.3">
      <c r="A1134" s="8">
        <v>1133</v>
      </c>
      <c r="B1134" s="8" t="str">
        <f>'Criaturas - Base de Dados'!B190</f>
        <v>Selva Esmeralda</v>
      </c>
      <c r="C1134" s="8" t="str">
        <f>'Criaturas - Base de Dados'!C190</f>
        <v>Veneno</v>
      </c>
      <c r="D1134" s="8" t="str">
        <f>'Criaturas - Base de Dados'!D190</f>
        <v>Manticora Ancestral</v>
      </c>
      <c r="E1134" s="8" t="str">
        <f>'Sistema de Raridade e Evolução'!B6</f>
        <v>Platina</v>
      </c>
      <c r="F1134" s="9">
        <f>ROUND(('Criaturas - Base de Dados'!H190*'Sistema de Raridade e Evolução'!E6)*1000,2)</f>
        <v>1200000</v>
      </c>
      <c r="G1134" s="8">
        <f>ROUND('Criaturas - Base de Dados'!I190*'Sistema de Raridade e Evolução'!E6,0)</f>
        <v>700</v>
      </c>
      <c r="H1134" s="8">
        <f>ROUND('Criaturas - Base de Dados'!J190*'Sistema de Raridade e Evolução'!E6,0)</f>
        <v>600</v>
      </c>
      <c r="I1134" s="8">
        <f>ROUND('Criaturas - Base de Dados'!K190*'Sistema de Raridade e Evolução'!E6,0)</f>
        <v>3850</v>
      </c>
      <c r="J1134" s="8">
        <f>'Sistema de Raridade e Evolução'!D6</f>
        <v>56</v>
      </c>
      <c r="K1134" s="8" t="s">
        <v>12</v>
      </c>
      <c r="L1134" s="9">
        <f t="shared" si="17"/>
        <v>2857142.86</v>
      </c>
    </row>
    <row r="1135" spans="1:12" ht="14.25" hidden="1" customHeight="1" x14ac:dyDescent="0.3">
      <c r="A1135" s="8">
        <v>1134</v>
      </c>
      <c r="B1135" s="8" t="str">
        <f>'Criaturas - Base de Dados'!B190</f>
        <v>Selva Esmeralda</v>
      </c>
      <c r="C1135" s="8" t="str">
        <f>'Criaturas - Base de Dados'!C190</f>
        <v>Veneno</v>
      </c>
      <c r="D1135" s="8" t="str">
        <f>'Criaturas - Base de Dados'!D190</f>
        <v>Manticora Ancestral</v>
      </c>
      <c r="E1135" s="8" t="str">
        <f>'Sistema de Raridade e Evolução'!B7</f>
        <v>Lendário</v>
      </c>
      <c r="F1135" s="9">
        <f>ROUND(('Criaturas - Base de Dados'!H190*'Sistema de Raridade e Evolução'!E7)*1000,2)</f>
        <v>3600000</v>
      </c>
      <c r="G1135" s="8">
        <f>ROUND('Criaturas - Base de Dados'!I190*'Sistema de Raridade e Evolução'!E7,0)</f>
        <v>2100</v>
      </c>
      <c r="H1135" s="8">
        <f>ROUND('Criaturas - Base de Dados'!J190*'Sistema de Raridade e Evolução'!E7,0)</f>
        <v>1800</v>
      </c>
      <c r="I1135" s="8">
        <f>ROUND('Criaturas - Base de Dados'!K190*'Sistema de Raridade e Evolução'!E7,0)</f>
        <v>11550</v>
      </c>
      <c r="J1135" s="8">
        <f>'Sistema de Raridade e Evolução'!D7</f>
        <v>91</v>
      </c>
      <c r="K1135" s="8" t="s">
        <v>925</v>
      </c>
      <c r="L1135" s="9">
        <f t="shared" si="17"/>
        <v>8571428.5700000003</v>
      </c>
    </row>
    <row r="1136" spans="1:12" ht="14.25" customHeight="1" x14ac:dyDescent="0.3">
      <c r="A1136" s="8">
        <v>1135</v>
      </c>
      <c r="B1136" s="8" t="str">
        <f>'Criaturas - Base de Dados'!B191</f>
        <v>Selva Esmeralda</v>
      </c>
      <c r="C1136" s="8" t="str">
        <f>'Criaturas - Base de Dados'!C191</f>
        <v>Veneno</v>
      </c>
      <c r="D1136" s="8" t="str">
        <f>'Criaturas - Base de Dados'!D191</f>
        <v>Górgona da Selva</v>
      </c>
      <c r="E1136" s="8" t="str">
        <f>'Sistema de Raridade e Evolução'!B2</f>
        <v>Default</v>
      </c>
      <c r="F1136" s="9" t="e">
        <f>ROUND(('Criaturas - Base de Dados'!H191*'Sistema de Raridade e Evolução'!E2)*1000,2)</f>
        <v>#VALUE!</v>
      </c>
      <c r="G1136" s="8" t="e">
        <f>ROUND('Criaturas - Base de Dados'!I191*'Sistema de Raridade e Evolução'!E2,0)</f>
        <v>#VALUE!</v>
      </c>
      <c r="H1136" s="8" t="e">
        <f>ROUND('Criaturas - Base de Dados'!J191*'Sistema de Raridade e Evolução'!E2,0)</f>
        <v>#VALUE!</v>
      </c>
      <c r="I1136" s="8" t="e">
        <f>ROUND('Criaturas - Base de Dados'!K191*'Sistema de Raridade e Evolução'!E2,0)</f>
        <v>#VALUE!</v>
      </c>
      <c r="J1136" s="8">
        <f>'Sistema de Raridade e Evolução'!D2</f>
        <v>1</v>
      </c>
      <c r="K1136" s="8" t="s">
        <v>8</v>
      </c>
      <c r="L1136" s="9" t="e">
        <f t="shared" si="17"/>
        <v>#VALUE!</v>
      </c>
    </row>
    <row r="1137" spans="1:12" ht="14.25" hidden="1" customHeight="1" x14ac:dyDescent="0.3">
      <c r="A1137" s="8">
        <v>1136</v>
      </c>
      <c r="B1137" s="8" t="str">
        <f>'Criaturas - Base de Dados'!B191</f>
        <v>Selva Esmeralda</v>
      </c>
      <c r="C1137" s="8" t="str">
        <f>'Criaturas - Base de Dados'!C191</f>
        <v>Veneno</v>
      </c>
      <c r="D1137" s="8" t="str">
        <f>'Criaturas - Base de Dados'!D191</f>
        <v>Górgona da Selva</v>
      </c>
      <c r="E1137" s="8" t="str">
        <f>'Sistema de Raridade e Evolução'!B3</f>
        <v>Bronze</v>
      </c>
      <c r="F1137" s="9">
        <f>ROUND(('Criaturas - Base de Dados'!H191*'Sistema de Raridade e Evolução'!E3)*1000,2)</f>
        <v>26000</v>
      </c>
      <c r="G1137" s="8">
        <f>ROUND('Criaturas - Base de Dados'!I191*'Sistema de Raridade e Evolução'!E3,0)</f>
        <v>16</v>
      </c>
      <c r="H1137" s="8">
        <f>ROUND('Criaturas - Base de Dados'!J191*'Sistema de Raridade e Evolução'!E3,0)</f>
        <v>13</v>
      </c>
      <c r="I1137" s="8">
        <f>ROUND('Criaturas - Base de Dados'!K191*'Sistema de Raridade e Evolução'!E3,0)</f>
        <v>83</v>
      </c>
      <c r="J1137" s="8">
        <f>'Sistema de Raridade e Evolução'!D3</f>
        <v>6</v>
      </c>
      <c r="K1137" s="8" t="s">
        <v>9</v>
      </c>
      <c r="L1137" s="9">
        <f t="shared" si="17"/>
        <v>61904.76</v>
      </c>
    </row>
    <row r="1138" spans="1:12" ht="14.25" hidden="1" customHeight="1" x14ac:dyDescent="0.3">
      <c r="A1138" s="8">
        <v>1137</v>
      </c>
      <c r="B1138" s="8" t="str">
        <f>'Criaturas - Base de Dados'!B191</f>
        <v>Selva Esmeralda</v>
      </c>
      <c r="C1138" s="8" t="str">
        <f>'Criaturas - Base de Dados'!C191</f>
        <v>Veneno</v>
      </c>
      <c r="D1138" s="8" t="str">
        <f>'Criaturas - Base de Dados'!D191</f>
        <v>Górgona da Selva</v>
      </c>
      <c r="E1138" s="8" t="str">
        <f>'Sistema de Raridade e Evolução'!B4</f>
        <v>Prata</v>
      </c>
      <c r="F1138" s="9">
        <f>ROUND(('Criaturas - Base de Dados'!H191*'Sistema de Raridade e Evolução'!E4)*1000,2)</f>
        <v>156000</v>
      </c>
      <c r="G1138" s="8">
        <f>ROUND('Criaturas - Base de Dados'!I191*'Sistema de Raridade e Evolução'!E4,0)</f>
        <v>96</v>
      </c>
      <c r="H1138" s="8">
        <f>ROUND('Criaturas - Base de Dados'!J191*'Sistema de Raridade e Evolução'!E4,0)</f>
        <v>78</v>
      </c>
      <c r="I1138" s="8">
        <f>ROUND('Criaturas - Base de Dados'!K191*'Sistema de Raridade e Evolução'!E4,0)</f>
        <v>498</v>
      </c>
      <c r="J1138" s="8">
        <f>'Sistema de Raridade e Evolução'!D4</f>
        <v>16</v>
      </c>
      <c r="K1138" s="8" t="s">
        <v>10</v>
      </c>
      <c r="L1138" s="9">
        <f t="shared" si="17"/>
        <v>371428.57</v>
      </c>
    </row>
    <row r="1139" spans="1:12" ht="14.25" hidden="1" customHeight="1" x14ac:dyDescent="0.3">
      <c r="A1139" s="8">
        <v>1138</v>
      </c>
      <c r="B1139" s="8" t="str">
        <f>'Criaturas - Base de Dados'!B191</f>
        <v>Selva Esmeralda</v>
      </c>
      <c r="C1139" s="8" t="str">
        <f>'Criaturas - Base de Dados'!C191</f>
        <v>Veneno</v>
      </c>
      <c r="D1139" s="8" t="str">
        <f>'Criaturas - Base de Dados'!D191</f>
        <v>Górgona da Selva</v>
      </c>
      <c r="E1139" s="8" t="str">
        <f>'Sistema de Raridade e Evolução'!B5</f>
        <v>Ouro</v>
      </c>
      <c r="F1139" s="9">
        <f>ROUND(('Criaturas - Base de Dados'!H191*'Sistema de Raridade e Evolução'!E5)*1000,2)</f>
        <v>468000</v>
      </c>
      <c r="G1139" s="8">
        <f>ROUND('Criaturas - Base de Dados'!I191*'Sistema de Raridade e Evolução'!E5,0)</f>
        <v>288</v>
      </c>
      <c r="H1139" s="8">
        <f>ROUND('Criaturas - Base de Dados'!J191*'Sistema de Raridade e Evolução'!E5,0)</f>
        <v>234</v>
      </c>
      <c r="I1139" s="8">
        <f>ROUND('Criaturas - Base de Dados'!K191*'Sistema de Raridade e Evolução'!E5,0)</f>
        <v>1494</v>
      </c>
      <c r="J1139" s="8">
        <f>'Sistema de Raridade e Evolução'!D5</f>
        <v>31</v>
      </c>
      <c r="K1139" s="8" t="s">
        <v>11</v>
      </c>
      <c r="L1139" s="9">
        <f t="shared" si="17"/>
        <v>1114285.71</v>
      </c>
    </row>
    <row r="1140" spans="1:12" ht="14.25" hidden="1" customHeight="1" x14ac:dyDescent="0.3">
      <c r="A1140" s="8">
        <v>1139</v>
      </c>
      <c r="B1140" s="8" t="str">
        <f>'Criaturas - Base de Dados'!B191</f>
        <v>Selva Esmeralda</v>
      </c>
      <c r="C1140" s="8" t="str">
        <f>'Criaturas - Base de Dados'!C191</f>
        <v>Veneno</v>
      </c>
      <c r="D1140" s="8" t="str">
        <f>'Criaturas - Base de Dados'!D191</f>
        <v>Górgona da Selva</v>
      </c>
      <c r="E1140" s="8" t="str">
        <f>'Sistema de Raridade e Evolução'!B6</f>
        <v>Platina</v>
      </c>
      <c r="F1140" s="9">
        <f>ROUND(('Criaturas - Base de Dados'!H191*'Sistema de Raridade e Evolução'!E6)*1000,2)</f>
        <v>1300000</v>
      </c>
      <c r="G1140" s="8">
        <f>ROUND('Criaturas - Base de Dados'!I191*'Sistema de Raridade e Evolução'!E6,0)</f>
        <v>800</v>
      </c>
      <c r="H1140" s="8">
        <f>ROUND('Criaturas - Base de Dados'!J191*'Sistema de Raridade e Evolução'!E6,0)</f>
        <v>650</v>
      </c>
      <c r="I1140" s="8">
        <f>ROUND('Criaturas - Base de Dados'!K191*'Sistema de Raridade e Evolução'!E6,0)</f>
        <v>4150</v>
      </c>
      <c r="J1140" s="8">
        <f>'Sistema de Raridade e Evolução'!D6</f>
        <v>56</v>
      </c>
      <c r="K1140" s="8" t="s">
        <v>12</v>
      </c>
      <c r="L1140" s="9">
        <f t="shared" si="17"/>
        <v>3095238.1</v>
      </c>
    </row>
    <row r="1141" spans="1:12" ht="14.25" hidden="1" customHeight="1" x14ac:dyDescent="0.3">
      <c r="A1141" s="8">
        <v>1140</v>
      </c>
      <c r="B1141" s="8" t="str">
        <f>'Criaturas - Base de Dados'!B191</f>
        <v>Selva Esmeralda</v>
      </c>
      <c r="C1141" s="8" t="str">
        <f>'Criaturas - Base de Dados'!C191</f>
        <v>Veneno</v>
      </c>
      <c r="D1141" s="8" t="str">
        <f>'Criaturas - Base de Dados'!D191</f>
        <v>Górgona da Selva</v>
      </c>
      <c r="E1141" s="8" t="str">
        <f>'Sistema de Raridade e Evolução'!B7</f>
        <v>Lendário</v>
      </c>
      <c r="F1141" s="9">
        <f>ROUND(('Criaturas - Base de Dados'!H191*'Sistema de Raridade e Evolução'!E7)*1000,2)</f>
        <v>3900000</v>
      </c>
      <c r="G1141" s="8">
        <f>ROUND('Criaturas - Base de Dados'!I191*'Sistema de Raridade e Evolução'!E7,0)</f>
        <v>2400</v>
      </c>
      <c r="H1141" s="8">
        <f>ROUND('Criaturas - Base de Dados'!J191*'Sistema de Raridade e Evolução'!E7,0)</f>
        <v>1950</v>
      </c>
      <c r="I1141" s="8">
        <f>ROUND('Criaturas - Base de Dados'!K191*'Sistema de Raridade e Evolução'!E7,0)</f>
        <v>12450</v>
      </c>
      <c r="J1141" s="8">
        <f>'Sistema de Raridade e Evolução'!D7</f>
        <v>91</v>
      </c>
      <c r="K1141" s="8" t="s">
        <v>925</v>
      </c>
      <c r="L1141" s="9">
        <f t="shared" si="17"/>
        <v>9285714.2899999991</v>
      </c>
    </row>
    <row r="1142" spans="1:12" ht="14.25" customHeight="1" x14ac:dyDescent="0.3">
      <c r="A1142" s="8">
        <v>1141</v>
      </c>
      <c r="B1142" s="8" t="str">
        <f>'Criaturas - Base de Dados'!B192</f>
        <v>Selva Esmeralda</v>
      </c>
      <c r="C1142" s="8" t="str">
        <f>'Criaturas - Base de Dados'!C192</f>
        <v>Veneno</v>
      </c>
      <c r="D1142" s="8" t="str">
        <f>'Criaturas - Base de Dados'!D192</f>
        <v>Serpente Esmeralda</v>
      </c>
      <c r="E1142" s="8" t="str">
        <f>'Sistema de Raridade e Evolução'!B2</f>
        <v>Default</v>
      </c>
      <c r="F1142" s="9" t="e">
        <f>ROUND(('Criaturas - Base de Dados'!H192*'Sistema de Raridade e Evolução'!E2)*1000,2)</f>
        <v>#VALUE!</v>
      </c>
      <c r="G1142" s="8" t="e">
        <f>ROUND('Criaturas - Base de Dados'!I192*'Sistema de Raridade e Evolução'!E2,0)</f>
        <v>#VALUE!</v>
      </c>
      <c r="H1142" s="8" t="e">
        <f>ROUND('Criaturas - Base de Dados'!J192*'Sistema de Raridade e Evolução'!E2,0)</f>
        <v>#VALUE!</v>
      </c>
      <c r="I1142" s="8" t="e">
        <f>ROUND('Criaturas - Base de Dados'!K192*'Sistema de Raridade e Evolução'!E2,0)</f>
        <v>#VALUE!</v>
      </c>
      <c r="J1142" s="8">
        <f>'Sistema de Raridade e Evolução'!D2</f>
        <v>1</v>
      </c>
      <c r="K1142" s="8" t="s">
        <v>8</v>
      </c>
      <c r="L1142" s="9" t="e">
        <f t="shared" si="17"/>
        <v>#VALUE!</v>
      </c>
    </row>
    <row r="1143" spans="1:12" ht="14.25" hidden="1" customHeight="1" x14ac:dyDescent="0.3">
      <c r="A1143" s="8">
        <v>1142</v>
      </c>
      <c r="B1143" s="8" t="str">
        <f>'Criaturas - Base de Dados'!B192</f>
        <v>Selva Esmeralda</v>
      </c>
      <c r="C1143" s="8" t="str">
        <f>'Criaturas - Base de Dados'!C192</f>
        <v>Veneno</v>
      </c>
      <c r="D1143" s="8" t="str">
        <f>'Criaturas - Base de Dados'!D192</f>
        <v>Serpente Esmeralda</v>
      </c>
      <c r="E1143" s="8" t="str">
        <f>'Sistema de Raridade e Evolução'!B3</f>
        <v>Bronze</v>
      </c>
      <c r="F1143" s="9">
        <f>ROUND(('Criaturas - Base de Dados'!H192*'Sistema de Raridade e Evolução'!E3)*1000,2)</f>
        <v>28000</v>
      </c>
      <c r="G1143" s="8">
        <f>ROUND('Criaturas - Base de Dados'!I192*'Sistema de Raridade e Evolução'!E3,0)</f>
        <v>17</v>
      </c>
      <c r="H1143" s="8">
        <f>ROUND('Criaturas - Base de Dados'!J192*'Sistema de Raridade e Evolução'!E3,0)</f>
        <v>14</v>
      </c>
      <c r="I1143" s="8">
        <f>ROUND('Criaturas - Base de Dados'!K192*'Sistema de Raridade e Evolução'!E3,0)</f>
        <v>90</v>
      </c>
      <c r="J1143" s="8">
        <f>'Sistema de Raridade e Evolução'!D3</f>
        <v>6</v>
      </c>
      <c r="K1143" s="8" t="s">
        <v>9</v>
      </c>
      <c r="L1143" s="9">
        <f t="shared" si="17"/>
        <v>66666.67</v>
      </c>
    </row>
    <row r="1144" spans="1:12" ht="14.25" hidden="1" customHeight="1" x14ac:dyDescent="0.3">
      <c r="A1144" s="8">
        <v>1143</v>
      </c>
      <c r="B1144" s="8" t="str">
        <f>'Criaturas - Base de Dados'!B192</f>
        <v>Selva Esmeralda</v>
      </c>
      <c r="C1144" s="8" t="str">
        <f>'Criaturas - Base de Dados'!C192</f>
        <v>Veneno</v>
      </c>
      <c r="D1144" s="8" t="str">
        <f>'Criaturas - Base de Dados'!D192</f>
        <v>Serpente Esmeralda</v>
      </c>
      <c r="E1144" s="8" t="str">
        <f>'Sistema de Raridade e Evolução'!B4</f>
        <v>Prata</v>
      </c>
      <c r="F1144" s="9">
        <f>ROUND(('Criaturas - Base de Dados'!H192*'Sistema de Raridade e Evolução'!E4)*1000,2)</f>
        <v>168000</v>
      </c>
      <c r="G1144" s="8">
        <f>ROUND('Criaturas - Base de Dados'!I192*'Sistema de Raridade e Evolução'!E4,0)</f>
        <v>102</v>
      </c>
      <c r="H1144" s="8">
        <f>ROUND('Criaturas - Base de Dados'!J192*'Sistema de Raridade e Evolução'!E4,0)</f>
        <v>84</v>
      </c>
      <c r="I1144" s="8">
        <f>ROUND('Criaturas - Base de Dados'!K192*'Sistema de Raridade e Evolução'!E4,0)</f>
        <v>540</v>
      </c>
      <c r="J1144" s="8">
        <f>'Sistema de Raridade e Evolução'!D4</f>
        <v>16</v>
      </c>
      <c r="K1144" s="8" t="s">
        <v>10</v>
      </c>
      <c r="L1144" s="9">
        <f t="shared" si="17"/>
        <v>400000</v>
      </c>
    </row>
    <row r="1145" spans="1:12" ht="14.25" hidden="1" customHeight="1" x14ac:dyDescent="0.3">
      <c r="A1145" s="8">
        <v>1144</v>
      </c>
      <c r="B1145" s="8" t="str">
        <f>'Criaturas - Base de Dados'!B192</f>
        <v>Selva Esmeralda</v>
      </c>
      <c r="C1145" s="8" t="str">
        <f>'Criaturas - Base de Dados'!C192</f>
        <v>Veneno</v>
      </c>
      <c r="D1145" s="8" t="str">
        <f>'Criaturas - Base de Dados'!D192</f>
        <v>Serpente Esmeralda</v>
      </c>
      <c r="E1145" s="8" t="str">
        <f>'Sistema de Raridade e Evolução'!B5</f>
        <v>Ouro</v>
      </c>
      <c r="F1145" s="9">
        <f>ROUND(('Criaturas - Base de Dados'!H192*'Sistema de Raridade e Evolução'!E5)*1000,2)</f>
        <v>504000</v>
      </c>
      <c r="G1145" s="8">
        <f>ROUND('Criaturas - Base de Dados'!I192*'Sistema de Raridade e Evolução'!E5,0)</f>
        <v>306</v>
      </c>
      <c r="H1145" s="8">
        <f>ROUND('Criaturas - Base de Dados'!J192*'Sistema de Raridade e Evolução'!E5,0)</f>
        <v>252</v>
      </c>
      <c r="I1145" s="8">
        <f>ROUND('Criaturas - Base de Dados'!K192*'Sistema de Raridade e Evolução'!E5,0)</f>
        <v>1620</v>
      </c>
      <c r="J1145" s="8">
        <f>'Sistema de Raridade e Evolução'!D5</f>
        <v>31</v>
      </c>
      <c r="K1145" s="8" t="s">
        <v>11</v>
      </c>
      <c r="L1145" s="9">
        <f t="shared" si="17"/>
        <v>1200000</v>
      </c>
    </row>
    <row r="1146" spans="1:12" ht="14.25" hidden="1" customHeight="1" x14ac:dyDescent="0.3">
      <c r="A1146" s="8">
        <v>1145</v>
      </c>
      <c r="B1146" s="8" t="str">
        <f>'Criaturas - Base de Dados'!B192</f>
        <v>Selva Esmeralda</v>
      </c>
      <c r="C1146" s="8" t="str">
        <f>'Criaturas - Base de Dados'!C192</f>
        <v>Veneno</v>
      </c>
      <c r="D1146" s="8" t="str">
        <f>'Criaturas - Base de Dados'!D192</f>
        <v>Serpente Esmeralda</v>
      </c>
      <c r="E1146" s="8" t="str">
        <f>'Sistema de Raridade e Evolução'!B6</f>
        <v>Platina</v>
      </c>
      <c r="F1146" s="9">
        <f>ROUND(('Criaturas - Base de Dados'!H192*'Sistema de Raridade e Evolução'!E6)*1000,2)</f>
        <v>1400000</v>
      </c>
      <c r="G1146" s="8">
        <f>ROUND('Criaturas - Base de Dados'!I192*'Sistema de Raridade e Evolução'!E6,0)</f>
        <v>850</v>
      </c>
      <c r="H1146" s="8">
        <f>ROUND('Criaturas - Base de Dados'!J192*'Sistema de Raridade e Evolução'!E6,0)</f>
        <v>700</v>
      </c>
      <c r="I1146" s="8">
        <f>ROUND('Criaturas - Base de Dados'!K192*'Sistema de Raridade e Evolução'!E6,0)</f>
        <v>4500</v>
      </c>
      <c r="J1146" s="8">
        <f>'Sistema de Raridade e Evolução'!D6</f>
        <v>56</v>
      </c>
      <c r="K1146" s="8" t="s">
        <v>12</v>
      </c>
      <c r="L1146" s="9">
        <f t="shared" si="17"/>
        <v>3333333.33</v>
      </c>
    </row>
    <row r="1147" spans="1:12" ht="14.25" hidden="1" customHeight="1" x14ac:dyDescent="0.3">
      <c r="A1147" s="8">
        <v>1146</v>
      </c>
      <c r="B1147" s="8" t="str">
        <f>'Criaturas - Base de Dados'!B192</f>
        <v>Selva Esmeralda</v>
      </c>
      <c r="C1147" s="8" t="str">
        <f>'Criaturas - Base de Dados'!C192</f>
        <v>Veneno</v>
      </c>
      <c r="D1147" s="8" t="str">
        <f>'Criaturas - Base de Dados'!D192</f>
        <v>Serpente Esmeralda</v>
      </c>
      <c r="E1147" s="8" t="str">
        <f>'Sistema de Raridade e Evolução'!B7</f>
        <v>Lendário</v>
      </c>
      <c r="F1147" s="9">
        <f>ROUND(('Criaturas - Base de Dados'!H192*'Sistema de Raridade e Evolução'!E7)*1000,2)</f>
        <v>4200000</v>
      </c>
      <c r="G1147" s="8">
        <f>ROUND('Criaturas - Base de Dados'!I192*'Sistema de Raridade e Evolução'!E7,0)</f>
        <v>2550</v>
      </c>
      <c r="H1147" s="8">
        <f>ROUND('Criaturas - Base de Dados'!J192*'Sistema de Raridade e Evolução'!E7,0)</f>
        <v>2100</v>
      </c>
      <c r="I1147" s="8">
        <f>ROUND('Criaturas - Base de Dados'!K192*'Sistema de Raridade e Evolução'!E7,0)</f>
        <v>13500</v>
      </c>
      <c r="J1147" s="8">
        <f>'Sistema de Raridade e Evolução'!D7</f>
        <v>91</v>
      </c>
      <c r="K1147" s="8" t="s">
        <v>925</v>
      </c>
      <c r="L1147" s="9">
        <f t="shared" si="17"/>
        <v>10000000</v>
      </c>
    </row>
    <row r="1148" spans="1:12" ht="14.25" customHeight="1" x14ac:dyDescent="0.3">
      <c r="A1148" s="8">
        <v>1147</v>
      </c>
      <c r="B1148" s="8" t="str">
        <f>'Criaturas - Base de Dados'!B193</f>
        <v>Selva Esmeralda</v>
      </c>
      <c r="C1148" s="8" t="str">
        <f>'Criaturas - Base de Dados'!C193</f>
        <v>Veneno</v>
      </c>
      <c r="D1148" s="8" t="str">
        <f>'Criaturas - Base de Dados'!D193</f>
        <v>Escaravelho Tóxico</v>
      </c>
      <c r="E1148" s="8" t="str">
        <f>'Sistema de Raridade e Evolução'!B2</f>
        <v>Default</v>
      </c>
      <c r="F1148" s="9" t="e">
        <f>ROUND(('Criaturas - Base de Dados'!H193*'Sistema de Raridade e Evolução'!E2)*1000,2)</f>
        <v>#VALUE!</v>
      </c>
      <c r="G1148" s="8" t="e">
        <f>ROUND('Criaturas - Base de Dados'!I193*'Sistema de Raridade e Evolução'!E2,0)</f>
        <v>#VALUE!</v>
      </c>
      <c r="H1148" s="8" t="e">
        <f>ROUND('Criaturas - Base de Dados'!J193*'Sistema de Raridade e Evolução'!E2,0)</f>
        <v>#VALUE!</v>
      </c>
      <c r="I1148" s="8" t="e">
        <f>ROUND('Criaturas - Base de Dados'!K193*'Sistema de Raridade e Evolução'!E2,0)</f>
        <v>#VALUE!</v>
      </c>
      <c r="J1148" s="8">
        <f>'Sistema de Raridade e Evolução'!D2</f>
        <v>1</v>
      </c>
      <c r="K1148" s="8" t="s">
        <v>8</v>
      </c>
      <c r="L1148" s="9" t="e">
        <f t="shared" si="17"/>
        <v>#VALUE!</v>
      </c>
    </row>
    <row r="1149" spans="1:12" ht="14.25" hidden="1" customHeight="1" x14ac:dyDescent="0.3">
      <c r="A1149" s="8">
        <v>1148</v>
      </c>
      <c r="B1149" s="8" t="str">
        <f>'Criaturas - Base de Dados'!B193</f>
        <v>Selva Esmeralda</v>
      </c>
      <c r="C1149" s="8" t="str">
        <f>'Criaturas - Base de Dados'!C193</f>
        <v>Veneno</v>
      </c>
      <c r="D1149" s="8" t="str">
        <f>'Criaturas - Base de Dados'!D193</f>
        <v>Escaravelho Tóxico</v>
      </c>
      <c r="E1149" s="8" t="str">
        <f>'Sistema de Raridade e Evolução'!B3</f>
        <v>Bronze</v>
      </c>
      <c r="F1149" s="9">
        <f>ROUND(('Criaturas - Base de Dados'!H193*'Sistema de Raridade e Evolução'!E3)*1000,2)</f>
        <v>30000</v>
      </c>
      <c r="G1149" s="8">
        <f>ROUND('Criaturas - Base de Dados'!I193*'Sistema de Raridade e Evolução'!E3,0)</f>
        <v>18</v>
      </c>
      <c r="H1149" s="8">
        <f>ROUND('Criaturas - Base de Dados'!J193*'Sistema de Raridade e Evolução'!E3,0)</f>
        <v>15</v>
      </c>
      <c r="I1149" s="8">
        <f>ROUND('Criaturas - Base de Dados'!K193*'Sistema de Raridade e Evolução'!E3,0)</f>
        <v>96</v>
      </c>
      <c r="J1149" s="8">
        <f>'Sistema de Raridade e Evolução'!D3</f>
        <v>6</v>
      </c>
      <c r="K1149" s="8" t="s">
        <v>9</v>
      </c>
      <c r="L1149" s="9">
        <f t="shared" si="17"/>
        <v>71428.570000000007</v>
      </c>
    </row>
    <row r="1150" spans="1:12" ht="14.25" hidden="1" customHeight="1" x14ac:dyDescent="0.3">
      <c r="A1150" s="8">
        <v>1149</v>
      </c>
      <c r="B1150" s="8" t="str">
        <f>'Criaturas - Base de Dados'!B193</f>
        <v>Selva Esmeralda</v>
      </c>
      <c r="C1150" s="8" t="str">
        <f>'Criaturas - Base de Dados'!C193</f>
        <v>Veneno</v>
      </c>
      <c r="D1150" s="8" t="str">
        <f>'Criaturas - Base de Dados'!D193</f>
        <v>Escaravelho Tóxico</v>
      </c>
      <c r="E1150" s="8" t="str">
        <f>'Sistema de Raridade e Evolução'!B4</f>
        <v>Prata</v>
      </c>
      <c r="F1150" s="9">
        <f>ROUND(('Criaturas - Base de Dados'!H193*'Sistema de Raridade e Evolução'!E4)*1000,2)</f>
        <v>180000</v>
      </c>
      <c r="G1150" s="8">
        <f>ROUND('Criaturas - Base de Dados'!I193*'Sistema de Raridade e Evolução'!E4,0)</f>
        <v>108</v>
      </c>
      <c r="H1150" s="8">
        <f>ROUND('Criaturas - Base de Dados'!J193*'Sistema de Raridade e Evolução'!E4,0)</f>
        <v>90</v>
      </c>
      <c r="I1150" s="8">
        <f>ROUND('Criaturas - Base de Dados'!K193*'Sistema de Raridade e Evolução'!E4,0)</f>
        <v>576</v>
      </c>
      <c r="J1150" s="8">
        <f>'Sistema de Raridade e Evolução'!D4</f>
        <v>16</v>
      </c>
      <c r="K1150" s="8" t="s">
        <v>10</v>
      </c>
      <c r="L1150" s="9">
        <f t="shared" si="17"/>
        <v>428571.43</v>
      </c>
    </row>
    <row r="1151" spans="1:12" ht="14.25" hidden="1" customHeight="1" x14ac:dyDescent="0.3">
      <c r="A1151" s="8">
        <v>1150</v>
      </c>
      <c r="B1151" s="8" t="str">
        <f>'Criaturas - Base de Dados'!B193</f>
        <v>Selva Esmeralda</v>
      </c>
      <c r="C1151" s="8" t="str">
        <f>'Criaturas - Base de Dados'!C193</f>
        <v>Veneno</v>
      </c>
      <c r="D1151" s="8" t="str">
        <f>'Criaturas - Base de Dados'!D193</f>
        <v>Escaravelho Tóxico</v>
      </c>
      <c r="E1151" s="8" t="str">
        <f>'Sistema de Raridade e Evolução'!B5</f>
        <v>Ouro</v>
      </c>
      <c r="F1151" s="9">
        <f>ROUND(('Criaturas - Base de Dados'!H193*'Sistema de Raridade e Evolução'!E5)*1000,2)</f>
        <v>540000</v>
      </c>
      <c r="G1151" s="8">
        <f>ROUND('Criaturas - Base de Dados'!I193*'Sistema de Raridade e Evolução'!E5,0)</f>
        <v>324</v>
      </c>
      <c r="H1151" s="8">
        <f>ROUND('Criaturas - Base de Dados'!J193*'Sistema de Raridade e Evolução'!E5,0)</f>
        <v>270</v>
      </c>
      <c r="I1151" s="8">
        <f>ROUND('Criaturas - Base de Dados'!K193*'Sistema de Raridade e Evolução'!E5,0)</f>
        <v>1728</v>
      </c>
      <c r="J1151" s="8">
        <f>'Sistema de Raridade e Evolução'!D5</f>
        <v>31</v>
      </c>
      <c r="K1151" s="8" t="s">
        <v>11</v>
      </c>
      <c r="L1151" s="9">
        <f t="shared" si="17"/>
        <v>1285714.29</v>
      </c>
    </row>
    <row r="1152" spans="1:12" ht="14.25" hidden="1" customHeight="1" x14ac:dyDescent="0.3">
      <c r="A1152" s="8">
        <v>1151</v>
      </c>
      <c r="B1152" s="8" t="str">
        <f>'Criaturas - Base de Dados'!B193</f>
        <v>Selva Esmeralda</v>
      </c>
      <c r="C1152" s="8" t="str">
        <f>'Criaturas - Base de Dados'!C193</f>
        <v>Veneno</v>
      </c>
      <c r="D1152" s="8" t="str">
        <f>'Criaturas - Base de Dados'!D193</f>
        <v>Escaravelho Tóxico</v>
      </c>
      <c r="E1152" s="8" t="str">
        <f>'Sistema de Raridade e Evolução'!B6</f>
        <v>Platina</v>
      </c>
      <c r="F1152" s="9">
        <f>ROUND(('Criaturas - Base de Dados'!H193*'Sistema de Raridade e Evolução'!E6)*1000,2)</f>
        <v>1500000</v>
      </c>
      <c r="G1152" s="8">
        <f>ROUND('Criaturas - Base de Dados'!I193*'Sistema de Raridade e Evolução'!E6,0)</f>
        <v>900</v>
      </c>
      <c r="H1152" s="8">
        <f>ROUND('Criaturas - Base de Dados'!J193*'Sistema de Raridade e Evolução'!E6,0)</f>
        <v>750</v>
      </c>
      <c r="I1152" s="8">
        <f>ROUND('Criaturas - Base de Dados'!K193*'Sistema de Raridade e Evolução'!E6,0)</f>
        <v>4800</v>
      </c>
      <c r="J1152" s="8">
        <f>'Sistema de Raridade e Evolução'!D6</f>
        <v>56</v>
      </c>
      <c r="K1152" s="8" t="s">
        <v>12</v>
      </c>
      <c r="L1152" s="9">
        <f t="shared" si="17"/>
        <v>3571428.57</v>
      </c>
    </row>
    <row r="1153" spans="1:12" ht="14.25" hidden="1" customHeight="1" x14ac:dyDescent="0.3">
      <c r="A1153" s="8">
        <v>1152</v>
      </c>
      <c r="B1153" s="8" t="str">
        <f>'Criaturas - Base de Dados'!B193</f>
        <v>Selva Esmeralda</v>
      </c>
      <c r="C1153" s="8" t="str">
        <f>'Criaturas - Base de Dados'!C193</f>
        <v>Veneno</v>
      </c>
      <c r="D1153" s="8" t="str">
        <f>'Criaturas - Base de Dados'!D193</f>
        <v>Escaravelho Tóxico</v>
      </c>
      <c r="E1153" s="8" t="str">
        <f>'Sistema de Raridade e Evolução'!B7</f>
        <v>Lendário</v>
      </c>
      <c r="F1153" s="9">
        <f>ROUND(('Criaturas - Base de Dados'!H193*'Sistema de Raridade e Evolução'!E7)*1000,2)</f>
        <v>4500000</v>
      </c>
      <c r="G1153" s="8">
        <f>ROUND('Criaturas - Base de Dados'!I193*'Sistema de Raridade e Evolução'!E7,0)</f>
        <v>2700</v>
      </c>
      <c r="H1153" s="8">
        <f>ROUND('Criaturas - Base de Dados'!J193*'Sistema de Raridade e Evolução'!E7,0)</f>
        <v>2250</v>
      </c>
      <c r="I1153" s="8">
        <f>ROUND('Criaturas - Base de Dados'!K193*'Sistema de Raridade e Evolução'!E7,0)</f>
        <v>14400</v>
      </c>
      <c r="J1153" s="8">
        <f>'Sistema de Raridade e Evolução'!D7</f>
        <v>91</v>
      </c>
      <c r="K1153" s="8" t="s">
        <v>925</v>
      </c>
      <c r="L1153" s="9">
        <f t="shared" si="17"/>
        <v>10714285.710000001</v>
      </c>
    </row>
    <row r="1154" spans="1:12" ht="14.25" customHeight="1" x14ac:dyDescent="0.3">
      <c r="A1154" s="8">
        <v>1153</v>
      </c>
      <c r="B1154" s="8" t="str">
        <f>'Criaturas - Base de Dados'!B194</f>
        <v>Selva Esmeralda</v>
      </c>
      <c r="C1154" s="8" t="str">
        <f>'Criaturas - Base de Dados'!C194</f>
        <v>Veneno</v>
      </c>
      <c r="D1154" s="8" t="str">
        <f>'Criaturas - Base de Dados'!D194</f>
        <v>Flor Devoradora Ancestral</v>
      </c>
      <c r="E1154" s="8" t="str">
        <f>'Sistema de Raridade e Evolução'!B2</f>
        <v>Default</v>
      </c>
      <c r="F1154" s="9" t="e">
        <f>ROUND(('Criaturas - Base de Dados'!H194*'Sistema de Raridade e Evolução'!E2)*1000,2)</f>
        <v>#VALUE!</v>
      </c>
      <c r="G1154" s="8" t="e">
        <f>ROUND('Criaturas - Base de Dados'!I194*'Sistema de Raridade e Evolução'!E2,0)</f>
        <v>#VALUE!</v>
      </c>
      <c r="H1154" s="8" t="e">
        <f>ROUND('Criaturas - Base de Dados'!J194*'Sistema de Raridade e Evolução'!E2,0)</f>
        <v>#VALUE!</v>
      </c>
      <c r="I1154" s="8" t="e">
        <f>ROUND('Criaturas - Base de Dados'!K194*'Sistema de Raridade e Evolução'!E2,0)</f>
        <v>#VALUE!</v>
      </c>
      <c r="J1154" s="8">
        <f>'Sistema de Raridade e Evolução'!D2</f>
        <v>1</v>
      </c>
      <c r="K1154" s="8" t="s">
        <v>8</v>
      </c>
      <c r="L1154" s="9" t="e">
        <f t="shared" ref="L1154:L1217" si="18">ROUND(F1154*(2.5/1.05),2)</f>
        <v>#VALUE!</v>
      </c>
    </row>
    <row r="1155" spans="1:12" ht="14.25" hidden="1" customHeight="1" x14ac:dyDescent="0.3">
      <c r="A1155" s="8">
        <v>1154</v>
      </c>
      <c r="B1155" s="8" t="str">
        <f>'Criaturas - Base de Dados'!B194</f>
        <v>Selva Esmeralda</v>
      </c>
      <c r="C1155" s="8" t="str">
        <f>'Criaturas - Base de Dados'!C194</f>
        <v>Veneno</v>
      </c>
      <c r="D1155" s="8" t="str">
        <f>'Criaturas - Base de Dados'!D194</f>
        <v>Flor Devoradora Ancestral</v>
      </c>
      <c r="E1155" s="8" t="str">
        <f>'Sistema de Raridade e Evolução'!B3</f>
        <v>Bronze</v>
      </c>
      <c r="F1155" s="9">
        <f>ROUND(('Criaturas - Base de Dados'!H194*'Sistema de Raridade e Evolução'!E3)*1000,2)</f>
        <v>34000</v>
      </c>
      <c r="G1155" s="8">
        <f>ROUND('Criaturas - Base de Dados'!I194*'Sistema de Raridade e Evolução'!E3,0)</f>
        <v>20</v>
      </c>
      <c r="H1155" s="8">
        <f>ROUND('Criaturas - Base de Dados'!J194*'Sistema de Raridade e Evolução'!E3,0)</f>
        <v>17</v>
      </c>
      <c r="I1155" s="8">
        <f>ROUND('Criaturas - Base de Dados'!K194*'Sistema de Raridade e Evolução'!E3,0)</f>
        <v>109</v>
      </c>
      <c r="J1155" s="8">
        <f>'Sistema de Raridade e Evolução'!D3</f>
        <v>6</v>
      </c>
      <c r="K1155" s="8" t="s">
        <v>9</v>
      </c>
      <c r="L1155" s="9">
        <f t="shared" si="18"/>
        <v>80952.38</v>
      </c>
    </row>
    <row r="1156" spans="1:12" ht="14.25" hidden="1" customHeight="1" x14ac:dyDescent="0.3">
      <c r="A1156" s="8">
        <v>1155</v>
      </c>
      <c r="B1156" s="8" t="str">
        <f>'Criaturas - Base de Dados'!B194</f>
        <v>Selva Esmeralda</v>
      </c>
      <c r="C1156" s="8" t="str">
        <f>'Criaturas - Base de Dados'!C194</f>
        <v>Veneno</v>
      </c>
      <c r="D1156" s="8" t="str">
        <f>'Criaturas - Base de Dados'!D194</f>
        <v>Flor Devoradora Ancestral</v>
      </c>
      <c r="E1156" s="8" t="str">
        <f>'Sistema de Raridade e Evolução'!B4</f>
        <v>Prata</v>
      </c>
      <c r="F1156" s="9">
        <f>ROUND(('Criaturas - Base de Dados'!H194*'Sistema de Raridade e Evolução'!E4)*1000,2)</f>
        <v>204000</v>
      </c>
      <c r="G1156" s="8">
        <f>ROUND('Criaturas - Base de Dados'!I194*'Sistema de Raridade e Evolução'!E4,0)</f>
        <v>120</v>
      </c>
      <c r="H1156" s="8">
        <f>ROUND('Criaturas - Base de Dados'!J194*'Sistema de Raridade e Evolução'!E4,0)</f>
        <v>102</v>
      </c>
      <c r="I1156" s="8">
        <f>ROUND('Criaturas - Base de Dados'!K194*'Sistema de Raridade e Evolução'!E4,0)</f>
        <v>654</v>
      </c>
      <c r="J1156" s="8">
        <f>'Sistema de Raridade e Evolução'!D4</f>
        <v>16</v>
      </c>
      <c r="K1156" s="8" t="s">
        <v>10</v>
      </c>
      <c r="L1156" s="9">
        <f t="shared" si="18"/>
        <v>485714.29</v>
      </c>
    </row>
    <row r="1157" spans="1:12" ht="14.25" hidden="1" customHeight="1" x14ac:dyDescent="0.3">
      <c r="A1157" s="8">
        <v>1156</v>
      </c>
      <c r="B1157" s="8" t="str">
        <f>'Criaturas - Base de Dados'!B194</f>
        <v>Selva Esmeralda</v>
      </c>
      <c r="C1157" s="8" t="str">
        <f>'Criaturas - Base de Dados'!C194</f>
        <v>Veneno</v>
      </c>
      <c r="D1157" s="8" t="str">
        <f>'Criaturas - Base de Dados'!D194</f>
        <v>Flor Devoradora Ancestral</v>
      </c>
      <c r="E1157" s="8" t="str">
        <f>'Sistema de Raridade e Evolução'!B5</f>
        <v>Ouro</v>
      </c>
      <c r="F1157" s="9">
        <f>ROUND(('Criaturas - Base de Dados'!H194*'Sistema de Raridade e Evolução'!E5)*1000,2)</f>
        <v>612000</v>
      </c>
      <c r="G1157" s="8">
        <f>ROUND('Criaturas - Base de Dados'!I194*'Sistema de Raridade e Evolução'!E5,0)</f>
        <v>360</v>
      </c>
      <c r="H1157" s="8">
        <f>ROUND('Criaturas - Base de Dados'!J194*'Sistema de Raridade e Evolução'!E5,0)</f>
        <v>306</v>
      </c>
      <c r="I1157" s="8">
        <f>ROUND('Criaturas - Base de Dados'!K194*'Sistema de Raridade e Evolução'!E5,0)</f>
        <v>1962</v>
      </c>
      <c r="J1157" s="8">
        <f>'Sistema de Raridade e Evolução'!D5</f>
        <v>31</v>
      </c>
      <c r="K1157" s="8" t="s">
        <v>11</v>
      </c>
      <c r="L1157" s="9">
        <f t="shared" si="18"/>
        <v>1457142.86</v>
      </c>
    </row>
    <row r="1158" spans="1:12" ht="14.25" hidden="1" customHeight="1" x14ac:dyDescent="0.3">
      <c r="A1158" s="8">
        <v>1157</v>
      </c>
      <c r="B1158" s="8" t="str">
        <f>'Criaturas - Base de Dados'!B194</f>
        <v>Selva Esmeralda</v>
      </c>
      <c r="C1158" s="8" t="str">
        <f>'Criaturas - Base de Dados'!C194</f>
        <v>Veneno</v>
      </c>
      <c r="D1158" s="8" t="str">
        <f>'Criaturas - Base de Dados'!D194</f>
        <v>Flor Devoradora Ancestral</v>
      </c>
      <c r="E1158" s="8" t="str">
        <f>'Sistema de Raridade e Evolução'!B6</f>
        <v>Platina</v>
      </c>
      <c r="F1158" s="9">
        <f>ROUND(('Criaturas - Base de Dados'!H194*'Sistema de Raridade e Evolução'!E6)*1000,2)</f>
        <v>1700000</v>
      </c>
      <c r="G1158" s="8">
        <f>ROUND('Criaturas - Base de Dados'!I194*'Sistema de Raridade e Evolução'!E6,0)</f>
        <v>1000</v>
      </c>
      <c r="H1158" s="8">
        <f>ROUND('Criaturas - Base de Dados'!J194*'Sistema de Raridade e Evolução'!E6,0)</f>
        <v>850</v>
      </c>
      <c r="I1158" s="8">
        <f>ROUND('Criaturas - Base de Dados'!K194*'Sistema de Raridade e Evolução'!E6,0)</f>
        <v>5450</v>
      </c>
      <c r="J1158" s="8">
        <f>'Sistema de Raridade e Evolução'!D6</f>
        <v>56</v>
      </c>
      <c r="K1158" s="8" t="s">
        <v>12</v>
      </c>
      <c r="L1158" s="9">
        <f t="shared" si="18"/>
        <v>4047619.05</v>
      </c>
    </row>
    <row r="1159" spans="1:12" ht="14.25" hidden="1" customHeight="1" x14ac:dyDescent="0.3">
      <c r="A1159" s="8">
        <v>1158</v>
      </c>
      <c r="B1159" s="8" t="str">
        <f>'Criaturas - Base de Dados'!B194</f>
        <v>Selva Esmeralda</v>
      </c>
      <c r="C1159" s="8" t="str">
        <f>'Criaturas - Base de Dados'!C194</f>
        <v>Veneno</v>
      </c>
      <c r="D1159" s="8" t="str">
        <f>'Criaturas - Base de Dados'!D194</f>
        <v>Flor Devoradora Ancestral</v>
      </c>
      <c r="E1159" s="8" t="str">
        <f>'Sistema de Raridade e Evolução'!B7</f>
        <v>Lendário</v>
      </c>
      <c r="F1159" s="9">
        <f>ROUND(('Criaturas - Base de Dados'!H194*'Sistema de Raridade e Evolução'!E7)*1000,2)</f>
        <v>5100000</v>
      </c>
      <c r="G1159" s="8">
        <f>ROUND('Criaturas - Base de Dados'!I194*'Sistema de Raridade e Evolução'!E7,0)</f>
        <v>3000</v>
      </c>
      <c r="H1159" s="8">
        <f>ROUND('Criaturas - Base de Dados'!J194*'Sistema de Raridade e Evolução'!E7,0)</f>
        <v>2550</v>
      </c>
      <c r="I1159" s="8">
        <f>ROUND('Criaturas - Base de Dados'!K194*'Sistema de Raridade e Evolução'!E7,0)</f>
        <v>16350</v>
      </c>
      <c r="J1159" s="8">
        <f>'Sistema de Raridade e Evolução'!D7</f>
        <v>91</v>
      </c>
      <c r="K1159" s="8" t="s">
        <v>925</v>
      </c>
      <c r="L1159" s="9">
        <f t="shared" si="18"/>
        <v>12142857.140000001</v>
      </c>
    </row>
    <row r="1160" spans="1:12" ht="14.25" customHeight="1" x14ac:dyDescent="0.3">
      <c r="A1160" s="8">
        <v>1159</v>
      </c>
      <c r="B1160" s="8" t="str">
        <f>'Criaturas - Base de Dados'!B195</f>
        <v>Selva Esmeralda</v>
      </c>
      <c r="C1160" s="8" t="str">
        <f>'Criaturas - Base de Dados'!C195</f>
        <v>Veneno</v>
      </c>
      <c r="D1160" s="8" t="str">
        <f>'Criaturas - Base de Dados'!D195</f>
        <v>Trepadeira Amaldiçoada</v>
      </c>
      <c r="E1160" s="8" t="str">
        <f>'Sistema de Raridade e Evolução'!B2</f>
        <v>Default</v>
      </c>
      <c r="F1160" s="9" t="e">
        <f>ROUND(('Criaturas - Base de Dados'!H195*'Sistema de Raridade e Evolução'!E2)*1000,2)</f>
        <v>#VALUE!</v>
      </c>
      <c r="G1160" s="8" t="e">
        <f>ROUND('Criaturas - Base de Dados'!I195*'Sistema de Raridade e Evolução'!E2,0)</f>
        <v>#VALUE!</v>
      </c>
      <c r="H1160" s="8" t="e">
        <f>ROUND('Criaturas - Base de Dados'!J195*'Sistema de Raridade e Evolução'!E2,0)</f>
        <v>#VALUE!</v>
      </c>
      <c r="I1160" s="8" t="e">
        <f>ROUND('Criaturas - Base de Dados'!K195*'Sistema de Raridade e Evolução'!E2,0)</f>
        <v>#VALUE!</v>
      </c>
      <c r="J1160" s="8">
        <f>'Sistema de Raridade e Evolução'!D2</f>
        <v>1</v>
      </c>
      <c r="K1160" s="8" t="s">
        <v>8</v>
      </c>
      <c r="L1160" s="9" t="e">
        <f t="shared" si="18"/>
        <v>#VALUE!</v>
      </c>
    </row>
    <row r="1161" spans="1:12" ht="14.25" hidden="1" customHeight="1" x14ac:dyDescent="0.3">
      <c r="A1161" s="8">
        <v>1160</v>
      </c>
      <c r="B1161" s="8" t="str">
        <f>'Criaturas - Base de Dados'!B195</f>
        <v>Selva Esmeralda</v>
      </c>
      <c r="C1161" s="8" t="str">
        <f>'Criaturas - Base de Dados'!C195</f>
        <v>Veneno</v>
      </c>
      <c r="D1161" s="8" t="str">
        <f>'Criaturas - Base de Dados'!D195</f>
        <v>Trepadeira Amaldiçoada</v>
      </c>
      <c r="E1161" s="8" t="str">
        <f>'Sistema de Raridade e Evolução'!B3</f>
        <v>Bronze</v>
      </c>
      <c r="F1161" s="9">
        <f>ROUND(('Criaturas - Base de Dados'!H195*'Sistema de Raridade e Evolução'!E3)*1000,2)</f>
        <v>36000</v>
      </c>
      <c r="G1161" s="8">
        <f>ROUND('Criaturas - Base de Dados'!I195*'Sistema de Raridade e Evolução'!E3,0)</f>
        <v>22</v>
      </c>
      <c r="H1161" s="8">
        <f>ROUND('Criaturas - Base de Dados'!J195*'Sistema de Raridade e Evolução'!E3,0)</f>
        <v>18</v>
      </c>
      <c r="I1161" s="8">
        <f>ROUND('Criaturas - Base de Dados'!K195*'Sistema de Raridade e Evolução'!E3,0)</f>
        <v>115</v>
      </c>
      <c r="J1161" s="8">
        <f>'Sistema de Raridade e Evolução'!D3</f>
        <v>6</v>
      </c>
      <c r="K1161" s="8" t="s">
        <v>9</v>
      </c>
      <c r="L1161" s="9">
        <f t="shared" si="18"/>
        <v>85714.29</v>
      </c>
    </row>
    <row r="1162" spans="1:12" ht="14.25" hidden="1" customHeight="1" x14ac:dyDescent="0.3">
      <c r="A1162" s="8">
        <v>1161</v>
      </c>
      <c r="B1162" s="8" t="str">
        <f>'Criaturas - Base de Dados'!B195</f>
        <v>Selva Esmeralda</v>
      </c>
      <c r="C1162" s="8" t="str">
        <f>'Criaturas - Base de Dados'!C195</f>
        <v>Veneno</v>
      </c>
      <c r="D1162" s="8" t="str">
        <f>'Criaturas - Base de Dados'!D195</f>
        <v>Trepadeira Amaldiçoada</v>
      </c>
      <c r="E1162" s="8" t="str">
        <f>'Sistema de Raridade e Evolução'!B4</f>
        <v>Prata</v>
      </c>
      <c r="F1162" s="9">
        <f>ROUND(('Criaturas - Base de Dados'!H195*'Sistema de Raridade e Evolução'!E4)*1000,2)</f>
        <v>216000</v>
      </c>
      <c r="G1162" s="8">
        <f>ROUND('Criaturas - Base de Dados'!I195*'Sistema de Raridade e Evolução'!E4,0)</f>
        <v>132</v>
      </c>
      <c r="H1162" s="8">
        <f>ROUND('Criaturas - Base de Dados'!J195*'Sistema de Raridade e Evolução'!E4,0)</f>
        <v>108</v>
      </c>
      <c r="I1162" s="8">
        <f>ROUND('Criaturas - Base de Dados'!K195*'Sistema de Raridade e Evolução'!E4,0)</f>
        <v>690</v>
      </c>
      <c r="J1162" s="8">
        <f>'Sistema de Raridade e Evolução'!D4</f>
        <v>16</v>
      </c>
      <c r="K1162" s="8" t="s">
        <v>10</v>
      </c>
      <c r="L1162" s="9">
        <f t="shared" si="18"/>
        <v>514285.71</v>
      </c>
    </row>
    <row r="1163" spans="1:12" ht="14.25" hidden="1" customHeight="1" x14ac:dyDescent="0.3">
      <c r="A1163" s="8">
        <v>1162</v>
      </c>
      <c r="B1163" s="8" t="str">
        <f>'Criaturas - Base de Dados'!B195</f>
        <v>Selva Esmeralda</v>
      </c>
      <c r="C1163" s="8" t="str">
        <f>'Criaturas - Base de Dados'!C195</f>
        <v>Veneno</v>
      </c>
      <c r="D1163" s="8" t="str">
        <f>'Criaturas - Base de Dados'!D195</f>
        <v>Trepadeira Amaldiçoada</v>
      </c>
      <c r="E1163" s="8" t="str">
        <f>'Sistema de Raridade e Evolução'!B5</f>
        <v>Ouro</v>
      </c>
      <c r="F1163" s="9">
        <f>ROUND(('Criaturas - Base de Dados'!H195*'Sistema de Raridade e Evolução'!E5)*1000,2)</f>
        <v>648000</v>
      </c>
      <c r="G1163" s="8">
        <f>ROUND('Criaturas - Base de Dados'!I195*'Sistema de Raridade e Evolução'!E5,0)</f>
        <v>396</v>
      </c>
      <c r="H1163" s="8">
        <f>ROUND('Criaturas - Base de Dados'!J195*'Sistema de Raridade e Evolução'!E5,0)</f>
        <v>324</v>
      </c>
      <c r="I1163" s="8">
        <f>ROUND('Criaturas - Base de Dados'!K195*'Sistema de Raridade e Evolução'!E5,0)</f>
        <v>2070</v>
      </c>
      <c r="J1163" s="8">
        <f>'Sistema de Raridade e Evolução'!D5</f>
        <v>31</v>
      </c>
      <c r="K1163" s="8" t="s">
        <v>11</v>
      </c>
      <c r="L1163" s="9">
        <f t="shared" si="18"/>
        <v>1542857.14</v>
      </c>
    </row>
    <row r="1164" spans="1:12" ht="14.25" hidden="1" customHeight="1" x14ac:dyDescent="0.3">
      <c r="A1164" s="8">
        <v>1163</v>
      </c>
      <c r="B1164" s="8" t="str">
        <f>'Criaturas - Base de Dados'!B195</f>
        <v>Selva Esmeralda</v>
      </c>
      <c r="C1164" s="8" t="str">
        <f>'Criaturas - Base de Dados'!C195</f>
        <v>Veneno</v>
      </c>
      <c r="D1164" s="8" t="str">
        <f>'Criaturas - Base de Dados'!D195</f>
        <v>Trepadeira Amaldiçoada</v>
      </c>
      <c r="E1164" s="8" t="str">
        <f>'Sistema de Raridade e Evolução'!B6</f>
        <v>Platina</v>
      </c>
      <c r="F1164" s="9">
        <f>ROUND(('Criaturas - Base de Dados'!H195*'Sistema de Raridade e Evolução'!E6)*1000,2)</f>
        <v>1800000</v>
      </c>
      <c r="G1164" s="8">
        <f>ROUND('Criaturas - Base de Dados'!I195*'Sistema de Raridade e Evolução'!E6,0)</f>
        <v>1100</v>
      </c>
      <c r="H1164" s="8">
        <f>ROUND('Criaturas - Base de Dados'!J195*'Sistema de Raridade e Evolução'!E6,0)</f>
        <v>900</v>
      </c>
      <c r="I1164" s="8">
        <f>ROUND('Criaturas - Base de Dados'!K195*'Sistema de Raridade e Evolução'!E6,0)</f>
        <v>5750</v>
      </c>
      <c r="J1164" s="8">
        <f>'Sistema de Raridade e Evolução'!D6</f>
        <v>56</v>
      </c>
      <c r="K1164" s="8" t="s">
        <v>12</v>
      </c>
      <c r="L1164" s="9">
        <f t="shared" si="18"/>
        <v>4285714.29</v>
      </c>
    </row>
    <row r="1165" spans="1:12" ht="14.25" hidden="1" customHeight="1" x14ac:dyDescent="0.3">
      <c r="A1165" s="8">
        <v>1164</v>
      </c>
      <c r="B1165" s="8" t="str">
        <f>'Criaturas - Base de Dados'!B195</f>
        <v>Selva Esmeralda</v>
      </c>
      <c r="C1165" s="8" t="str">
        <f>'Criaturas - Base de Dados'!C195</f>
        <v>Veneno</v>
      </c>
      <c r="D1165" s="8" t="str">
        <f>'Criaturas - Base de Dados'!D195</f>
        <v>Trepadeira Amaldiçoada</v>
      </c>
      <c r="E1165" s="8" t="str">
        <f>'Sistema de Raridade e Evolução'!B7</f>
        <v>Lendário</v>
      </c>
      <c r="F1165" s="9">
        <f>ROUND(('Criaturas - Base de Dados'!H195*'Sistema de Raridade e Evolução'!E7)*1000,2)</f>
        <v>5400000</v>
      </c>
      <c r="G1165" s="8">
        <f>ROUND('Criaturas - Base de Dados'!I195*'Sistema de Raridade e Evolução'!E7,0)</f>
        <v>3300</v>
      </c>
      <c r="H1165" s="8">
        <f>ROUND('Criaturas - Base de Dados'!J195*'Sistema de Raridade e Evolução'!E7,0)</f>
        <v>2700</v>
      </c>
      <c r="I1165" s="8">
        <f>ROUND('Criaturas - Base de Dados'!K195*'Sistema de Raridade e Evolução'!E7,0)</f>
        <v>17250</v>
      </c>
      <c r="J1165" s="8">
        <f>'Sistema de Raridade e Evolução'!D7</f>
        <v>91</v>
      </c>
      <c r="K1165" s="8" t="s">
        <v>925</v>
      </c>
      <c r="L1165" s="9">
        <f t="shared" si="18"/>
        <v>12857142.859999999</v>
      </c>
    </row>
    <row r="1166" spans="1:12" ht="14.25" customHeight="1" x14ac:dyDescent="0.3">
      <c r="A1166" s="8">
        <v>1165</v>
      </c>
      <c r="B1166" s="8" t="str">
        <f>'Criaturas - Base de Dados'!B196</f>
        <v>Selva Esmeralda</v>
      </c>
      <c r="C1166" s="8" t="str">
        <f>'Criaturas - Base de Dados'!C196</f>
        <v>Veneno</v>
      </c>
      <c r="D1166" s="8" t="str">
        <f>'Criaturas - Base de Dados'!D196</f>
        <v>Sanguessuga Gigante</v>
      </c>
      <c r="E1166" s="8" t="str">
        <f>'Sistema de Raridade e Evolução'!B2</f>
        <v>Default</v>
      </c>
      <c r="F1166" s="9" t="e">
        <f>ROUND(('Criaturas - Base de Dados'!H196*'Sistema de Raridade e Evolução'!E2)*1000,2)</f>
        <v>#VALUE!</v>
      </c>
      <c r="G1166" s="8" t="e">
        <f>ROUND('Criaturas - Base de Dados'!I196*'Sistema de Raridade e Evolução'!E2,0)</f>
        <v>#VALUE!</v>
      </c>
      <c r="H1166" s="8" t="e">
        <f>ROUND('Criaturas - Base de Dados'!J196*'Sistema de Raridade e Evolução'!E2,0)</f>
        <v>#VALUE!</v>
      </c>
      <c r="I1166" s="8" t="e">
        <f>ROUND('Criaturas - Base de Dados'!K196*'Sistema de Raridade e Evolução'!E2,0)</f>
        <v>#VALUE!</v>
      </c>
      <c r="J1166" s="8">
        <f>'Sistema de Raridade e Evolução'!D2</f>
        <v>1</v>
      </c>
      <c r="K1166" s="8" t="s">
        <v>8</v>
      </c>
      <c r="L1166" s="9" t="e">
        <f t="shared" si="18"/>
        <v>#VALUE!</v>
      </c>
    </row>
    <row r="1167" spans="1:12" ht="14.25" hidden="1" customHeight="1" x14ac:dyDescent="0.3">
      <c r="A1167" s="8">
        <v>1166</v>
      </c>
      <c r="B1167" s="8" t="str">
        <f>'Criaturas - Base de Dados'!B196</f>
        <v>Selva Esmeralda</v>
      </c>
      <c r="C1167" s="8" t="str">
        <f>'Criaturas - Base de Dados'!C196</f>
        <v>Veneno</v>
      </c>
      <c r="D1167" s="8" t="str">
        <f>'Criaturas - Base de Dados'!D196</f>
        <v>Sanguessuga Gigante</v>
      </c>
      <c r="E1167" s="8" t="str">
        <f>'Sistema de Raridade e Evolução'!B3</f>
        <v>Bronze</v>
      </c>
      <c r="F1167" s="9">
        <f>ROUND(('Criaturas - Base de Dados'!H196*'Sistema de Raridade e Evolução'!E3)*1000,2)</f>
        <v>38000</v>
      </c>
      <c r="G1167" s="8">
        <f>ROUND('Criaturas - Base de Dados'!I196*'Sistema de Raridade e Evolução'!E3,0)</f>
        <v>23</v>
      </c>
      <c r="H1167" s="8">
        <f>ROUND('Criaturas - Base de Dados'!J196*'Sistema de Raridade e Evolução'!E3,0)</f>
        <v>19</v>
      </c>
      <c r="I1167" s="8">
        <f>ROUND('Criaturas - Base de Dados'!K196*'Sistema de Raridade e Evolução'!E3,0)</f>
        <v>122</v>
      </c>
      <c r="J1167" s="8">
        <f>'Sistema de Raridade e Evolução'!D3</f>
        <v>6</v>
      </c>
      <c r="K1167" s="8" t="s">
        <v>9</v>
      </c>
      <c r="L1167" s="9">
        <f t="shared" si="18"/>
        <v>90476.19</v>
      </c>
    </row>
    <row r="1168" spans="1:12" ht="14.25" hidden="1" customHeight="1" x14ac:dyDescent="0.3">
      <c r="A1168" s="8">
        <v>1167</v>
      </c>
      <c r="B1168" s="8" t="str">
        <f>'Criaturas - Base de Dados'!B196</f>
        <v>Selva Esmeralda</v>
      </c>
      <c r="C1168" s="8" t="str">
        <f>'Criaturas - Base de Dados'!C196</f>
        <v>Veneno</v>
      </c>
      <c r="D1168" s="8" t="str">
        <f>'Criaturas - Base de Dados'!D196</f>
        <v>Sanguessuga Gigante</v>
      </c>
      <c r="E1168" s="8" t="str">
        <f>'Sistema de Raridade e Evolução'!B4</f>
        <v>Prata</v>
      </c>
      <c r="F1168" s="9">
        <f>ROUND(('Criaturas - Base de Dados'!H196*'Sistema de Raridade e Evolução'!E4)*1000,2)</f>
        <v>228000</v>
      </c>
      <c r="G1168" s="8">
        <f>ROUND('Criaturas - Base de Dados'!I196*'Sistema de Raridade e Evolução'!E4,0)</f>
        <v>138</v>
      </c>
      <c r="H1168" s="8">
        <f>ROUND('Criaturas - Base de Dados'!J196*'Sistema de Raridade e Evolução'!E4,0)</f>
        <v>114</v>
      </c>
      <c r="I1168" s="8">
        <f>ROUND('Criaturas - Base de Dados'!K196*'Sistema de Raridade e Evolução'!E4,0)</f>
        <v>732</v>
      </c>
      <c r="J1168" s="8">
        <f>'Sistema de Raridade e Evolução'!D4</f>
        <v>16</v>
      </c>
      <c r="K1168" s="8" t="s">
        <v>10</v>
      </c>
      <c r="L1168" s="9">
        <f t="shared" si="18"/>
        <v>542857.14</v>
      </c>
    </row>
    <row r="1169" spans="1:12" ht="14.25" hidden="1" customHeight="1" x14ac:dyDescent="0.3">
      <c r="A1169" s="8">
        <v>1168</v>
      </c>
      <c r="B1169" s="8" t="str">
        <f>'Criaturas - Base de Dados'!B196</f>
        <v>Selva Esmeralda</v>
      </c>
      <c r="C1169" s="8" t="str">
        <f>'Criaturas - Base de Dados'!C196</f>
        <v>Veneno</v>
      </c>
      <c r="D1169" s="8" t="str">
        <f>'Criaturas - Base de Dados'!D196</f>
        <v>Sanguessuga Gigante</v>
      </c>
      <c r="E1169" s="8" t="str">
        <f>'Sistema de Raridade e Evolução'!B5</f>
        <v>Ouro</v>
      </c>
      <c r="F1169" s="9">
        <f>ROUND(('Criaturas - Base de Dados'!H196*'Sistema de Raridade e Evolução'!E5)*1000,2)</f>
        <v>684000</v>
      </c>
      <c r="G1169" s="8">
        <f>ROUND('Criaturas - Base de Dados'!I196*'Sistema de Raridade e Evolução'!E5,0)</f>
        <v>414</v>
      </c>
      <c r="H1169" s="8">
        <f>ROUND('Criaturas - Base de Dados'!J196*'Sistema de Raridade e Evolução'!E5,0)</f>
        <v>342</v>
      </c>
      <c r="I1169" s="8">
        <f>ROUND('Criaturas - Base de Dados'!K196*'Sistema de Raridade e Evolução'!E5,0)</f>
        <v>2196</v>
      </c>
      <c r="J1169" s="8">
        <f>'Sistema de Raridade e Evolução'!D5</f>
        <v>31</v>
      </c>
      <c r="K1169" s="8" t="s">
        <v>11</v>
      </c>
      <c r="L1169" s="9">
        <f t="shared" si="18"/>
        <v>1628571.43</v>
      </c>
    </row>
    <row r="1170" spans="1:12" ht="14.25" hidden="1" customHeight="1" x14ac:dyDescent="0.3">
      <c r="A1170" s="8">
        <v>1169</v>
      </c>
      <c r="B1170" s="8" t="str">
        <f>'Criaturas - Base de Dados'!B196</f>
        <v>Selva Esmeralda</v>
      </c>
      <c r="C1170" s="8" t="str">
        <f>'Criaturas - Base de Dados'!C196</f>
        <v>Veneno</v>
      </c>
      <c r="D1170" s="8" t="str">
        <f>'Criaturas - Base de Dados'!D196</f>
        <v>Sanguessuga Gigante</v>
      </c>
      <c r="E1170" s="8" t="str">
        <f>'Sistema de Raridade e Evolução'!B6</f>
        <v>Platina</v>
      </c>
      <c r="F1170" s="9">
        <f>ROUND(('Criaturas - Base de Dados'!H196*'Sistema de Raridade e Evolução'!E6)*1000,2)</f>
        <v>1900000</v>
      </c>
      <c r="G1170" s="8">
        <f>ROUND('Criaturas - Base de Dados'!I196*'Sistema de Raridade e Evolução'!E6,0)</f>
        <v>1150</v>
      </c>
      <c r="H1170" s="8">
        <f>ROUND('Criaturas - Base de Dados'!J196*'Sistema de Raridade e Evolução'!E6,0)</f>
        <v>950</v>
      </c>
      <c r="I1170" s="8">
        <f>ROUND('Criaturas - Base de Dados'!K196*'Sistema de Raridade e Evolução'!E6,0)</f>
        <v>6100</v>
      </c>
      <c r="J1170" s="8">
        <f>'Sistema de Raridade e Evolução'!D6</f>
        <v>56</v>
      </c>
      <c r="K1170" s="8" t="s">
        <v>12</v>
      </c>
      <c r="L1170" s="9">
        <f t="shared" si="18"/>
        <v>4523809.5199999996</v>
      </c>
    </row>
    <row r="1171" spans="1:12" ht="14.25" hidden="1" customHeight="1" x14ac:dyDescent="0.3">
      <c r="A1171" s="8">
        <v>1170</v>
      </c>
      <c r="B1171" s="8" t="str">
        <f>'Criaturas - Base de Dados'!B196</f>
        <v>Selva Esmeralda</v>
      </c>
      <c r="C1171" s="8" t="str">
        <f>'Criaturas - Base de Dados'!C196</f>
        <v>Veneno</v>
      </c>
      <c r="D1171" s="8" t="str">
        <f>'Criaturas - Base de Dados'!D196</f>
        <v>Sanguessuga Gigante</v>
      </c>
      <c r="E1171" s="8" t="str">
        <f>'Sistema de Raridade e Evolução'!B7</f>
        <v>Lendário</v>
      </c>
      <c r="F1171" s="9">
        <f>ROUND(('Criaturas - Base de Dados'!H196*'Sistema de Raridade e Evolução'!E7)*1000,2)</f>
        <v>5700000</v>
      </c>
      <c r="G1171" s="8">
        <f>ROUND('Criaturas - Base de Dados'!I196*'Sistema de Raridade e Evolução'!E7,0)</f>
        <v>3450</v>
      </c>
      <c r="H1171" s="8">
        <f>ROUND('Criaturas - Base de Dados'!J196*'Sistema de Raridade e Evolução'!E7,0)</f>
        <v>2850</v>
      </c>
      <c r="I1171" s="8">
        <f>ROUND('Criaturas - Base de Dados'!K196*'Sistema de Raridade e Evolução'!E7,0)</f>
        <v>18300</v>
      </c>
      <c r="J1171" s="8">
        <f>'Sistema de Raridade e Evolução'!D7</f>
        <v>91</v>
      </c>
      <c r="K1171" s="8" t="s">
        <v>925</v>
      </c>
      <c r="L1171" s="9">
        <f t="shared" si="18"/>
        <v>13571428.57</v>
      </c>
    </row>
    <row r="1172" spans="1:12" ht="14.25" customHeight="1" x14ac:dyDescent="0.3">
      <c r="A1172" s="8">
        <v>1171</v>
      </c>
      <c r="B1172" s="8" t="str">
        <f>'Criaturas - Base de Dados'!B197</f>
        <v>Selva Esmeralda</v>
      </c>
      <c r="C1172" s="8" t="str">
        <f>'Criaturas - Base de Dados'!C197</f>
        <v>Veneno</v>
      </c>
      <c r="D1172" s="8" t="str">
        <f>'Criaturas - Base de Dados'!D197</f>
        <v>Víbora das Sombras Verdes</v>
      </c>
      <c r="E1172" s="8" t="str">
        <f>'Sistema de Raridade e Evolução'!B2</f>
        <v>Default</v>
      </c>
      <c r="F1172" s="9" t="e">
        <f>ROUND(('Criaturas - Base de Dados'!H197*'Sistema de Raridade e Evolução'!E2)*1000,2)</f>
        <v>#VALUE!</v>
      </c>
      <c r="G1172" s="8" t="e">
        <f>ROUND('Criaturas - Base de Dados'!I197*'Sistema de Raridade e Evolução'!E2,0)</f>
        <v>#VALUE!</v>
      </c>
      <c r="H1172" s="8" t="e">
        <f>ROUND('Criaturas - Base de Dados'!J197*'Sistema de Raridade e Evolução'!E2,0)</f>
        <v>#VALUE!</v>
      </c>
      <c r="I1172" s="8" t="e">
        <f>ROUND('Criaturas - Base de Dados'!K197*'Sistema de Raridade e Evolução'!E2,0)</f>
        <v>#VALUE!</v>
      </c>
      <c r="J1172" s="8">
        <f>'Sistema de Raridade e Evolução'!D2</f>
        <v>1</v>
      </c>
      <c r="K1172" s="8" t="s">
        <v>8</v>
      </c>
      <c r="L1172" s="9" t="e">
        <f t="shared" si="18"/>
        <v>#VALUE!</v>
      </c>
    </row>
    <row r="1173" spans="1:12" ht="14.25" hidden="1" customHeight="1" x14ac:dyDescent="0.3">
      <c r="A1173" s="8">
        <v>1172</v>
      </c>
      <c r="B1173" s="8" t="str">
        <f>'Criaturas - Base de Dados'!B197</f>
        <v>Selva Esmeralda</v>
      </c>
      <c r="C1173" s="8" t="str">
        <f>'Criaturas - Base de Dados'!C197</f>
        <v>Veneno</v>
      </c>
      <c r="D1173" s="8" t="str">
        <f>'Criaturas - Base de Dados'!D197</f>
        <v>Víbora das Sombras Verdes</v>
      </c>
      <c r="E1173" s="8" t="str">
        <f>'Sistema de Raridade e Evolução'!B3</f>
        <v>Bronze</v>
      </c>
      <c r="F1173" s="9">
        <f>ROUND(('Criaturas - Base de Dados'!H197*'Sistema de Raridade e Evolução'!E3)*1000,2)</f>
        <v>54000</v>
      </c>
      <c r="G1173" s="8">
        <f>ROUND('Criaturas - Base de Dados'!I197*'Sistema de Raridade e Evolução'!E3,0)</f>
        <v>32</v>
      </c>
      <c r="H1173" s="8">
        <f>ROUND('Criaturas - Base de Dados'!J197*'Sistema de Raridade e Evolução'!E3,0)</f>
        <v>27</v>
      </c>
      <c r="I1173" s="8">
        <f>ROUND('Criaturas - Base de Dados'!K197*'Sistema de Raridade e Evolução'!E3,0)</f>
        <v>173</v>
      </c>
      <c r="J1173" s="8">
        <f>'Sistema de Raridade e Evolução'!D3</f>
        <v>6</v>
      </c>
      <c r="K1173" s="8" t="s">
        <v>9</v>
      </c>
      <c r="L1173" s="9">
        <f t="shared" si="18"/>
        <v>128571.43</v>
      </c>
    </row>
    <row r="1174" spans="1:12" ht="14.25" hidden="1" customHeight="1" x14ac:dyDescent="0.3">
      <c r="A1174" s="8">
        <v>1173</v>
      </c>
      <c r="B1174" s="8" t="str">
        <f>'Criaturas - Base de Dados'!B197</f>
        <v>Selva Esmeralda</v>
      </c>
      <c r="C1174" s="8" t="str">
        <f>'Criaturas - Base de Dados'!C197</f>
        <v>Veneno</v>
      </c>
      <c r="D1174" s="8" t="str">
        <f>'Criaturas - Base de Dados'!D197</f>
        <v>Víbora das Sombras Verdes</v>
      </c>
      <c r="E1174" s="8" t="str">
        <f>'Sistema de Raridade e Evolução'!B4</f>
        <v>Prata</v>
      </c>
      <c r="F1174" s="9">
        <f>ROUND(('Criaturas - Base de Dados'!H197*'Sistema de Raridade e Evolução'!E4)*1000,2)</f>
        <v>324000</v>
      </c>
      <c r="G1174" s="8">
        <f>ROUND('Criaturas - Base de Dados'!I197*'Sistema de Raridade e Evolução'!E4,0)</f>
        <v>192</v>
      </c>
      <c r="H1174" s="8">
        <f>ROUND('Criaturas - Base de Dados'!J197*'Sistema de Raridade e Evolução'!E4,0)</f>
        <v>162</v>
      </c>
      <c r="I1174" s="8">
        <f>ROUND('Criaturas - Base de Dados'!K197*'Sistema de Raridade e Evolução'!E4,0)</f>
        <v>1038</v>
      </c>
      <c r="J1174" s="8">
        <f>'Sistema de Raridade e Evolução'!D4</f>
        <v>16</v>
      </c>
      <c r="K1174" s="8" t="s">
        <v>10</v>
      </c>
      <c r="L1174" s="9">
        <f t="shared" si="18"/>
        <v>771428.57</v>
      </c>
    </row>
    <row r="1175" spans="1:12" ht="14.25" hidden="1" customHeight="1" x14ac:dyDescent="0.3">
      <c r="A1175" s="8">
        <v>1174</v>
      </c>
      <c r="B1175" s="8" t="str">
        <f>'Criaturas - Base de Dados'!B197</f>
        <v>Selva Esmeralda</v>
      </c>
      <c r="C1175" s="8" t="str">
        <f>'Criaturas - Base de Dados'!C197</f>
        <v>Veneno</v>
      </c>
      <c r="D1175" s="8" t="str">
        <f>'Criaturas - Base de Dados'!D197</f>
        <v>Víbora das Sombras Verdes</v>
      </c>
      <c r="E1175" s="8" t="str">
        <f>'Sistema de Raridade e Evolução'!B5</f>
        <v>Ouro</v>
      </c>
      <c r="F1175" s="9">
        <f>ROUND(('Criaturas - Base de Dados'!H197*'Sistema de Raridade e Evolução'!E5)*1000,2)</f>
        <v>972000</v>
      </c>
      <c r="G1175" s="8">
        <f>ROUND('Criaturas - Base de Dados'!I197*'Sistema de Raridade e Evolução'!E5,0)</f>
        <v>576</v>
      </c>
      <c r="H1175" s="8">
        <f>ROUND('Criaturas - Base de Dados'!J197*'Sistema de Raridade e Evolução'!E5,0)</f>
        <v>486</v>
      </c>
      <c r="I1175" s="8">
        <f>ROUND('Criaturas - Base de Dados'!K197*'Sistema de Raridade e Evolução'!E5,0)</f>
        <v>3114</v>
      </c>
      <c r="J1175" s="8">
        <f>'Sistema de Raridade e Evolução'!D5</f>
        <v>31</v>
      </c>
      <c r="K1175" s="8" t="s">
        <v>11</v>
      </c>
      <c r="L1175" s="9">
        <f t="shared" si="18"/>
        <v>2314285.71</v>
      </c>
    </row>
    <row r="1176" spans="1:12" ht="14.25" hidden="1" customHeight="1" x14ac:dyDescent="0.3">
      <c r="A1176" s="8">
        <v>1175</v>
      </c>
      <c r="B1176" s="8" t="str">
        <f>'Criaturas - Base de Dados'!B197</f>
        <v>Selva Esmeralda</v>
      </c>
      <c r="C1176" s="8" t="str">
        <f>'Criaturas - Base de Dados'!C197</f>
        <v>Veneno</v>
      </c>
      <c r="D1176" s="8" t="str">
        <f>'Criaturas - Base de Dados'!D197</f>
        <v>Víbora das Sombras Verdes</v>
      </c>
      <c r="E1176" s="8" t="str">
        <f>'Sistema de Raridade e Evolução'!B6</f>
        <v>Platina</v>
      </c>
      <c r="F1176" s="9">
        <f>ROUND(('Criaturas - Base de Dados'!H197*'Sistema de Raridade e Evolução'!E6)*1000,2)</f>
        <v>2700000</v>
      </c>
      <c r="G1176" s="8">
        <f>ROUND('Criaturas - Base de Dados'!I197*'Sistema de Raridade e Evolução'!E6,0)</f>
        <v>1600</v>
      </c>
      <c r="H1176" s="8">
        <f>ROUND('Criaturas - Base de Dados'!J197*'Sistema de Raridade e Evolução'!E6,0)</f>
        <v>1350</v>
      </c>
      <c r="I1176" s="8">
        <f>ROUND('Criaturas - Base de Dados'!K197*'Sistema de Raridade e Evolução'!E6,0)</f>
        <v>8650</v>
      </c>
      <c r="J1176" s="8">
        <f>'Sistema de Raridade e Evolução'!D6</f>
        <v>56</v>
      </c>
      <c r="K1176" s="8" t="s">
        <v>12</v>
      </c>
      <c r="L1176" s="9">
        <f t="shared" si="18"/>
        <v>6428571.4299999997</v>
      </c>
    </row>
    <row r="1177" spans="1:12" ht="14.25" hidden="1" customHeight="1" x14ac:dyDescent="0.3">
      <c r="A1177" s="8">
        <v>1176</v>
      </c>
      <c r="B1177" s="8" t="str">
        <f>'Criaturas - Base de Dados'!B197</f>
        <v>Selva Esmeralda</v>
      </c>
      <c r="C1177" s="8" t="str">
        <f>'Criaturas - Base de Dados'!C197</f>
        <v>Veneno</v>
      </c>
      <c r="D1177" s="8" t="str">
        <f>'Criaturas - Base de Dados'!D197</f>
        <v>Víbora das Sombras Verdes</v>
      </c>
      <c r="E1177" s="8" t="str">
        <f>'Sistema de Raridade e Evolução'!B7</f>
        <v>Lendário</v>
      </c>
      <c r="F1177" s="9">
        <f>ROUND(('Criaturas - Base de Dados'!H197*'Sistema de Raridade e Evolução'!E7)*1000,2)</f>
        <v>8100000</v>
      </c>
      <c r="G1177" s="8">
        <f>ROUND('Criaturas - Base de Dados'!I197*'Sistema de Raridade e Evolução'!E7,0)</f>
        <v>4800</v>
      </c>
      <c r="H1177" s="8">
        <f>ROUND('Criaturas - Base de Dados'!J197*'Sistema de Raridade e Evolução'!E7,0)</f>
        <v>4050</v>
      </c>
      <c r="I1177" s="8">
        <f>ROUND('Criaturas - Base de Dados'!K197*'Sistema de Raridade e Evolução'!E7,0)</f>
        <v>25950</v>
      </c>
      <c r="J1177" s="8">
        <f>'Sistema de Raridade e Evolução'!D7</f>
        <v>91</v>
      </c>
      <c r="K1177" s="8" t="s">
        <v>925</v>
      </c>
      <c r="L1177" s="9">
        <f t="shared" si="18"/>
        <v>19285714.289999999</v>
      </c>
    </row>
    <row r="1178" spans="1:12" ht="14.25" customHeight="1" x14ac:dyDescent="0.3">
      <c r="A1178" s="8">
        <v>1177</v>
      </c>
      <c r="B1178" s="8" t="str">
        <f>'Criaturas - Base de Dados'!B198</f>
        <v>Selva Esmeralda</v>
      </c>
      <c r="C1178" s="8" t="str">
        <f>'Criaturas - Base de Dados'!C198</f>
        <v>Veneno</v>
      </c>
      <c r="D1178" s="8" t="str">
        <f>'Criaturas - Base de Dados'!D198</f>
        <v>Camaleão Venenoso Ancestral</v>
      </c>
      <c r="E1178" s="8" t="str">
        <f>'Sistema de Raridade e Evolução'!B2</f>
        <v>Default</v>
      </c>
      <c r="F1178" s="9" t="e">
        <f>ROUND(('Criaturas - Base de Dados'!H198*'Sistema de Raridade e Evolução'!E2)*1000,2)</f>
        <v>#VALUE!</v>
      </c>
      <c r="G1178" s="8" t="e">
        <f>ROUND('Criaturas - Base de Dados'!I198*'Sistema de Raridade e Evolução'!E2,0)</f>
        <v>#VALUE!</v>
      </c>
      <c r="H1178" s="8" t="e">
        <f>ROUND('Criaturas - Base de Dados'!J198*'Sistema de Raridade e Evolução'!E2,0)</f>
        <v>#VALUE!</v>
      </c>
      <c r="I1178" s="8" t="e">
        <f>ROUND('Criaturas - Base de Dados'!K198*'Sistema de Raridade e Evolução'!E2,0)</f>
        <v>#VALUE!</v>
      </c>
      <c r="J1178" s="8">
        <f>'Sistema de Raridade e Evolução'!D2</f>
        <v>1</v>
      </c>
      <c r="K1178" s="8" t="s">
        <v>8</v>
      </c>
      <c r="L1178" s="9" t="e">
        <f t="shared" si="18"/>
        <v>#VALUE!</v>
      </c>
    </row>
    <row r="1179" spans="1:12" ht="14.25" hidden="1" customHeight="1" x14ac:dyDescent="0.3">
      <c r="A1179" s="8">
        <v>1178</v>
      </c>
      <c r="B1179" s="8" t="str">
        <f>'Criaturas - Base de Dados'!B198</f>
        <v>Selva Esmeralda</v>
      </c>
      <c r="C1179" s="8" t="str">
        <f>'Criaturas - Base de Dados'!C198</f>
        <v>Veneno</v>
      </c>
      <c r="D1179" s="8" t="str">
        <f>'Criaturas - Base de Dados'!D198</f>
        <v>Camaleão Venenoso Ancestral</v>
      </c>
      <c r="E1179" s="8" t="str">
        <f>'Sistema de Raridade e Evolução'!B3</f>
        <v>Bronze</v>
      </c>
      <c r="F1179" s="9">
        <f>ROUND(('Criaturas - Base de Dados'!H198*'Sistema de Raridade e Evolução'!E3)*1000,2)</f>
        <v>48000</v>
      </c>
      <c r="G1179" s="8">
        <f>ROUND('Criaturas - Base de Dados'!I198*'Sistema de Raridade e Evolução'!E3,0)</f>
        <v>29</v>
      </c>
      <c r="H1179" s="8">
        <f>ROUND('Criaturas - Base de Dados'!J198*'Sistema de Raridade e Evolução'!E3,0)</f>
        <v>24</v>
      </c>
      <c r="I1179" s="8">
        <f>ROUND('Criaturas - Base de Dados'!K198*'Sistema de Raridade e Evolução'!E3,0)</f>
        <v>154</v>
      </c>
      <c r="J1179" s="8">
        <f>'Sistema de Raridade e Evolução'!D3</f>
        <v>6</v>
      </c>
      <c r="K1179" s="8" t="s">
        <v>9</v>
      </c>
      <c r="L1179" s="9">
        <f t="shared" si="18"/>
        <v>114285.71</v>
      </c>
    </row>
    <row r="1180" spans="1:12" ht="14.25" hidden="1" customHeight="1" x14ac:dyDescent="0.3">
      <c r="A1180" s="8">
        <v>1179</v>
      </c>
      <c r="B1180" s="8" t="str">
        <f>'Criaturas - Base de Dados'!B198</f>
        <v>Selva Esmeralda</v>
      </c>
      <c r="C1180" s="8" t="str">
        <f>'Criaturas - Base de Dados'!C198</f>
        <v>Veneno</v>
      </c>
      <c r="D1180" s="8" t="str">
        <f>'Criaturas - Base de Dados'!D198</f>
        <v>Camaleão Venenoso Ancestral</v>
      </c>
      <c r="E1180" s="8" t="str">
        <f>'Sistema de Raridade e Evolução'!B4</f>
        <v>Prata</v>
      </c>
      <c r="F1180" s="9">
        <f>ROUND(('Criaturas - Base de Dados'!H198*'Sistema de Raridade e Evolução'!E4)*1000,2)</f>
        <v>288000</v>
      </c>
      <c r="G1180" s="8">
        <f>ROUND('Criaturas - Base de Dados'!I198*'Sistema de Raridade e Evolução'!E4,0)</f>
        <v>174</v>
      </c>
      <c r="H1180" s="8">
        <f>ROUND('Criaturas - Base de Dados'!J198*'Sistema de Raridade e Evolução'!E4,0)</f>
        <v>144</v>
      </c>
      <c r="I1180" s="8">
        <f>ROUND('Criaturas - Base de Dados'!K198*'Sistema de Raridade e Evolução'!E4,0)</f>
        <v>924</v>
      </c>
      <c r="J1180" s="8">
        <f>'Sistema de Raridade e Evolução'!D4</f>
        <v>16</v>
      </c>
      <c r="K1180" s="8" t="s">
        <v>10</v>
      </c>
      <c r="L1180" s="9">
        <f t="shared" si="18"/>
        <v>685714.29</v>
      </c>
    </row>
    <row r="1181" spans="1:12" ht="14.25" hidden="1" customHeight="1" x14ac:dyDescent="0.3">
      <c r="A1181" s="8">
        <v>1180</v>
      </c>
      <c r="B1181" s="8" t="str">
        <f>'Criaturas - Base de Dados'!B198</f>
        <v>Selva Esmeralda</v>
      </c>
      <c r="C1181" s="8" t="str">
        <f>'Criaturas - Base de Dados'!C198</f>
        <v>Veneno</v>
      </c>
      <c r="D1181" s="8" t="str">
        <f>'Criaturas - Base de Dados'!D198</f>
        <v>Camaleão Venenoso Ancestral</v>
      </c>
      <c r="E1181" s="8" t="str">
        <f>'Sistema de Raridade e Evolução'!B5</f>
        <v>Ouro</v>
      </c>
      <c r="F1181" s="9">
        <f>ROUND(('Criaturas - Base de Dados'!H198*'Sistema de Raridade e Evolução'!E5)*1000,2)</f>
        <v>864000</v>
      </c>
      <c r="G1181" s="8">
        <f>ROUND('Criaturas - Base de Dados'!I198*'Sistema de Raridade e Evolução'!E5,0)</f>
        <v>522</v>
      </c>
      <c r="H1181" s="8">
        <f>ROUND('Criaturas - Base de Dados'!J198*'Sistema de Raridade e Evolução'!E5,0)</f>
        <v>432</v>
      </c>
      <c r="I1181" s="8">
        <f>ROUND('Criaturas - Base de Dados'!K198*'Sistema de Raridade e Evolução'!E5,0)</f>
        <v>2772</v>
      </c>
      <c r="J1181" s="8">
        <f>'Sistema de Raridade e Evolução'!D5</f>
        <v>31</v>
      </c>
      <c r="K1181" s="8" t="s">
        <v>11</v>
      </c>
      <c r="L1181" s="9">
        <f t="shared" si="18"/>
        <v>2057142.86</v>
      </c>
    </row>
    <row r="1182" spans="1:12" ht="14.25" hidden="1" customHeight="1" x14ac:dyDescent="0.3">
      <c r="A1182" s="8">
        <v>1181</v>
      </c>
      <c r="B1182" s="8" t="str">
        <f>'Criaturas - Base de Dados'!B198</f>
        <v>Selva Esmeralda</v>
      </c>
      <c r="C1182" s="8" t="str">
        <f>'Criaturas - Base de Dados'!C198</f>
        <v>Veneno</v>
      </c>
      <c r="D1182" s="8" t="str">
        <f>'Criaturas - Base de Dados'!D198</f>
        <v>Camaleão Venenoso Ancestral</v>
      </c>
      <c r="E1182" s="8" t="str">
        <f>'Sistema de Raridade e Evolução'!B6</f>
        <v>Platina</v>
      </c>
      <c r="F1182" s="9">
        <f>ROUND(('Criaturas - Base de Dados'!H198*'Sistema de Raridade e Evolução'!E6)*1000,2)</f>
        <v>2400000</v>
      </c>
      <c r="G1182" s="8">
        <f>ROUND('Criaturas - Base de Dados'!I198*'Sistema de Raridade e Evolução'!E6,0)</f>
        <v>1450</v>
      </c>
      <c r="H1182" s="8">
        <f>ROUND('Criaturas - Base de Dados'!J198*'Sistema de Raridade e Evolução'!E6,0)</f>
        <v>1200</v>
      </c>
      <c r="I1182" s="8">
        <f>ROUND('Criaturas - Base de Dados'!K198*'Sistema de Raridade e Evolução'!E6,0)</f>
        <v>7700</v>
      </c>
      <c r="J1182" s="8">
        <f>'Sistema de Raridade e Evolução'!D6</f>
        <v>56</v>
      </c>
      <c r="K1182" s="8" t="s">
        <v>12</v>
      </c>
      <c r="L1182" s="9">
        <f t="shared" si="18"/>
        <v>5714285.71</v>
      </c>
    </row>
    <row r="1183" spans="1:12" ht="14.25" hidden="1" customHeight="1" x14ac:dyDescent="0.3">
      <c r="A1183" s="8">
        <v>1182</v>
      </c>
      <c r="B1183" s="8" t="str">
        <f>'Criaturas - Base de Dados'!B198</f>
        <v>Selva Esmeralda</v>
      </c>
      <c r="C1183" s="8" t="str">
        <f>'Criaturas - Base de Dados'!C198</f>
        <v>Veneno</v>
      </c>
      <c r="D1183" s="8" t="str">
        <f>'Criaturas - Base de Dados'!D198</f>
        <v>Camaleão Venenoso Ancestral</v>
      </c>
      <c r="E1183" s="8" t="str">
        <f>'Sistema de Raridade e Evolução'!B7</f>
        <v>Lendário</v>
      </c>
      <c r="F1183" s="9">
        <f>ROUND(('Criaturas - Base de Dados'!H198*'Sistema de Raridade e Evolução'!E7)*1000,2)</f>
        <v>7200000</v>
      </c>
      <c r="G1183" s="8">
        <f>ROUND('Criaturas - Base de Dados'!I198*'Sistema de Raridade e Evolução'!E7,0)</f>
        <v>4350</v>
      </c>
      <c r="H1183" s="8">
        <f>ROUND('Criaturas - Base de Dados'!J198*'Sistema de Raridade e Evolução'!E7,0)</f>
        <v>3600</v>
      </c>
      <c r="I1183" s="8">
        <f>ROUND('Criaturas - Base de Dados'!K198*'Sistema de Raridade e Evolução'!E7,0)</f>
        <v>23100</v>
      </c>
      <c r="J1183" s="8">
        <f>'Sistema de Raridade e Evolução'!D7</f>
        <v>91</v>
      </c>
      <c r="K1183" s="8" t="s">
        <v>925</v>
      </c>
      <c r="L1183" s="9">
        <f t="shared" si="18"/>
        <v>17142857.140000001</v>
      </c>
    </row>
    <row r="1184" spans="1:12" ht="14.25" customHeight="1" x14ac:dyDescent="0.3">
      <c r="A1184" s="8">
        <v>1183</v>
      </c>
      <c r="B1184" s="8" t="str">
        <f>'Criaturas - Base de Dados'!B199</f>
        <v>Selva Esmeralda</v>
      </c>
      <c r="C1184" s="8" t="str">
        <f>'Criaturas - Base de Dados'!C199</f>
        <v>Veneno</v>
      </c>
      <c r="D1184" s="8" t="str">
        <f>'Criaturas - Base de Dados'!D199</f>
        <v>Tarântula Real</v>
      </c>
      <c r="E1184" s="8" t="str">
        <f>'Sistema de Raridade e Evolução'!B2</f>
        <v>Default</v>
      </c>
      <c r="F1184" s="9" t="e">
        <f>ROUND(('Criaturas - Base de Dados'!H199*'Sistema de Raridade e Evolução'!E2)*1000,2)</f>
        <v>#VALUE!</v>
      </c>
      <c r="G1184" s="8" t="e">
        <f>ROUND('Criaturas - Base de Dados'!I199*'Sistema de Raridade e Evolução'!E2,0)</f>
        <v>#VALUE!</v>
      </c>
      <c r="H1184" s="8" t="e">
        <f>ROUND('Criaturas - Base de Dados'!J199*'Sistema de Raridade e Evolução'!E2,0)</f>
        <v>#VALUE!</v>
      </c>
      <c r="I1184" s="8" t="e">
        <f>ROUND('Criaturas - Base de Dados'!K199*'Sistema de Raridade e Evolução'!E2,0)</f>
        <v>#VALUE!</v>
      </c>
      <c r="J1184" s="8">
        <f>'Sistema de Raridade e Evolução'!D2</f>
        <v>1</v>
      </c>
      <c r="K1184" s="8" t="s">
        <v>8</v>
      </c>
      <c r="L1184" s="9" t="e">
        <f t="shared" si="18"/>
        <v>#VALUE!</v>
      </c>
    </row>
    <row r="1185" spans="1:12" ht="14.25" hidden="1" customHeight="1" x14ac:dyDescent="0.3">
      <c r="A1185" s="8">
        <v>1184</v>
      </c>
      <c r="B1185" s="8" t="str">
        <f>'Criaturas - Base de Dados'!B199</f>
        <v>Selva Esmeralda</v>
      </c>
      <c r="C1185" s="8" t="str">
        <f>'Criaturas - Base de Dados'!C199</f>
        <v>Veneno</v>
      </c>
      <c r="D1185" s="8" t="str">
        <f>'Criaturas - Base de Dados'!D199</f>
        <v>Tarântula Real</v>
      </c>
      <c r="E1185" s="8" t="str">
        <f>'Sistema de Raridade e Evolução'!B3</f>
        <v>Bronze</v>
      </c>
      <c r="F1185" s="9">
        <f>ROUND(('Criaturas - Base de Dados'!H199*'Sistema de Raridade e Evolução'!E3)*1000,2)</f>
        <v>50000</v>
      </c>
      <c r="G1185" s="8">
        <f>ROUND('Criaturas - Base de Dados'!I199*'Sistema de Raridade e Evolução'!E3,0)</f>
        <v>30</v>
      </c>
      <c r="H1185" s="8">
        <f>ROUND('Criaturas - Base de Dados'!J199*'Sistema de Raridade e Evolução'!E3,0)</f>
        <v>25</v>
      </c>
      <c r="I1185" s="8">
        <f>ROUND('Criaturas - Base de Dados'!K199*'Sistema de Raridade e Evolução'!E3,0)</f>
        <v>160</v>
      </c>
      <c r="J1185" s="8">
        <f>'Sistema de Raridade e Evolução'!D3</f>
        <v>6</v>
      </c>
      <c r="K1185" s="8" t="s">
        <v>9</v>
      </c>
      <c r="L1185" s="9">
        <f t="shared" si="18"/>
        <v>119047.62</v>
      </c>
    </row>
    <row r="1186" spans="1:12" ht="14.25" hidden="1" customHeight="1" x14ac:dyDescent="0.3">
      <c r="A1186" s="8">
        <v>1185</v>
      </c>
      <c r="B1186" s="8" t="str">
        <f>'Criaturas - Base de Dados'!B199</f>
        <v>Selva Esmeralda</v>
      </c>
      <c r="C1186" s="8" t="str">
        <f>'Criaturas - Base de Dados'!C199</f>
        <v>Veneno</v>
      </c>
      <c r="D1186" s="8" t="str">
        <f>'Criaturas - Base de Dados'!D199</f>
        <v>Tarântula Real</v>
      </c>
      <c r="E1186" s="8" t="str">
        <f>'Sistema de Raridade e Evolução'!B4</f>
        <v>Prata</v>
      </c>
      <c r="F1186" s="9">
        <f>ROUND(('Criaturas - Base de Dados'!H199*'Sistema de Raridade e Evolução'!E4)*1000,2)</f>
        <v>300000</v>
      </c>
      <c r="G1186" s="8">
        <f>ROUND('Criaturas - Base de Dados'!I199*'Sistema de Raridade e Evolução'!E4,0)</f>
        <v>180</v>
      </c>
      <c r="H1186" s="8">
        <f>ROUND('Criaturas - Base de Dados'!J199*'Sistema de Raridade e Evolução'!E4,0)</f>
        <v>150</v>
      </c>
      <c r="I1186" s="8">
        <f>ROUND('Criaturas - Base de Dados'!K199*'Sistema de Raridade e Evolução'!E4,0)</f>
        <v>960</v>
      </c>
      <c r="J1186" s="8">
        <f>'Sistema de Raridade e Evolução'!D4</f>
        <v>16</v>
      </c>
      <c r="K1186" s="8" t="s">
        <v>10</v>
      </c>
      <c r="L1186" s="9">
        <f t="shared" si="18"/>
        <v>714285.71</v>
      </c>
    </row>
    <row r="1187" spans="1:12" ht="14.25" hidden="1" customHeight="1" x14ac:dyDescent="0.3">
      <c r="A1187" s="8">
        <v>1186</v>
      </c>
      <c r="B1187" s="8" t="str">
        <f>'Criaturas - Base de Dados'!B199</f>
        <v>Selva Esmeralda</v>
      </c>
      <c r="C1187" s="8" t="str">
        <f>'Criaturas - Base de Dados'!C199</f>
        <v>Veneno</v>
      </c>
      <c r="D1187" s="8" t="str">
        <f>'Criaturas - Base de Dados'!D199</f>
        <v>Tarântula Real</v>
      </c>
      <c r="E1187" s="8" t="str">
        <f>'Sistema de Raridade e Evolução'!B5</f>
        <v>Ouro</v>
      </c>
      <c r="F1187" s="9">
        <f>ROUND(('Criaturas - Base de Dados'!H199*'Sistema de Raridade e Evolução'!E5)*1000,2)</f>
        <v>900000</v>
      </c>
      <c r="G1187" s="8">
        <f>ROUND('Criaturas - Base de Dados'!I199*'Sistema de Raridade e Evolução'!E5,0)</f>
        <v>540</v>
      </c>
      <c r="H1187" s="8">
        <f>ROUND('Criaturas - Base de Dados'!J199*'Sistema de Raridade e Evolução'!E5,0)</f>
        <v>450</v>
      </c>
      <c r="I1187" s="8">
        <f>ROUND('Criaturas - Base de Dados'!K199*'Sistema de Raridade e Evolução'!E5,0)</f>
        <v>2880</v>
      </c>
      <c r="J1187" s="8">
        <f>'Sistema de Raridade e Evolução'!D5</f>
        <v>31</v>
      </c>
      <c r="K1187" s="8" t="s">
        <v>11</v>
      </c>
      <c r="L1187" s="9">
        <f t="shared" si="18"/>
        <v>2142857.14</v>
      </c>
    </row>
    <row r="1188" spans="1:12" ht="14.25" hidden="1" customHeight="1" x14ac:dyDescent="0.3">
      <c r="A1188" s="8">
        <v>1187</v>
      </c>
      <c r="B1188" s="8" t="str">
        <f>'Criaturas - Base de Dados'!B199</f>
        <v>Selva Esmeralda</v>
      </c>
      <c r="C1188" s="8" t="str">
        <f>'Criaturas - Base de Dados'!C199</f>
        <v>Veneno</v>
      </c>
      <c r="D1188" s="8" t="str">
        <f>'Criaturas - Base de Dados'!D199</f>
        <v>Tarântula Real</v>
      </c>
      <c r="E1188" s="8" t="str">
        <f>'Sistema de Raridade e Evolução'!B6</f>
        <v>Platina</v>
      </c>
      <c r="F1188" s="9">
        <f>ROUND(('Criaturas - Base de Dados'!H199*'Sistema de Raridade e Evolução'!E6)*1000,2)</f>
        <v>2500000</v>
      </c>
      <c r="G1188" s="8">
        <f>ROUND('Criaturas - Base de Dados'!I199*'Sistema de Raridade e Evolução'!E6,0)</f>
        <v>1500</v>
      </c>
      <c r="H1188" s="8">
        <f>ROUND('Criaturas - Base de Dados'!J199*'Sistema de Raridade e Evolução'!E6,0)</f>
        <v>1250</v>
      </c>
      <c r="I1188" s="8">
        <f>ROUND('Criaturas - Base de Dados'!K199*'Sistema de Raridade e Evolução'!E6,0)</f>
        <v>8000</v>
      </c>
      <c r="J1188" s="8">
        <f>'Sistema de Raridade e Evolução'!D6</f>
        <v>56</v>
      </c>
      <c r="K1188" s="8" t="s">
        <v>12</v>
      </c>
      <c r="L1188" s="9">
        <f t="shared" si="18"/>
        <v>5952380.9500000002</v>
      </c>
    </row>
    <row r="1189" spans="1:12" ht="14.25" hidden="1" customHeight="1" x14ac:dyDescent="0.3">
      <c r="A1189" s="8">
        <v>1188</v>
      </c>
      <c r="B1189" s="8" t="str">
        <f>'Criaturas - Base de Dados'!B199</f>
        <v>Selva Esmeralda</v>
      </c>
      <c r="C1189" s="8" t="str">
        <f>'Criaturas - Base de Dados'!C199</f>
        <v>Veneno</v>
      </c>
      <c r="D1189" s="8" t="str">
        <f>'Criaturas - Base de Dados'!D199</f>
        <v>Tarântula Real</v>
      </c>
      <c r="E1189" s="8" t="str">
        <f>'Sistema de Raridade e Evolução'!B7</f>
        <v>Lendário</v>
      </c>
      <c r="F1189" s="9">
        <f>ROUND(('Criaturas - Base de Dados'!H199*'Sistema de Raridade e Evolução'!E7)*1000,2)</f>
        <v>7500000</v>
      </c>
      <c r="G1189" s="8">
        <f>ROUND('Criaturas - Base de Dados'!I199*'Sistema de Raridade e Evolução'!E7,0)</f>
        <v>4500</v>
      </c>
      <c r="H1189" s="8">
        <f>ROUND('Criaturas - Base de Dados'!J199*'Sistema de Raridade e Evolução'!E7,0)</f>
        <v>3750</v>
      </c>
      <c r="I1189" s="8">
        <f>ROUND('Criaturas - Base de Dados'!K199*'Sistema de Raridade e Evolução'!E7,0)</f>
        <v>24000</v>
      </c>
      <c r="J1189" s="8">
        <f>'Sistema de Raridade e Evolução'!D7</f>
        <v>91</v>
      </c>
      <c r="K1189" s="8" t="s">
        <v>925</v>
      </c>
      <c r="L1189" s="9">
        <f t="shared" si="18"/>
        <v>17857142.859999999</v>
      </c>
    </row>
    <row r="1190" spans="1:12" ht="14.25" customHeight="1" x14ac:dyDescent="0.3">
      <c r="A1190" s="8">
        <v>1189</v>
      </c>
      <c r="B1190" s="8" t="str">
        <f>'Criaturas - Base de Dados'!B200</f>
        <v>Selva Esmeralda</v>
      </c>
      <c r="C1190" s="8" t="str">
        <f>'Criaturas - Base de Dados'!C200</f>
        <v>Veneno</v>
      </c>
      <c r="D1190" s="8" t="str">
        <f>'Criaturas - Base de Dados'!D200</f>
        <v>Anfisbena de Duas Cabeças</v>
      </c>
      <c r="E1190" s="8" t="str">
        <f>'Sistema de Raridade e Evolução'!B2</f>
        <v>Default</v>
      </c>
      <c r="F1190" s="9" t="e">
        <f>ROUND(('Criaturas - Base de Dados'!H200*'Sistema de Raridade e Evolução'!E2)*1000,2)</f>
        <v>#VALUE!</v>
      </c>
      <c r="G1190" s="8" t="e">
        <f>ROUND('Criaturas - Base de Dados'!I200*'Sistema de Raridade e Evolução'!E2,0)</f>
        <v>#VALUE!</v>
      </c>
      <c r="H1190" s="8" t="e">
        <f>ROUND('Criaturas - Base de Dados'!J200*'Sistema de Raridade e Evolução'!E2,0)</f>
        <v>#VALUE!</v>
      </c>
      <c r="I1190" s="8" t="e">
        <f>ROUND('Criaturas - Base de Dados'!K200*'Sistema de Raridade e Evolução'!E2,0)</f>
        <v>#VALUE!</v>
      </c>
      <c r="J1190" s="8">
        <f>'Sistema de Raridade e Evolução'!D2</f>
        <v>1</v>
      </c>
      <c r="K1190" s="8" t="s">
        <v>8</v>
      </c>
      <c r="L1190" s="9" t="e">
        <f t="shared" si="18"/>
        <v>#VALUE!</v>
      </c>
    </row>
    <row r="1191" spans="1:12" ht="14.25" hidden="1" customHeight="1" x14ac:dyDescent="0.3">
      <c r="A1191" s="8">
        <v>1190</v>
      </c>
      <c r="B1191" s="8" t="str">
        <f>'Criaturas - Base de Dados'!B200</f>
        <v>Selva Esmeralda</v>
      </c>
      <c r="C1191" s="8" t="str">
        <f>'Criaturas - Base de Dados'!C200</f>
        <v>Veneno</v>
      </c>
      <c r="D1191" s="8" t="str">
        <f>'Criaturas - Base de Dados'!D200</f>
        <v>Anfisbena de Duas Cabeças</v>
      </c>
      <c r="E1191" s="8" t="str">
        <f>'Sistema de Raridade e Evolução'!B3</f>
        <v>Bronze</v>
      </c>
      <c r="F1191" s="9">
        <f>ROUND(('Criaturas - Base de Dados'!H200*'Sistema de Raridade e Evolução'!E3)*1000,2)</f>
        <v>69000</v>
      </c>
      <c r="G1191" s="8">
        <f>ROUND('Criaturas - Base de Dados'!I200*'Sistema de Raridade e Evolução'!E3,0)</f>
        <v>41</v>
      </c>
      <c r="H1191" s="8">
        <f>ROUND('Criaturas - Base de Dados'!J200*'Sistema de Raridade e Evolução'!E3,0)</f>
        <v>34</v>
      </c>
      <c r="I1191" s="8">
        <f>ROUND('Criaturas - Base de Dados'!K200*'Sistema de Raridade e Evolução'!E3,0)</f>
        <v>221</v>
      </c>
      <c r="J1191" s="8">
        <f>'Sistema de Raridade e Evolução'!D3</f>
        <v>6</v>
      </c>
      <c r="K1191" s="8" t="s">
        <v>9</v>
      </c>
      <c r="L1191" s="9">
        <f t="shared" si="18"/>
        <v>164285.71</v>
      </c>
    </row>
    <row r="1192" spans="1:12" ht="14.25" hidden="1" customHeight="1" x14ac:dyDescent="0.3">
      <c r="A1192" s="8">
        <v>1191</v>
      </c>
      <c r="B1192" s="8" t="str">
        <f>'Criaturas - Base de Dados'!B200</f>
        <v>Selva Esmeralda</v>
      </c>
      <c r="C1192" s="8" t="str">
        <f>'Criaturas - Base de Dados'!C200</f>
        <v>Veneno</v>
      </c>
      <c r="D1192" s="8" t="str">
        <f>'Criaturas - Base de Dados'!D200</f>
        <v>Anfisbena de Duas Cabeças</v>
      </c>
      <c r="E1192" s="8" t="str">
        <f>'Sistema de Raridade e Evolução'!B4</f>
        <v>Prata</v>
      </c>
      <c r="F1192" s="9">
        <f>ROUND(('Criaturas - Base de Dados'!H200*'Sistema de Raridade e Evolução'!E4)*1000,2)</f>
        <v>414000</v>
      </c>
      <c r="G1192" s="8">
        <f>ROUND('Criaturas - Base de Dados'!I200*'Sistema de Raridade e Evolução'!E4,0)</f>
        <v>246</v>
      </c>
      <c r="H1192" s="8">
        <f>ROUND('Criaturas - Base de Dados'!J200*'Sistema de Raridade e Evolução'!E4,0)</f>
        <v>204</v>
      </c>
      <c r="I1192" s="8">
        <f>ROUND('Criaturas - Base de Dados'!K200*'Sistema de Raridade e Evolução'!E4,0)</f>
        <v>1326</v>
      </c>
      <c r="J1192" s="8">
        <f>'Sistema de Raridade e Evolução'!D4</f>
        <v>16</v>
      </c>
      <c r="K1192" s="8" t="s">
        <v>10</v>
      </c>
      <c r="L1192" s="9">
        <f t="shared" si="18"/>
        <v>985714.29</v>
      </c>
    </row>
    <row r="1193" spans="1:12" ht="14.25" hidden="1" customHeight="1" x14ac:dyDescent="0.3">
      <c r="A1193" s="8">
        <v>1192</v>
      </c>
      <c r="B1193" s="8" t="str">
        <f>'Criaturas - Base de Dados'!B200</f>
        <v>Selva Esmeralda</v>
      </c>
      <c r="C1193" s="8" t="str">
        <f>'Criaturas - Base de Dados'!C200</f>
        <v>Veneno</v>
      </c>
      <c r="D1193" s="8" t="str">
        <f>'Criaturas - Base de Dados'!D200</f>
        <v>Anfisbena de Duas Cabeças</v>
      </c>
      <c r="E1193" s="8" t="str">
        <f>'Sistema de Raridade e Evolução'!B5</f>
        <v>Ouro</v>
      </c>
      <c r="F1193" s="9">
        <f>ROUND(('Criaturas - Base de Dados'!H200*'Sistema de Raridade e Evolução'!E5)*1000,2)</f>
        <v>1242000</v>
      </c>
      <c r="G1193" s="8">
        <f>ROUND('Criaturas - Base de Dados'!I200*'Sistema de Raridade e Evolução'!E5,0)</f>
        <v>738</v>
      </c>
      <c r="H1193" s="8">
        <f>ROUND('Criaturas - Base de Dados'!J200*'Sistema de Raridade e Evolução'!E5,0)</f>
        <v>612</v>
      </c>
      <c r="I1193" s="8">
        <f>ROUND('Criaturas - Base de Dados'!K200*'Sistema de Raridade e Evolução'!E5,0)</f>
        <v>3978</v>
      </c>
      <c r="J1193" s="8">
        <f>'Sistema de Raridade e Evolução'!D5</f>
        <v>31</v>
      </c>
      <c r="K1193" s="8" t="s">
        <v>11</v>
      </c>
      <c r="L1193" s="9">
        <f t="shared" si="18"/>
        <v>2957142.86</v>
      </c>
    </row>
    <row r="1194" spans="1:12" ht="14.25" hidden="1" customHeight="1" x14ac:dyDescent="0.3">
      <c r="A1194" s="8">
        <v>1193</v>
      </c>
      <c r="B1194" s="8" t="str">
        <f>'Criaturas - Base de Dados'!B200</f>
        <v>Selva Esmeralda</v>
      </c>
      <c r="C1194" s="8" t="str">
        <f>'Criaturas - Base de Dados'!C200</f>
        <v>Veneno</v>
      </c>
      <c r="D1194" s="8" t="str">
        <f>'Criaturas - Base de Dados'!D200</f>
        <v>Anfisbena de Duas Cabeças</v>
      </c>
      <c r="E1194" s="8" t="str">
        <f>'Sistema de Raridade e Evolução'!B6</f>
        <v>Platina</v>
      </c>
      <c r="F1194" s="9">
        <f>ROUND(('Criaturas - Base de Dados'!H200*'Sistema de Raridade e Evolução'!E6)*1000,2)</f>
        <v>3450000</v>
      </c>
      <c r="G1194" s="8">
        <f>ROUND('Criaturas - Base de Dados'!I200*'Sistema de Raridade e Evolução'!E6,0)</f>
        <v>2050</v>
      </c>
      <c r="H1194" s="8">
        <f>ROUND('Criaturas - Base de Dados'!J200*'Sistema de Raridade e Evolução'!E6,0)</f>
        <v>1700</v>
      </c>
      <c r="I1194" s="8">
        <f>ROUND('Criaturas - Base de Dados'!K200*'Sistema de Raridade e Evolução'!E6,0)</f>
        <v>11050</v>
      </c>
      <c r="J1194" s="8">
        <f>'Sistema de Raridade e Evolução'!D6</f>
        <v>56</v>
      </c>
      <c r="K1194" s="8" t="s">
        <v>12</v>
      </c>
      <c r="L1194" s="9">
        <f t="shared" si="18"/>
        <v>8214285.71</v>
      </c>
    </row>
    <row r="1195" spans="1:12" ht="14.25" hidden="1" customHeight="1" x14ac:dyDescent="0.3">
      <c r="A1195" s="8">
        <v>1194</v>
      </c>
      <c r="B1195" s="8" t="str">
        <f>'Criaturas - Base de Dados'!B200</f>
        <v>Selva Esmeralda</v>
      </c>
      <c r="C1195" s="8" t="str">
        <f>'Criaturas - Base de Dados'!C200</f>
        <v>Veneno</v>
      </c>
      <c r="D1195" s="8" t="str">
        <f>'Criaturas - Base de Dados'!D200</f>
        <v>Anfisbena de Duas Cabeças</v>
      </c>
      <c r="E1195" s="8" t="str">
        <f>'Sistema de Raridade e Evolução'!B7</f>
        <v>Lendário</v>
      </c>
      <c r="F1195" s="9">
        <f>ROUND(('Criaturas - Base de Dados'!H200*'Sistema de Raridade e Evolução'!E7)*1000,2)</f>
        <v>10350000</v>
      </c>
      <c r="G1195" s="8">
        <f>ROUND('Criaturas - Base de Dados'!I200*'Sistema de Raridade e Evolução'!E7,0)</f>
        <v>6150</v>
      </c>
      <c r="H1195" s="8">
        <f>ROUND('Criaturas - Base de Dados'!J200*'Sistema de Raridade e Evolução'!E7,0)</f>
        <v>5100</v>
      </c>
      <c r="I1195" s="8">
        <f>ROUND('Criaturas - Base de Dados'!K200*'Sistema de Raridade e Evolução'!E7,0)</f>
        <v>33150</v>
      </c>
      <c r="J1195" s="8">
        <f>'Sistema de Raridade e Evolução'!D7</f>
        <v>91</v>
      </c>
      <c r="K1195" s="8" t="s">
        <v>925</v>
      </c>
      <c r="L1195" s="9">
        <f t="shared" si="18"/>
        <v>24642857.140000001</v>
      </c>
    </row>
    <row r="1196" spans="1:12" ht="14.25" customHeight="1" x14ac:dyDescent="0.3">
      <c r="A1196" s="8">
        <v>1195</v>
      </c>
      <c r="B1196" s="8" t="str">
        <f>'Criaturas - Base de Dados'!B201</f>
        <v>Selva Esmeralda</v>
      </c>
      <c r="C1196" s="8" t="str">
        <f>'Criaturas - Base de Dados'!C201</f>
        <v>Veneno</v>
      </c>
      <c r="D1196" s="8" t="str">
        <f>'Criaturas - Base de Dados'!D201</f>
        <v>Lagarto-Praga</v>
      </c>
      <c r="E1196" s="8" t="str">
        <f>'Sistema de Raridade e Evolução'!B2</f>
        <v>Default</v>
      </c>
      <c r="F1196" s="9" t="e">
        <f>ROUND(('Criaturas - Base de Dados'!H201*'Sistema de Raridade e Evolução'!E2)*1000,2)</f>
        <v>#VALUE!</v>
      </c>
      <c r="G1196" s="8" t="e">
        <f>ROUND('Criaturas - Base de Dados'!I201*'Sistema de Raridade e Evolução'!E2,0)</f>
        <v>#VALUE!</v>
      </c>
      <c r="H1196" s="8" t="e">
        <f>ROUND('Criaturas - Base de Dados'!J201*'Sistema de Raridade e Evolução'!E2,0)</f>
        <v>#VALUE!</v>
      </c>
      <c r="I1196" s="8" t="e">
        <f>ROUND('Criaturas - Base de Dados'!K201*'Sistema de Raridade e Evolução'!E2,0)</f>
        <v>#VALUE!</v>
      </c>
      <c r="J1196" s="8">
        <f>'Sistema de Raridade e Evolução'!D2</f>
        <v>1</v>
      </c>
      <c r="K1196" s="8" t="s">
        <v>8</v>
      </c>
      <c r="L1196" s="9" t="e">
        <f t="shared" si="18"/>
        <v>#VALUE!</v>
      </c>
    </row>
    <row r="1197" spans="1:12" ht="14.25" hidden="1" customHeight="1" x14ac:dyDescent="0.3">
      <c r="A1197" s="8">
        <v>1196</v>
      </c>
      <c r="B1197" s="8" t="str">
        <f>'Criaturas - Base de Dados'!B201</f>
        <v>Selva Esmeralda</v>
      </c>
      <c r="C1197" s="8" t="str">
        <f>'Criaturas - Base de Dados'!C201</f>
        <v>Veneno</v>
      </c>
      <c r="D1197" s="8" t="str">
        <f>'Criaturas - Base de Dados'!D201</f>
        <v>Lagarto-Praga</v>
      </c>
      <c r="E1197" s="8" t="str">
        <f>'Sistema de Raridade e Evolução'!B3</f>
        <v>Bronze</v>
      </c>
      <c r="F1197" s="9">
        <f>ROUND(('Criaturas - Base de Dados'!H201*'Sistema de Raridade e Evolução'!E3)*1000,2)</f>
        <v>71000</v>
      </c>
      <c r="G1197" s="8">
        <f>ROUND('Criaturas - Base de Dados'!I201*'Sistema de Raridade e Evolução'!E3,0)</f>
        <v>43</v>
      </c>
      <c r="H1197" s="8">
        <f>ROUND('Criaturas - Base de Dados'!J201*'Sistema de Raridade e Evolução'!E3,0)</f>
        <v>36</v>
      </c>
      <c r="I1197" s="8">
        <f>ROUND('Criaturas - Base de Dados'!K201*'Sistema de Raridade e Evolução'!E3,0)</f>
        <v>227</v>
      </c>
      <c r="J1197" s="8">
        <f>'Sistema de Raridade e Evolução'!D3</f>
        <v>6</v>
      </c>
      <c r="K1197" s="8" t="s">
        <v>9</v>
      </c>
      <c r="L1197" s="9">
        <f t="shared" si="18"/>
        <v>169047.62</v>
      </c>
    </row>
    <row r="1198" spans="1:12" ht="14.25" hidden="1" customHeight="1" x14ac:dyDescent="0.3">
      <c r="A1198" s="8">
        <v>1197</v>
      </c>
      <c r="B1198" s="8" t="str">
        <f>'Criaturas - Base de Dados'!B201</f>
        <v>Selva Esmeralda</v>
      </c>
      <c r="C1198" s="8" t="str">
        <f>'Criaturas - Base de Dados'!C201</f>
        <v>Veneno</v>
      </c>
      <c r="D1198" s="8" t="str">
        <f>'Criaturas - Base de Dados'!D201</f>
        <v>Lagarto-Praga</v>
      </c>
      <c r="E1198" s="8" t="str">
        <f>'Sistema de Raridade e Evolução'!B4</f>
        <v>Prata</v>
      </c>
      <c r="F1198" s="9">
        <f>ROUND(('Criaturas - Base de Dados'!H201*'Sistema de Raridade e Evolução'!E4)*1000,2)</f>
        <v>426000</v>
      </c>
      <c r="G1198" s="8">
        <f>ROUND('Criaturas - Base de Dados'!I201*'Sistema de Raridade e Evolução'!E4,0)</f>
        <v>258</v>
      </c>
      <c r="H1198" s="8">
        <f>ROUND('Criaturas - Base de Dados'!J201*'Sistema de Raridade e Evolução'!E4,0)</f>
        <v>216</v>
      </c>
      <c r="I1198" s="8">
        <f>ROUND('Criaturas - Base de Dados'!K201*'Sistema de Raridade e Evolução'!E4,0)</f>
        <v>1362</v>
      </c>
      <c r="J1198" s="8">
        <f>'Sistema de Raridade e Evolução'!D4</f>
        <v>16</v>
      </c>
      <c r="K1198" s="8" t="s">
        <v>10</v>
      </c>
      <c r="L1198" s="9">
        <f t="shared" si="18"/>
        <v>1014285.71</v>
      </c>
    </row>
    <row r="1199" spans="1:12" ht="14.25" hidden="1" customHeight="1" x14ac:dyDescent="0.3">
      <c r="A1199" s="8">
        <v>1198</v>
      </c>
      <c r="B1199" s="8" t="str">
        <f>'Criaturas - Base de Dados'!B201</f>
        <v>Selva Esmeralda</v>
      </c>
      <c r="C1199" s="8" t="str">
        <f>'Criaturas - Base de Dados'!C201</f>
        <v>Veneno</v>
      </c>
      <c r="D1199" s="8" t="str">
        <f>'Criaturas - Base de Dados'!D201</f>
        <v>Lagarto-Praga</v>
      </c>
      <c r="E1199" s="8" t="str">
        <f>'Sistema de Raridade e Evolução'!B5</f>
        <v>Ouro</v>
      </c>
      <c r="F1199" s="9">
        <f>ROUND(('Criaturas - Base de Dados'!H201*'Sistema de Raridade e Evolução'!E5)*1000,2)</f>
        <v>1278000</v>
      </c>
      <c r="G1199" s="8">
        <f>ROUND('Criaturas - Base de Dados'!I201*'Sistema de Raridade e Evolução'!E5,0)</f>
        <v>774</v>
      </c>
      <c r="H1199" s="8">
        <f>ROUND('Criaturas - Base de Dados'!J201*'Sistema de Raridade e Evolução'!E5,0)</f>
        <v>648</v>
      </c>
      <c r="I1199" s="8">
        <f>ROUND('Criaturas - Base de Dados'!K201*'Sistema de Raridade e Evolução'!E5,0)</f>
        <v>4086</v>
      </c>
      <c r="J1199" s="8">
        <f>'Sistema de Raridade e Evolução'!D5</f>
        <v>31</v>
      </c>
      <c r="K1199" s="8" t="s">
        <v>11</v>
      </c>
      <c r="L1199" s="9">
        <f t="shared" si="18"/>
        <v>3042857.14</v>
      </c>
    </row>
    <row r="1200" spans="1:12" ht="14.25" hidden="1" customHeight="1" x14ac:dyDescent="0.3">
      <c r="A1200" s="8">
        <v>1199</v>
      </c>
      <c r="B1200" s="8" t="str">
        <f>'Criaturas - Base de Dados'!B201</f>
        <v>Selva Esmeralda</v>
      </c>
      <c r="C1200" s="8" t="str">
        <f>'Criaturas - Base de Dados'!C201</f>
        <v>Veneno</v>
      </c>
      <c r="D1200" s="8" t="str">
        <f>'Criaturas - Base de Dados'!D201</f>
        <v>Lagarto-Praga</v>
      </c>
      <c r="E1200" s="8" t="str">
        <f>'Sistema de Raridade e Evolução'!B6</f>
        <v>Platina</v>
      </c>
      <c r="F1200" s="9">
        <f>ROUND(('Criaturas - Base de Dados'!H201*'Sistema de Raridade e Evolução'!E6)*1000,2)</f>
        <v>3550000</v>
      </c>
      <c r="G1200" s="8">
        <f>ROUND('Criaturas - Base de Dados'!I201*'Sistema de Raridade e Evolução'!E6,0)</f>
        <v>2150</v>
      </c>
      <c r="H1200" s="8">
        <f>ROUND('Criaturas - Base de Dados'!J201*'Sistema de Raridade e Evolução'!E6,0)</f>
        <v>1800</v>
      </c>
      <c r="I1200" s="8">
        <f>ROUND('Criaturas - Base de Dados'!K201*'Sistema de Raridade e Evolução'!E6,0)</f>
        <v>11350</v>
      </c>
      <c r="J1200" s="8">
        <f>'Sistema de Raridade e Evolução'!D6</f>
        <v>56</v>
      </c>
      <c r="K1200" s="8" t="s">
        <v>12</v>
      </c>
      <c r="L1200" s="9">
        <f t="shared" si="18"/>
        <v>8452380.9499999993</v>
      </c>
    </row>
    <row r="1201" spans="1:12" ht="14.25" hidden="1" customHeight="1" x14ac:dyDescent="0.3">
      <c r="A1201" s="8">
        <v>1200</v>
      </c>
      <c r="B1201" s="8" t="str">
        <f>'Criaturas - Base de Dados'!B201</f>
        <v>Selva Esmeralda</v>
      </c>
      <c r="C1201" s="8" t="str">
        <f>'Criaturas - Base de Dados'!C201</f>
        <v>Veneno</v>
      </c>
      <c r="D1201" s="8" t="str">
        <f>'Criaturas - Base de Dados'!D201</f>
        <v>Lagarto-Praga</v>
      </c>
      <c r="E1201" s="8" t="str">
        <f>'Sistema de Raridade e Evolução'!B7</f>
        <v>Lendário</v>
      </c>
      <c r="F1201" s="9">
        <f>ROUND(('Criaturas - Base de Dados'!H201*'Sistema de Raridade e Evolução'!E7)*1000,2)</f>
        <v>10650000</v>
      </c>
      <c r="G1201" s="8">
        <f>ROUND('Criaturas - Base de Dados'!I201*'Sistema de Raridade e Evolução'!E7,0)</f>
        <v>6450</v>
      </c>
      <c r="H1201" s="8">
        <f>ROUND('Criaturas - Base de Dados'!J201*'Sistema de Raridade e Evolução'!E7,0)</f>
        <v>5400</v>
      </c>
      <c r="I1201" s="8">
        <f>ROUND('Criaturas - Base de Dados'!K201*'Sistema de Raridade e Evolução'!E7,0)</f>
        <v>34050</v>
      </c>
      <c r="J1201" s="8">
        <f>'Sistema de Raridade e Evolução'!D7</f>
        <v>91</v>
      </c>
      <c r="K1201" s="8" t="s">
        <v>925</v>
      </c>
      <c r="L1201" s="9">
        <f t="shared" si="18"/>
        <v>25357142.859999999</v>
      </c>
    </row>
    <row r="1202" spans="1:12" ht="14.25" customHeight="1" x14ac:dyDescent="0.3">
      <c r="A1202" s="8">
        <v>1201</v>
      </c>
      <c r="B1202" s="8" t="str">
        <f>'Criaturas - Base de Dados'!B202</f>
        <v>Constelação Arcana</v>
      </c>
      <c r="C1202" s="8" t="str">
        <f>'Criaturas - Base de Dados'!C202</f>
        <v>Astral</v>
      </c>
      <c r="D1202" s="8" t="str">
        <f>'Criaturas - Base de Dados'!D202</f>
        <v>Ursa Estelar</v>
      </c>
      <c r="E1202" s="8" t="str">
        <f>'Sistema de Raridade e Evolução'!B2</f>
        <v>Default</v>
      </c>
      <c r="F1202" s="9" t="e">
        <f>ROUND(('Criaturas - Base de Dados'!H202*'Sistema de Raridade e Evolução'!E2)*1000,2)</f>
        <v>#VALUE!</v>
      </c>
      <c r="G1202" s="8" t="e">
        <f>ROUND('Criaturas - Base de Dados'!I202*'Sistema de Raridade e Evolução'!E2,0)</f>
        <v>#VALUE!</v>
      </c>
      <c r="H1202" s="8" t="e">
        <f>ROUND('Criaturas - Base de Dados'!J202*'Sistema de Raridade e Evolução'!E2,0)</f>
        <v>#VALUE!</v>
      </c>
      <c r="I1202" s="8" t="e">
        <f>ROUND('Criaturas - Base de Dados'!K202*'Sistema de Raridade e Evolução'!E2,0)</f>
        <v>#VALUE!</v>
      </c>
      <c r="J1202" s="8">
        <f>'Sistema de Raridade e Evolução'!D2</f>
        <v>1</v>
      </c>
      <c r="K1202" s="8" t="s">
        <v>8</v>
      </c>
      <c r="L1202" s="9" t="e">
        <f t="shared" si="18"/>
        <v>#VALUE!</v>
      </c>
    </row>
    <row r="1203" spans="1:12" ht="14.25" hidden="1" customHeight="1" x14ac:dyDescent="0.3">
      <c r="A1203" s="8">
        <v>1202</v>
      </c>
      <c r="B1203" s="8" t="str">
        <f>'Criaturas - Base de Dados'!B202</f>
        <v>Constelação Arcana</v>
      </c>
      <c r="C1203" s="8" t="str">
        <f>'Criaturas - Base de Dados'!C202</f>
        <v>Astral</v>
      </c>
      <c r="D1203" s="8" t="str">
        <f>'Criaturas - Base de Dados'!D202</f>
        <v>Ursa Estelar</v>
      </c>
      <c r="E1203" s="8" t="str">
        <f>'Sistema de Raridade e Evolução'!B3</f>
        <v>Bronze</v>
      </c>
      <c r="F1203" s="9">
        <f>ROUND(('Criaturas - Base de Dados'!H202*'Sistema de Raridade e Evolução'!E3)*1000,2)</f>
        <v>10000</v>
      </c>
      <c r="G1203" s="8">
        <f>ROUND('Criaturas - Base de Dados'!I202*'Sistema de Raridade e Evolução'!E3,0)</f>
        <v>6</v>
      </c>
      <c r="H1203" s="8">
        <f>ROUND('Criaturas - Base de Dados'!J202*'Sistema de Raridade e Evolução'!E3,0)</f>
        <v>5</v>
      </c>
      <c r="I1203" s="8">
        <f>ROUND('Criaturas - Base de Dados'!K202*'Sistema de Raridade e Evolução'!E3,0)</f>
        <v>32</v>
      </c>
      <c r="J1203" s="8">
        <f>'Sistema de Raridade e Evolução'!D3</f>
        <v>6</v>
      </c>
      <c r="K1203" s="8" t="s">
        <v>9</v>
      </c>
      <c r="L1203" s="9">
        <f t="shared" si="18"/>
        <v>23809.52</v>
      </c>
    </row>
    <row r="1204" spans="1:12" ht="14.25" hidden="1" customHeight="1" x14ac:dyDescent="0.3">
      <c r="A1204" s="8">
        <v>1203</v>
      </c>
      <c r="B1204" s="8" t="str">
        <f>'Criaturas - Base de Dados'!B202</f>
        <v>Constelação Arcana</v>
      </c>
      <c r="C1204" s="8" t="str">
        <f>'Criaturas - Base de Dados'!C202</f>
        <v>Astral</v>
      </c>
      <c r="D1204" s="8" t="str">
        <f>'Criaturas - Base de Dados'!D202</f>
        <v>Ursa Estelar</v>
      </c>
      <c r="E1204" s="8" t="str">
        <f>'Sistema de Raridade e Evolução'!B4</f>
        <v>Prata</v>
      </c>
      <c r="F1204" s="9">
        <f>ROUND(('Criaturas - Base de Dados'!H202*'Sistema de Raridade e Evolução'!E4)*1000,2)</f>
        <v>60000</v>
      </c>
      <c r="G1204" s="8">
        <f>ROUND('Criaturas - Base de Dados'!I202*'Sistema de Raridade e Evolução'!E4,0)</f>
        <v>36</v>
      </c>
      <c r="H1204" s="8">
        <f>ROUND('Criaturas - Base de Dados'!J202*'Sistema de Raridade e Evolução'!E4,0)</f>
        <v>30</v>
      </c>
      <c r="I1204" s="8">
        <f>ROUND('Criaturas - Base de Dados'!K202*'Sistema de Raridade e Evolução'!E4,0)</f>
        <v>192</v>
      </c>
      <c r="J1204" s="8">
        <f>'Sistema de Raridade e Evolução'!D4</f>
        <v>16</v>
      </c>
      <c r="K1204" s="8" t="s">
        <v>10</v>
      </c>
      <c r="L1204" s="9">
        <f t="shared" si="18"/>
        <v>142857.14000000001</v>
      </c>
    </row>
    <row r="1205" spans="1:12" ht="14.25" hidden="1" customHeight="1" x14ac:dyDescent="0.3">
      <c r="A1205" s="8">
        <v>1204</v>
      </c>
      <c r="B1205" s="8" t="str">
        <f>'Criaturas - Base de Dados'!B202</f>
        <v>Constelação Arcana</v>
      </c>
      <c r="C1205" s="8" t="str">
        <f>'Criaturas - Base de Dados'!C202</f>
        <v>Astral</v>
      </c>
      <c r="D1205" s="8" t="str">
        <f>'Criaturas - Base de Dados'!D202</f>
        <v>Ursa Estelar</v>
      </c>
      <c r="E1205" s="8" t="str">
        <f>'Sistema de Raridade e Evolução'!B5</f>
        <v>Ouro</v>
      </c>
      <c r="F1205" s="9">
        <f>ROUND(('Criaturas - Base de Dados'!H202*'Sistema de Raridade e Evolução'!E5)*1000,2)</f>
        <v>180000</v>
      </c>
      <c r="G1205" s="8">
        <f>ROUND('Criaturas - Base de Dados'!I202*'Sistema de Raridade e Evolução'!E5,0)</f>
        <v>108</v>
      </c>
      <c r="H1205" s="8">
        <f>ROUND('Criaturas - Base de Dados'!J202*'Sistema de Raridade e Evolução'!E5,0)</f>
        <v>90</v>
      </c>
      <c r="I1205" s="8">
        <f>ROUND('Criaturas - Base de Dados'!K202*'Sistema de Raridade e Evolução'!E5,0)</f>
        <v>576</v>
      </c>
      <c r="J1205" s="8">
        <f>'Sistema de Raridade e Evolução'!D5</f>
        <v>31</v>
      </c>
      <c r="K1205" s="8" t="s">
        <v>11</v>
      </c>
      <c r="L1205" s="9">
        <f t="shared" si="18"/>
        <v>428571.43</v>
      </c>
    </row>
    <row r="1206" spans="1:12" ht="14.25" hidden="1" customHeight="1" x14ac:dyDescent="0.3">
      <c r="A1206" s="8">
        <v>1205</v>
      </c>
      <c r="B1206" s="8" t="str">
        <f>'Criaturas - Base de Dados'!B202</f>
        <v>Constelação Arcana</v>
      </c>
      <c r="C1206" s="8" t="str">
        <f>'Criaturas - Base de Dados'!C202</f>
        <v>Astral</v>
      </c>
      <c r="D1206" s="8" t="str">
        <f>'Criaturas - Base de Dados'!D202</f>
        <v>Ursa Estelar</v>
      </c>
      <c r="E1206" s="8" t="str">
        <f>'Sistema de Raridade e Evolução'!B6</f>
        <v>Platina</v>
      </c>
      <c r="F1206" s="9">
        <f>ROUND(('Criaturas - Base de Dados'!H202*'Sistema de Raridade e Evolução'!E6)*1000,2)</f>
        <v>500000</v>
      </c>
      <c r="G1206" s="8">
        <f>ROUND('Criaturas - Base de Dados'!I202*'Sistema de Raridade e Evolução'!E6,0)</f>
        <v>300</v>
      </c>
      <c r="H1206" s="8">
        <f>ROUND('Criaturas - Base de Dados'!J202*'Sistema de Raridade e Evolução'!E6,0)</f>
        <v>250</v>
      </c>
      <c r="I1206" s="8">
        <f>ROUND('Criaturas - Base de Dados'!K202*'Sistema de Raridade e Evolução'!E6,0)</f>
        <v>1600</v>
      </c>
      <c r="J1206" s="8">
        <f>'Sistema de Raridade e Evolução'!D6</f>
        <v>56</v>
      </c>
      <c r="K1206" s="8" t="s">
        <v>12</v>
      </c>
      <c r="L1206" s="9">
        <f t="shared" si="18"/>
        <v>1190476.19</v>
      </c>
    </row>
    <row r="1207" spans="1:12" ht="14.25" hidden="1" customHeight="1" x14ac:dyDescent="0.3">
      <c r="A1207" s="8">
        <v>1206</v>
      </c>
      <c r="B1207" s="8" t="str">
        <f>'Criaturas - Base de Dados'!B202</f>
        <v>Constelação Arcana</v>
      </c>
      <c r="C1207" s="8" t="str">
        <f>'Criaturas - Base de Dados'!C202</f>
        <v>Astral</v>
      </c>
      <c r="D1207" s="8" t="str">
        <f>'Criaturas - Base de Dados'!D202</f>
        <v>Ursa Estelar</v>
      </c>
      <c r="E1207" s="8" t="str">
        <f>'Sistema de Raridade e Evolução'!B7</f>
        <v>Lendário</v>
      </c>
      <c r="F1207" s="9">
        <f>ROUND(('Criaturas - Base de Dados'!H202*'Sistema de Raridade e Evolução'!E7)*1000,2)</f>
        <v>1500000</v>
      </c>
      <c r="G1207" s="8">
        <f>ROUND('Criaturas - Base de Dados'!I202*'Sistema de Raridade e Evolução'!E7,0)</f>
        <v>900</v>
      </c>
      <c r="H1207" s="8">
        <f>ROUND('Criaturas - Base de Dados'!J202*'Sistema de Raridade e Evolução'!E7,0)</f>
        <v>750</v>
      </c>
      <c r="I1207" s="8">
        <f>ROUND('Criaturas - Base de Dados'!K202*'Sistema de Raridade e Evolução'!E7,0)</f>
        <v>4800</v>
      </c>
      <c r="J1207" s="8">
        <f>'Sistema de Raridade e Evolução'!D7</f>
        <v>91</v>
      </c>
      <c r="K1207" s="8" t="s">
        <v>925</v>
      </c>
      <c r="L1207" s="9">
        <f t="shared" si="18"/>
        <v>3571428.57</v>
      </c>
    </row>
    <row r="1208" spans="1:12" ht="14.25" customHeight="1" x14ac:dyDescent="0.3">
      <c r="A1208" s="8">
        <v>1207</v>
      </c>
      <c r="B1208" s="8" t="str">
        <f>'Criaturas - Base de Dados'!B203</f>
        <v>Constelação Arcana</v>
      </c>
      <c r="C1208" s="8" t="str">
        <f>'Criaturas - Base de Dados'!C203</f>
        <v>Astral</v>
      </c>
      <c r="D1208" s="8" t="str">
        <f>'Criaturas - Base de Dados'!D203</f>
        <v>Dragão das Constelações</v>
      </c>
      <c r="E1208" s="8" t="str">
        <f>'Sistema de Raridade e Evolução'!B2</f>
        <v>Default</v>
      </c>
      <c r="F1208" s="9" t="e">
        <f>ROUND(('Criaturas - Base de Dados'!H203*'Sistema de Raridade e Evolução'!E2)*1000,2)</f>
        <v>#VALUE!</v>
      </c>
      <c r="G1208" s="8" t="e">
        <f>ROUND('Criaturas - Base de Dados'!I203*'Sistema de Raridade e Evolução'!E2,0)</f>
        <v>#VALUE!</v>
      </c>
      <c r="H1208" s="8" t="e">
        <f>ROUND('Criaturas - Base de Dados'!J203*'Sistema de Raridade e Evolução'!E2,0)</f>
        <v>#VALUE!</v>
      </c>
      <c r="I1208" s="8" t="e">
        <f>ROUND('Criaturas - Base de Dados'!K203*'Sistema de Raridade e Evolução'!E2,0)</f>
        <v>#VALUE!</v>
      </c>
      <c r="J1208" s="8">
        <f>'Sistema de Raridade e Evolução'!D2</f>
        <v>1</v>
      </c>
      <c r="K1208" s="8" t="s">
        <v>8</v>
      </c>
      <c r="L1208" s="9" t="e">
        <f t="shared" si="18"/>
        <v>#VALUE!</v>
      </c>
    </row>
    <row r="1209" spans="1:12" ht="14.25" hidden="1" customHeight="1" x14ac:dyDescent="0.3">
      <c r="A1209" s="8">
        <v>1208</v>
      </c>
      <c r="B1209" s="8" t="str">
        <f>'Criaturas - Base de Dados'!B203</f>
        <v>Constelação Arcana</v>
      </c>
      <c r="C1209" s="8" t="str">
        <f>'Criaturas - Base de Dados'!C203</f>
        <v>Astral</v>
      </c>
      <c r="D1209" s="8" t="str">
        <f>'Criaturas - Base de Dados'!D203</f>
        <v>Dragão das Constelações</v>
      </c>
      <c r="E1209" s="8" t="str">
        <f>'Sistema de Raridade e Evolução'!B3</f>
        <v>Bronze</v>
      </c>
      <c r="F1209" s="9">
        <f>ROUND(('Criaturas - Base de Dados'!H203*'Sistema de Raridade e Evolução'!E3)*1000,2)</f>
        <v>12000</v>
      </c>
      <c r="G1209" s="8">
        <f>ROUND('Criaturas - Base de Dados'!I203*'Sistema de Raridade e Evolução'!E3,0)</f>
        <v>7</v>
      </c>
      <c r="H1209" s="8">
        <f>ROUND('Criaturas - Base de Dados'!J203*'Sistema de Raridade e Evolução'!E3,0)</f>
        <v>6</v>
      </c>
      <c r="I1209" s="8">
        <f>ROUND('Criaturas - Base de Dados'!K203*'Sistema de Raridade e Evolução'!E3,0)</f>
        <v>38</v>
      </c>
      <c r="J1209" s="8">
        <f>'Sistema de Raridade e Evolução'!D3</f>
        <v>6</v>
      </c>
      <c r="K1209" s="8" t="s">
        <v>9</v>
      </c>
      <c r="L1209" s="9">
        <f t="shared" si="18"/>
        <v>28571.43</v>
      </c>
    </row>
    <row r="1210" spans="1:12" ht="14.25" hidden="1" customHeight="1" x14ac:dyDescent="0.3">
      <c r="A1210" s="8">
        <v>1209</v>
      </c>
      <c r="B1210" s="8" t="str">
        <f>'Criaturas - Base de Dados'!B203</f>
        <v>Constelação Arcana</v>
      </c>
      <c r="C1210" s="8" t="str">
        <f>'Criaturas - Base de Dados'!C203</f>
        <v>Astral</v>
      </c>
      <c r="D1210" s="8" t="str">
        <f>'Criaturas - Base de Dados'!D203</f>
        <v>Dragão das Constelações</v>
      </c>
      <c r="E1210" s="8" t="str">
        <f>'Sistema de Raridade e Evolução'!B4</f>
        <v>Prata</v>
      </c>
      <c r="F1210" s="9">
        <f>ROUND(('Criaturas - Base de Dados'!H203*'Sistema de Raridade e Evolução'!E4)*1000,2)</f>
        <v>72000</v>
      </c>
      <c r="G1210" s="8">
        <f>ROUND('Criaturas - Base de Dados'!I203*'Sistema de Raridade e Evolução'!E4,0)</f>
        <v>42</v>
      </c>
      <c r="H1210" s="8">
        <f>ROUND('Criaturas - Base de Dados'!J203*'Sistema de Raridade e Evolução'!E4,0)</f>
        <v>36</v>
      </c>
      <c r="I1210" s="8">
        <f>ROUND('Criaturas - Base de Dados'!K203*'Sistema de Raridade e Evolução'!E4,0)</f>
        <v>228</v>
      </c>
      <c r="J1210" s="8">
        <f>'Sistema de Raridade e Evolução'!D4</f>
        <v>16</v>
      </c>
      <c r="K1210" s="8" t="s">
        <v>10</v>
      </c>
      <c r="L1210" s="9">
        <f t="shared" si="18"/>
        <v>171428.57</v>
      </c>
    </row>
    <row r="1211" spans="1:12" ht="14.25" hidden="1" customHeight="1" x14ac:dyDescent="0.3">
      <c r="A1211" s="8">
        <v>1210</v>
      </c>
      <c r="B1211" s="8" t="str">
        <f>'Criaturas - Base de Dados'!B203</f>
        <v>Constelação Arcana</v>
      </c>
      <c r="C1211" s="8" t="str">
        <f>'Criaturas - Base de Dados'!C203</f>
        <v>Astral</v>
      </c>
      <c r="D1211" s="8" t="str">
        <f>'Criaturas - Base de Dados'!D203</f>
        <v>Dragão das Constelações</v>
      </c>
      <c r="E1211" s="8" t="str">
        <f>'Sistema de Raridade e Evolução'!B5</f>
        <v>Ouro</v>
      </c>
      <c r="F1211" s="9">
        <f>ROUND(('Criaturas - Base de Dados'!H203*'Sistema de Raridade e Evolução'!E5)*1000,2)</f>
        <v>216000</v>
      </c>
      <c r="G1211" s="8">
        <f>ROUND('Criaturas - Base de Dados'!I203*'Sistema de Raridade e Evolução'!E5,0)</f>
        <v>126</v>
      </c>
      <c r="H1211" s="8">
        <f>ROUND('Criaturas - Base de Dados'!J203*'Sistema de Raridade e Evolução'!E5,0)</f>
        <v>108</v>
      </c>
      <c r="I1211" s="8">
        <f>ROUND('Criaturas - Base de Dados'!K203*'Sistema de Raridade e Evolução'!E5,0)</f>
        <v>684</v>
      </c>
      <c r="J1211" s="8">
        <f>'Sistema de Raridade e Evolução'!D5</f>
        <v>31</v>
      </c>
      <c r="K1211" s="8" t="s">
        <v>11</v>
      </c>
      <c r="L1211" s="9">
        <f t="shared" si="18"/>
        <v>514285.71</v>
      </c>
    </row>
    <row r="1212" spans="1:12" ht="14.25" hidden="1" customHeight="1" x14ac:dyDescent="0.3">
      <c r="A1212" s="8">
        <v>1211</v>
      </c>
      <c r="B1212" s="8" t="str">
        <f>'Criaturas - Base de Dados'!B203</f>
        <v>Constelação Arcana</v>
      </c>
      <c r="C1212" s="8" t="str">
        <f>'Criaturas - Base de Dados'!C203</f>
        <v>Astral</v>
      </c>
      <c r="D1212" s="8" t="str">
        <f>'Criaturas - Base de Dados'!D203</f>
        <v>Dragão das Constelações</v>
      </c>
      <c r="E1212" s="8" t="str">
        <f>'Sistema de Raridade e Evolução'!B6</f>
        <v>Platina</v>
      </c>
      <c r="F1212" s="9">
        <f>ROUND(('Criaturas - Base de Dados'!H203*'Sistema de Raridade e Evolução'!E6)*1000,2)</f>
        <v>600000</v>
      </c>
      <c r="G1212" s="8">
        <f>ROUND('Criaturas - Base de Dados'!I203*'Sistema de Raridade e Evolução'!E6,0)</f>
        <v>350</v>
      </c>
      <c r="H1212" s="8">
        <f>ROUND('Criaturas - Base de Dados'!J203*'Sistema de Raridade e Evolução'!E6,0)</f>
        <v>300</v>
      </c>
      <c r="I1212" s="8">
        <f>ROUND('Criaturas - Base de Dados'!K203*'Sistema de Raridade e Evolução'!E6,0)</f>
        <v>1900</v>
      </c>
      <c r="J1212" s="8">
        <f>'Sistema de Raridade e Evolução'!D6</f>
        <v>56</v>
      </c>
      <c r="K1212" s="8" t="s">
        <v>12</v>
      </c>
      <c r="L1212" s="9">
        <f t="shared" si="18"/>
        <v>1428571.43</v>
      </c>
    </row>
    <row r="1213" spans="1:12" ht="14.25" hidden="1" customHeight="1" x14ac:dyDescent="0.3">
      <c r="A1213" s="8">
        <v>1212</v>
      </c>
      <c r="B1213" s="8" t="str">
        <f>'Criaturas - Base de Dados'!B203</f>
        <v>Constelação Arcana</v>
      </c>
      <c r="C1213" s="8" t="str">
        <f>'Criaturas - Base de Dados'!C203</f>
        <v>Astral</v>
      </c>
      <c r="D1213" s="8" t="str">
        <f>'Criaturas - Base de Dados'!D203</f>
        <v>Dragão das Constelações</v>
      </c>
      <c r="E1213" s="8" t="str">
        <f>'Sistema de Raridade e Evolução'!B7</f>
        <v>Lendário</v>
      </c>
      <c r="F1213" s="9">
        <f>ROUND(('Criaturas - Base de Dados'!H203*'Sistema de Raridade e Evolução'!E7)*1000,2)</f>
        <v>1800000</v>
      </c>
      <c r="G1213" s="8">
        <f>ROUND('Criaturas - Base de Dados'!I203*'Sistema de Raridade e Evolução'!E7,0)</f>
        <v>1050</v>
      </c>
      <c r="H1213" s="8">
        <f>ROUND('Criaturas - Base de Dados'!J203*'Sistema de Raridade e Evolução'!E7,0)</f>
        <v>900</v>
      </c>
      <c r="I1213" s="8">
        <f>ROUND('Criaturas - Base de Dados'!K203*'Sistema de Raridade e Evolução'!E7,0)</f>
        <v>5700</v>
      </c>
      <c r="J1213" s="8">
        <f>'Sistema de Raridade e Evolução'!D7</f>
        <v>91</v>
      </c>
      <c r="K1213" s="8" t="s">
        <v>925</v>
      </c>
      <c r="L1213" s="9">
        <f t="shared" si="18"/>
        <v>4285714.29</v>
      </c>
    </row>
    <row r="1214" spans="1:12" ht="14.25" customHeight="1" x14ac:dyDescent="0.3">
      <c r="A1214" s="8">
        <v>1213</v>
      </c>
      <c r="B1214" s="8" t="str">
        <f>'Criaturas - Base de Dados'!B204</f>
        <v>Constelação Arcana</v>
      </c>
      <c r="C1214" s="8" t="str">
        <f>'Criaturas - Base de Dados'!C204</f>
        <v>Astral</v>
      </c>
      <c r="D1214" s="8" t="str">
        <f>'Criaturas - Base de Dados'!D204</f>
        <v>Fenrir Celeste</v>
      </c>
      <c r="E1214" s="8" t="str">
        <f>'Sistema de Raridade e Evolução'!B2</f>
        <v>Default</v>
      </c>
      <c r="F1214" s="9" t="e">
        <f>ROUND(('Criaturas - Base de Dados'!H204*'Sistema de Raridade e Evolução'!E2)*1000,2)</f>
        <v>#VALUE!</v>
      </c>
      <c r="G1214" s="8" t="e">
        <f>ROUND('Criaturas - Base de Dados'!I204*'Sistema de Raridade e Evolução'!E2,0)</f>
        <v>#VALUE!</v>
      </c>
      <c r="H1214" s="8" t="e">
        <f>ROUND('Criaturas - Base de Dados'!J204*'Sistema de Raridade e Evolução'!E2,0)</f>
        <v>#VALUE!</v>
      </c>
      <c r="I1214" s="8" t="e">
        <f>ROUND('Criaturas - Base de Dados'!K204*'Sistema de Raridade e Evolução'!E2,0)</f>
        <v>#VALUE!</v>
      </c>
      <c r="J1214" s="8">
        <f>'Sistema de Raridade e Evolução'!D2</f>
        <v>1</v>
      </c>
      <c r="K1214" s="8" t="s">
        <v>8</v>
      </c>
      <c r="L1214" s="9" t="e">
        <f t="shared" si="18"/>
        <v>#VALUE!</v>
      </c>
    </row>
    <row r="1215" spans="1:12" ht="14.25" hidden="1" customHeight="1" x14ac:dyDescent="0.3">
      <c r="A1215" s="8">
        <v>1214</v>
      </c>
      <c r="B1215" s="8" t="str">
        <f>'Criaturas - Base de Dados'!B204</f>
        <v>Constelação Arcana</v>
      </c>
      <c r="C1215" s="8" t="str">
        <f>'Criaturas - Base de Dados'!C204</f>
        <v>Astral</v>
      </c>
      <c r="D1215" s="8" t="str">
        <f>'Criaturas - Base de Dados'!D204</f>
        <v>Fenrir Celeste</v>
      </c>
      <c r="E1215" s="8" t="str">
        <f>'Sistema de Raridade e Evolução'!B3</f>
        <v>Bronze</v>
      </c>
      <c r="F1215" s="9">
        <f>ROUND(('Criaturas - Base de Dados'!H204*'Sistema de Raridade e Evolução'!E3)*1000,2)</f>
        <v>14000</v>
      </c>
      <c r="G1215" s="8">
        <f>ROUND('Criaturas - Base de Dados'!I204*'Sistema de Raridade e Evolução'!E3,0)</f>
        <v>8</v>
      </c>
      <c r="H1215" s="8">
        <f>ROUND('Criaturas - Base de Dados'!J204*'Sistema de Raridade e Evolução'!E3,0)</f>
        <v>7</v>
      </c>
      <c r="I1215" s="8">
        <f>ROUND('Criaturas - Base de Dados'!K204*'Sistema de Raridade e Evolução'!E3,0)</f>
        <v>45</v>
      </c>
      <c r="J1215" s="8">
        <f>'Sistema de Raridade e Evolução'!D3</f>
        <v>6</v>
      </c>
      <c r="K1215" s="8" t="s">
        <v>9</v>
      </c>
      <c r="L1215" s="9">
        <f t="shared" si="18"/>
        <v>33333.33</v>
      </c>
    </row>
    <row r="1216" spans="1:12" ht="14.25" hidden="1" customHeight="1" x14ac:dyDescent="0.3">
      <c r="A1216" s="8">
        <v>1215</v>
      </c>
      <c r="B1216" s="8" t="str">
        <f>'Criaturas - Base de Dados'!B204</f>
        <v>Constelação Arcana</v>
      </c>
      <c r="C1216" s="8" t="str">
        <f>'Criaturas - Base de Dados'!C204</f>
        <v>Astral</v>
      </c>
      <c r="D1216" s="8" t="str">
        <f>'Criaturas - Base de Dados'!D204</f>
        <v>Fenrir Celeste</v>
      </c>
      <c r="E1216" s="8" t="str">
        <f>'Sistema de Raridade e Evolução'!B4</f>
        <v>Prata</v>
      </c>
      <c r="F1216" s="9">
        <f>ROUND(('Criaturas - Base de Dados'!H204*'Sistema de Raridade e Evolução'!E4)*1000,2)</f>
        <v>84000</v>
      </c>
      <c r="G1216" s="8">
        <f>ROUND('Criaturas - Base de Dados'!I204*'Sistema de Raridade e Evolução'!E4,0)</f>
        <v>48</v>
      </c>
      <c r="H1216" s="8">
        <f>ROUND('Criaturas - Base de Dados'!J204*'Sistema de Raridade e Evolução'!E4,0)</f>
        <v>42</v>
      </c>
      <c r="I1216" s="8">
        <f>ROUND('Criaturas - Base de Dados'!K204*'Sistema de Raridade e Evolução'!E4,0)</f>
        <v>270</v>
      </c>
      <c r="J1216" s="8">
        <f>'Sistema de Raridade e Evolução'!D4</f>
        <v>16</v>
      </c>
      <c r="K1216" s="8" t="s">
        <v>10</v>
      </c>
      <c r="L1216" s="9">
        <f t="shared" si="18"/>
        <v>200000</v>
      </c>
    </row>
    <row r="1217" spans="1:12" ht="14.25" hidden="1" customHeight="1" x14ac:dyDescent="0.3">
      <c r="A1217" s="8">
        <v>1216</v>
      </c>
      <c r="B1217" s="8" t="str">
        <f>'Criaturas - Base de Dados'!B204</f>
        <v>Constelação Arcana</v>
      </c>
      <c r="C1217" s="8" t="str">
        <f>'Criaturas - Base de Dados'!C204</f>
        <v>Astral</v>
      </c>
      <c r="D1217" s="8" t="str">
        <f>'Criaturas - Base de Dados'!D204</f>
        <v>Fenrir Celeste</v>
      </c>
      <c r="E1217" s="8" t="str">
        <f>'Sistema de Raridade e Evolução'!B5</f>
        <v>Ouro</v>
      </c>
      <c r="F1217" s="9">
        <f>ROUND(('Criaturas - Base de Dados'!H204*'Sistema de Raridade e Evolução'!E5)*1000,2)</f>
        <v>252000</v>
      </c>
      <c r="G1217" s="8">
        <f>ROUND('Criaturas - Base de Dados'!I204*'Sistema de Raridade e Evolução'!E5,0)</f>
        <v>144</v>
      </c>
      <c r="H1217" s="8">
        <f>ROUND('Criaturas - Base de Dados'!J204*'Sistema de Raridade e Evolução'!E5,0)</f>
        <v>126</v>
      </c>
      <c r="I1217" s="8">
        <f>ROUND('Criaturas - Base de Dados'!K204*'Sistema de Raridade e Evolução'!E5,0)</f>
        <v>810</v>
      </c>
      <c r="J1217" s="8">
        <f>'Sistema de Raridade e Evolução'!D5</f>
        <v>31</v>
      </c>
      <c r="K1217" s="8" t="s">
        <v>11</v>
      </c>
      <c r="L1217" s="9">
        <f t="shared" si="18"/>
        <v>600000</v>
      </c>
    </row>
    <row r="1218" spans="1:12" ht="14.25" hidden="1" customHeight="1" x14ac:dyDescent="0.3">
      <c r="A1218" s="8">
        <v>1217</v>
      </c>
      <c r="B1218" s="8" t="str">
        <f>'Criaturas - Base de Dados'!B204</f>
        <v>Constelação Arcana</v>
      </c>
      <c r="C1218" s="8" t="str">
        <f>'Criaturas - Base de Dados'!C204</f>
        <v>Astral</v>
      </c>
      <c r="D1218" s="8" t="str">
        <f>'Criaturas - Base de Dados'!D204</f>
        <v>Fenrir Celeste</v>
      </c>
      <c r="E1218" s="8" t="str">
        <f>'Sistema de Raridade e Evolução'!B6</f>
        <v>Platina</v>
      </c>
      <c r="F1218" s="9">
        <f>ROUND(('Criaturas - Base de Dados'!H204*'Sistema de Raridade e Evolução'!E6)*1000,2)</f>
        <v>700000</v>
      </c>
      <c r="G1218" s="8">
        <f>ROUND('Criaturas - Base de Dados'!I204*'Sistema de Raridade e Evolução'!E6,0)</f>
        <v>400</v>
      </c>
      <c r="H1218" s="8">
        <f>ROUND('Criaturas - Base de Dados'!J204*'Sistema de Raridade e Evolução'!E6,0)</f>
        <v>350</v>
      </c>
      <c r="I1218" s="8">
        <f>ROUND('Criaturas - Base de Dados'!K204*'Sistema de Raridade e Evolução'!E6,0)</f>
        <v>2250</v>
      </c>
      <c r="J1218" s="8">
        <f>'Sistema de Raridade e Evolução'!D6</f>
        <v>56</v>
      </c>
      <c r="K1218" s="8" t="s">
        <v>12</v>
      </c>
      <c r="L1218" s="9">
        <f t="shared" ref="L1218:L1281" si="19">ROUND(F1218*(2.5/1.05),2)</f>
        <v>1666666.67</v>
      </c>
    </row>
    <row r="1219" spans="1:12" ht="14.25" hidden="1" customHeight="1" x14ac:dyDescent="0.3">
      <c r="A1219" s="8">
        <v>1218</v>
      </c>
      <c r="B1219" s="8" t="str">
        <f>'Criaturas - Base de Dados'!B204</f>
        <v>Constelação Arcana</v>
      </c>
      <c r="C1219" s="8" t="str">
        <f>'Criaturas - Base de Dados'!C204</f>
        <v>Astral</v>
      </c>
      <c r="D1219" s="8" t="str">
        <f>'Criaturas - Base de Dados'!D204</f>
        <v>Fenrir Celeste</v>
      </c>
      <c r="E1219" s="8" t="str">
        <f>'Sistema de Raridade e Evolução'!B7</f>
        <v>Lendário</v>
      </c>
      <c r="F1219" s="9">
        <f>ROUND(('Criaturas - Base de Dados'!H204*'Sistema de Raridade e Evolução'!E7)*1000,2)</f>
        <v>2100000</v>
      </c>
      <c r="G1219" s="8">
        <f>ROUND('Criaturas - Base de Dados'!I204*'Sistema de Raridade e Evolução'!E7,0)</f>
        <v>1200</v>
      </c>
      <c r="H1219" s="8">
        <f>ROUND('Criaturas - Base de Dados'!J204*'Sistema de Raridade e Evolução'!E7,0)</f>
        <v>1050</v>
      </c>
      <c r="I1219" s="8">
        <f>ROUND('Criaturas - Base de Dados'!K204*'Sistema de Raridade e Evolução'!E7,0)</f>
        <v>6750</v>
      </c>
      <c r="J1219" s="8">
        <f>'Sistema de Raridade e Evolução'!D7</f>
        <v>91</v>
      </c>
      <c r="K1219" s="8" t="s">
        <v>925</v>
      </c>
      <c r="L1219" s="9">
        <f t="shared" si="19"/>
        <v>5000000</v>
      </c>
    </row>
    <row r="1220" spans="1:12" ht="14.25" customHeight="1" x14ac:dyDescent="0.3">
      <c r="A1220" s="8">
        <v>1219</v>
      </c>
      <c r="B1220" s="8" t="str">
        <f>'Criaturas - Base de Dados'!B205</f>
        <v>Constelação Arcana</v>
      </c>
      <c r="C1220" s="8" t="str">
        <f>'Criaturas - Base de Dados'!C205</f>
        <v>Astral</v>
      </c>
      <c r="D1220" s="8" t="str">
        <f>'Criaturas - Base de Dados'!D205</f>
        <v>Fera do Zodíaco</v>
      </c>
      <c r="E1220" s="8" t="str">
        <f>'Sistema de Raridade e Evolução'!B2</f>
        <v>Default</v>
      </c>
      <c r="F1220" s="9" t="e">
        <f>ROUND(('Criaturas - Base de Dados'!H205*'Sistema de Raridade e Evolução'!E2)*1000,2)</f>
        <v>#VALUE!</v>
      </c>
      <c r="G1220" s="8" t="e">
        <f>ROUND('Criaturas - Base de Dados'!I205*'Sistema de Raridade e Evolução'!E2,0)</f>
        <v>#VALUE!</v>
      </c>
      <c r="H1220" s="8" t="e">
        <f>ROUND('Criaturas - Base de Dados'!J205*'Sistema de Raridade e Evolução'!E2,0)</f>
        <v>#VALUE!</v>
      </c>
      <c r="I1220" s="8" t="e">
        <f>ROUND('Criaturas - Base de Dados'!K205*'Sistema de Raridade e Evolução'!E2,0)</f>
        <v>#VALUE!</v>
      </c>
      <c r="J1220" s="8">
        <f>'Sistema de Raridade e Evolução'!D2</f>
        <v>1</v>
      </c>
      <c r="K1220" s="8" t="s">
        <v>8</v>
      </c>
      <c r="L1220" s="9" t="e">
        <f t="shared" si="19"/>
        <v>#VALUE!</v>
      </c>
    </row>
    <row r="1221" spans="1:12" ht="14.25" hidden="1" customHeight="1" x14ac:dyDescent="0.3">
      <c r="A1221" s="8">
        <v>1220</v>
      </c>
      <c r="B1221" s="8" t="str">
        <f>'Criaturas - Base de Dados'!B205</f>
        <v>Constelação Arcana</v>
      </c>
      <c r="C1221" s="8" t="str">
        <f>'Criaturas - Base de Dados'!C205</f>
        <v>Astral</v>
      </c>
      <c r="D1221" s="8" t="str">
        <f>'Criaturas - Base de Dados'!D205</f>
        <v>Fera do Zodíaco</v>
      </c>
      <c r="E1221" s="8" t="str">
        <f>'Sistema de Raridade e Evolução'!B3</f>
        <v>Bronze</v>
      </c>
      <c r="F1221" s="9">
        <f>ROUND(('Criaturas - Base de Dados'!H205*'Sistema de Raridade e Evolução'!E3)*1000,2)</f>
        <v>16000</v>
      </c>
      <c r="G1221" s="8">
        <f>ROUND('Criaturas - Base de Dados'!I205*'Sistema de Raridade e Evolução'!E3,0)</f>
        <v>10</v>
      </c>
      <c r="H1221" s="8">
        <f>ROUND('Criaturas - Base de Dados'!J205*'Sistema de Raridade e Evolução'!E3,0)</f>
        <v>8</v>
      </c>
      <c r="I1221" s="8">
        <f>ROUND('Criaturas - Base de Dados'!K205*'Sistema de Raridade e Evolução'!E3,0)</f>
        <v>51</v>
      </c>
      <c r="J1221" s="8">
        <f>'Sistema de Raridade e Evolução'!D3</f>
        <v>6</v>
      </c>
      <c r="K1221" s="8" t="s">
        <v>9</v>
      </c>
      <c r="L1221" s="9">
        <f t="shared" si="19"/>
        <v>38095.24</v>
      </c>
    </row>
    <row r="1222" spans="1:12" ht="14.25" hidden="1" customHeight="1" x14ac:dyDescent="0.3">
      <c r="A1222" s="8">
        <v>1221</v>
      </c>
      <c r="B1222" s="8" t="str">
        <f>'Criaturas - Base de Dados'!B205</f>
        <v>Constelação Arcana</v>
      </c>
      <c r="C1222" s="8" t="str">
        <f>'Criaturas - Base de Dados'!C205</f>
        <v>Astral</v>
      </c>
      <c r="D1222" s="8" t="str">
        <f>'Criaturas - Base de Dados'!D205</f>
        <v>Fera do Zodíaco</v>
      </c>
      <c r="E1222" s="8" t="str">
        <f>'Sistema de Raridade e Evolução'!B4</f>
        <v>Prata</v>
      </c>
      <c r="F1222" s="9">
        <f>ROUND(('Criaturas - Base de Dados'!H205*'Sistema de Raridade e Evolução'!E4)*1000,2)</f>
        <v>96000</v>
      </c>
      <c r="G1222" s="8">
        <f>ROUND('Criaturas - Base de Dados'!I205*'Sistema de Raridade e Evolução'!E4,0)</f>
        <v>60</v>
      </c>
      <c r="H1222" s="8">
        <f>ROUND('Criaturas - Base de Dados'!J205*'Sistema de Raridade e Evolução'!E4,0)</f>
        <v>48</v>
      </c>
      <c r="I1222" s="8">
        <f>ROUND('Criaturas - Base de Dados'!K205*'Sistema de Raridade e Evolução'!E4,0)</f>
        <v>306</v>
      </c>
      <c r="J1222" s="8">
        <f>'Sistema de Raridade e Evolução'!D4</f>
        <v>16</v>
      </c>
      <c r="K1222" s="8" t="s">
        <v>10</v>
      </c>
      <c r="L1222" s="9">
        <f t="shared" si="19"/>
        <v>228571.43</v>
      </c>
    </row>
    <row r="1223" spans="1:12" ht="14.25" hidden="1" customHeight="1" x14ac:dyDescent="0.3">
      <c r="A1223" s="8">
        <v>1222</v>
      </c>
      <c r="B1223" s="8" t="str">
        <f>'Criaturas - Base de Dados'!B205</f>
        <v>Constelação Arcana</v>
      </c>
      <c r="C1223" s="8" t="str">
        <f>'Criaturas - Base de Dados'!C205</f>
        <v>Astral</v>
      </c>
      <c r="D1223" s="8" t="str">
        <f>'Criaturas - Base de Dados'!D205</f>
        <v>Fera do Zodíaco</v>
      </c>
      <c r="E1223" s="8" t="str">
        <f>'Sistema de Raridade e Evolução'!B5</f>
        <v>Ouro</v>
      </c>
      <c r="F1223" s="9">
        <f>ROUND(('Criaturas - Base de Dados'!H205*'Sistema de Raridade e Evolução'!E5)*1000,2)</f>
        <v>288000</v>
      </c>
      <c r="G1223" s="8">
        <f>ROUND('Criaturas - Base de Dados'!I205*'Sistema de Raridade e Evolução'!E5,0)</f>
        <v>180</v>
      </c>
      <c r="H1223" s="8">
        <f>ROUND('Criaturas - Base de Dados'!J205*'Sistema de Raridade e Evolução'!E5,0)</f>
        <v>144</v>
      </c>
      <c r="I1223" s="8">
        <f>ROUND('Criaturas - Base de Dados'!K205*'Sistema de Raridade e Evolução'!E5,0)</f>
        <v>918</v>
      </c>
      <c r="J1223" s="8">
        <f>'Sistema de Raridade e Evolução'!D5</f>
        <v>31</v>
      </c>
      <c r="K1223" s="8" t="s">
        <v>11</v>
      </c>
      <c r="L1223" s="9">
        <f t="shared" si="19"/>
        <v>685714.29</v>
      </c>
    </row>
    <row r="1224" spans="1:12" ht="14.25" hidden="1" customHeight="1" x14ac:dyDescent="0.3">
      <c r="A1224" s="8">
        <v>1223</v>
      </c>
      <c r="B1224" s="8" t="str">
        <f>'Criaturas - Base de Dados'!B205</f>
        <v>Constelação Arcana</v>
      </c>
      <c r="C1224" s="8" t="str">
        <f>'Criaturas - Base de Dados'!C205</f>
        <v>Astral</v>
      </c>
      <c r="D1224" s="8" t="str">
        <f>'Criaturas - Base de Dados'!D205</f>
        <v>Fera do Zodíaco</v>
      </c>
      <c r="E1224" s="8" t="str">
        <f>'Sistema de Raridade e Evolução'!B6</f>
        <v>Platina</v>
      </c>
      <c r="F1224" s="9">
        <f>ROUND(('Criaturas - Base de Dados'!H205*'Sistema de Raridade e Evolução'!E6)*1000,2)</f>
        <v>800000</v>
      </c>
      <c r="G1224" s="8">
        <f>ROUND('Criaturas - Base de Dados'!I205*'Sistema de Raridade e Evolução'!E6,0)</f>
        <v>500</v>
      </c>
      <c r="H1224" s="8">
        <f>ROUND('Criaturas - Base de Dados'!J205*'Sistema de Raridade e Evolução'!E6,0)</f>
        <v>400</v>
      </c>
      <c r="I1224" s="8">
        <f>ROUND('Criaturas - Base de Dados'!K205*'Sistema de Raridade e Evolução'!E6,0)</f>
        <v>2550</v>
      </c>
      <c r="J1224" s="8">
        <f>'Sistema de Raridade e Evolução'!D6</f>
        <v>56</v>
      </c>
      <c r="K1224" s="8" t="s">
        <v>12</v>
      </c>
      <c r="L1224" s="9">
        <f t="shared" si="19"/>
        <v>1904761.9</v>
      </c>
    </row>
    <row r="1225" spans="1:12" ht="14.25" hidden="1" customHeight="1" x14ac:dyDescent="0.3">
      <c r="A1225" s="8">
        <v>1224</v>
      </c>
      <c r="B1225" s="8" t="str">
        <f>'Criaturas - Base de Dados'!B205</f>
        <v>Constelação Arcana</v>
      </c>
      <c r="C1225" s="8" t="str">
        <f>'Criaturas - Base de Dados'!C205</f>
        <v>Astral</v>
      </c>
      <c r="D1225" s="8" t="str">
        <f>'Criaturas - Base de Dados'!D205</f>
        <v>Fera do Zodíaco</v>
      </c>
      <c r="E1225" s="8" t="str">
        <f>'Sistema de Raridade e Evolução'!B7</f>
        <v>Lendário</v>
      </c>
      <c r="F1225" s="9">
        <f>ROUND(('Criaturas - Base de Dados'!H205*'Sistema de Raridade e Evolução'!E7)*1000,2)</f>
        <v>2400000</v>
      </c>
      <c r="G1225" s="8">
        <f>ROUND('Criaturas - Base de Dados'!I205*'Sistema de Raridade e Evolução'!E7,0)</f>
        <v>1500</v>
      </c>
      <c r="H1225" s="8">
        <f>ROUND('Criaturas - Base de Dados'!J205*'Sistema de Raridade e Evolução'!E7,0)</f>
        <v>1200</v>
      </c>
      <c r="I1225" s="8">
        <f>ROUND('Criaturas - Base de Dados'!K205*'Sistema de Raridade e Evolução'!E7,0)</f>
        <v>7650</v>
      </c>
      <c r="J1225" s="8">
        <f>'Sistema de Raridade e Evolução'!D7</f>
        <v>91</v>
      </c>
      <c r="K1225" s="8" t="s">
        <v>925</v>
      </c>
      <c r="L1225" s="9">
        <f t="shared" si="19"/>
        <v>5714285.71</v>
      </c>
    </row>
    <row r="1226" spans="1:12" ht="14.25" customHeight="1" x14ac:dyDescent="0.3">
      <c r="A1226" s="8">
        <v>1225</v>
      </c>
      <c r="B1226" s="8" t="str">
        <f>'Criaturas - Base de Dados'!B206</f>
        <v>Constelação Arcana</v>
      </c>
      <c r="C1226" s="8" t="str">
        <f>'Criaturas - Base de Dados'!C206</f>
        <v>Astral</v>
      </c>
      <c r="D1226" s="8" t="str">
        <f>'Criaturas - Base de Dados'!D206</f>
        <v>Ouroboros Cósmico</v>
      </c>
      <c r="E1226" s="8" t="str">
        <f>'Sistema de Raridade e Evolução'!B2</f>
        <v>Default</v>
      </c>
      <c r="F1226" s="9" t="e">
        <f>ROUND(('Criaturas - Base de Dados'!H206*'Sistema de Raridade e Evolução'!E2)*1000,2)</f>
        <v>#VALUE!</v>
      </c>
      <c r="G1226" s="8" t="e">
        <f>ROUND('Criaturas - Base de Dados'!I206*'Sistema de Raridade e Evolução'!E2,0)</f>
        <v>#VALUE!</v>
      </c>
      <c r="H1226" s="8" t="e">
        <f>ROUND('Criaturas - Base de Dados'!J206*'Sistema de Raridade e Evolução'!E2,0)</f>
        <v>#VALUE!</v>
      </c>
      <c r="I1226" s="8" t="e">
        <f>ROUND('Criaturas - Base de Dados'!K206*'Sistema de Raridade e Evolução'!E2,0)</f>
        <v>#VALUE!</v>
      </c>
      <c r="J1226" s="8">
        <f>'Sistema de Raridade e Evolução'!D2</f>
        <v>1</v>
      </c>
      <c r="K1226" s="8" t="s">
        <v>8</v>
      </c>
      <c r="L1226" s="9" t="e">
        <f t="shared" si="19"/>
        <v>#VALUE!</v>
      </c>
    </row>
    <row r="1227" spans="1:12" ht="14.25" hidden="1" customHeight="1" x14ac:dyDescent="0.3">
      <c r="A1227" s="8">
        <v>1226</v>
      </c>
      <c r="B1227" s="8" t="str">
        <f>'Criaturas - Base de Dados'!B206</f>
        <v>Constelação Arcana</v>
      </c>
      <c r="C1227" s="8" t="str">
        <f>'Criaturas - Base de Dados'!C206</f>
        <v>Astral</v>
      </c>
      <c r="D1227" s="8" t="str">
        <f>'Criaturas - Base de Dados'!D206</f>
        <v>Ouroboros Cósmico</v>
      </c>
      <c r="E1227" s="8" t="str">
        <f>'Sistema de Raridade e Evolução'!B3</f>
        <v>Bronze</v>
      </c>
      <c r="F1227" s="9">
        <f>ROUND(('Criaturas - Base de Dados'!H206*'Sistema de Raridade e Evolução'!E3)*1000,2)</f>
        <v>16000</v>
      </c>
      <c r="G1227" s="8">
        <f>ROUND('Criaturas - Base de Dados'!I206*'Sistema de Raridade e Evolução'!E3,0)</f>
        <v>10</v>
      </c>
      <c r="H1227" s="8">
        <f>ROUND('Criaturas - Base de Dados'!J206*'Sistema de Raridade e Evolução'!E3,0)</f>
        <v>8</v>
      </c>
      <c r="I1227" s="8">
        <f>ROUND('Criaturas - Base de Dados'!K206*'Sistema de Raridade e Evolução'!E3,0)</f>
        <v>51</v>
      </c>
      <c r="J1227" s="8">
        <f>'Sistema de Raridade e Evolução'!D3</f>
        <v>6</v>
      </c>
      <c r="K1227" s="8" t="s">
        <v>9</v>
      </c>
      <c r="L1227" s="9">
        <f t="shared" si="19"/>
        <v>38095.24</v>
      </c>
    </row>
    <row r="1228" spans="1:12" ht="14.25" hidden="1" customHeight="1" x14ac:dyDescent="0.3">
      <c r="A1228" s="8">
        <v>1227</v>
      </c>
      <c r="B1228" s="8" t="str">
        <f>'Criaturas - Base de Dados'!B206</f>
        <v>Constelação Arcana</v>
      </c>
      <c r="C1228" s="8" t="str">
        <f>'Criaturas - Base de Dados'!C206</f>
        <v>Astral</v>
      </c>
      <c r="D1228" s="8" t="str">
        <f>'Criaturas - Base de Dados'!D206</f>
        <v>Ouroboros Cósmico</v>
      </c>
      <c r="E1228" s="8" t="str">
        <f>'Sistema de Raridade e Evolução'!B4</f>
        <v>Prata</v>
      </c>
      <c r="F1228" s="9">
        <f>ROUND(('Criaturas - Base de Dados'!H206*'Sistema de Raridade e Evolução'!E4)*1000,2)</f>
        <v>96000</v>
      </c>
      <c r="G1228" s="8">
        <f>ROUND('Criaturas - Base de Dados'!I206*'Sistema de Raridade e Evolução'!E4,0)</f>
        <v>60</v>
      </c>
      <c r="H1228" s="8">
        <f>ROUND('Criaturas - Base de Dados'!J206*'Sistema de Raridade e Evolução'!E4,0)</f>
        <v>48</v>
      </c>
      <c r="I1228" s="8">
        <f>ROUND('Criaturas - Base de Dados'!K206*'Sistema de Raridade e Evolução'!E4,0)</f>
        <v>306</v>
      </c>
      <c r="J1228" s="8">
        <f>'Sistema de Raridade e Evolução'!D4</f>
        <v>16</v>
      </c>
      <c r="K1228" s="8" t="s">
        <v>10</v>
      </c>
      <c r="L1228" s="9">
        <f t="shared" si="19"/>
        <v>228571.43</v>
      </c>
    </row>
    <row r="1229" spans="1:12" ht="14.25" hidden="1" customHeight="1" x14ac:dyDescent="0.3">
      <c r="A1229" s="8">
        <v>1228</v>
      </c>
      <c r="B1229" s="8" t="str">
        <f>'Criaturas - Base de Dados'!B206</f>
        <v>Constelação Arcana</v>
      </c>
      <c r="C1229" s="8" t="str">
        <f>'Criaturas - Base de Dados'!C206</f>
        <v>Astral</v>
      </c>
      <c r="D1229" s="8" t="str">
        <f>'Criaturas - Base de Dados'!D206</f>
        <v>Ouroboros Cósmico</v>
      </c>
      <c r="E1229" s="8" t="str">
        <f>'Sistema de Raridade e Evolução'!B5</f>
        <v>Ouro</v>
      </c>
      <c r="F1229" s="9">
        <f>ROUND(('Criaturas - Base de Dados'!H206*'Sistema de Raridade e Evolução'!E5)*1000,2)</f>
        <v>288000</v>
      </c>
      <c r="G1229" s="8">
        <f>ROUND('Criaturas - Base de Dados'!I206*'Sistema de Raridade e Evolução'!E5,0)</f>
        <v>180</v>
      </c>
      <c r="H1229" s="8">
        <f>ROUND('Criaturas - Base de Dados'!J206*'Sistema de Raridade e Evolução'!E5,0)</f>
        <v>144</v>
      </c>
      <c r="I1229" s="8">
        <f>ROUND('Criaturas - Base de Dados'!K206*'Sistema de Raridade e Evolução'!E5,0)</f>
        <v>918</v>
      </c>
      <c r="J1229" s="8">
        <f>'Sistema de Raridade e Evolução'!D5</f>
        <v>31</v>
      </c>
      <c r="K1229" s="8" t="s">
        <v>11</v>
      </c>
      <c r="L1229" s="9">
        <f t="shared" si="19"/>
        <v>685714.29</v>
      </c>
    </row>
    <row r="1230" spans="1:12" ht="14.25" hidden="1" customHeight="1" x14ac:dyDescent="0.3">
      <c r="A1230" s="8">
        <v>1229</v>
      </c>
      <c r="B1230" s="8" t="str">
        <f>'Criaturas - Base de Dados'!B206</f>
        <v>Constelação Arcana</v>
      </c>
      <c r="C1230" s="8" t="str">
        <f>'Criaturas - Base de Dados'!C206</f>
        <v>Astral</v>
      </c>
      <c r="D1230" s="8" t="str">
        <f>'Criaturas - Base de Dados'!D206</f>
        <v>Ouroboros Cósmico</v>
      </c>
      <c r="E1230" s="8" t="str">
        <f>'Sistema de Raridade e Evolução'!B6</f>
        <v>Platina</v>
      </c>
      <c r="F1230" s="9">
        <f>ROUND(('Criaturas - Base de Dados'!H206*'Sistema de Raridade e Evolução'!E6)*1000,2)</f>
        <v>800000</v>
      </c>
      <c r="G1230" s="8">
        <f>ROUND('Criaturas - Base de Dados'!I206*'Sistema de Raridade e Evolução'!E6,0)</f>
        <v>500</v>
      </c>
      <c r="H1230" s="8">
        <f>ROUND('Criaturas - Base de Dados'!J206*'Sistema de Raridade e Evolução'!E6,0)</f>
        <v>400</v>
      </c>
      <c r="I1230" s="8">
        <f>ROUND('Criaturas - Base de Dados'!K206*'Sistema de Raridade e Evolução'!E6,0)</f>
        <v>2550</v>
      </c>
      <c r="J1230" s="8">
        <f>'Sistema de Raridade e Evolução'!D6</f>
        <v>56</v>
      </c>
      <c r="K1230" s="8" t="s">
        <v>12</v>
      </c>
      <c r="L1230" s="9">
        <f t="shared" si="19"/>
        <v>1904761.9</v>
      </c>
    </row>
    <row r="1231" spans="1:12" ht="14.25" hidden="1" customHeight="1" x14ac:dyDescent="0.3">
      <c r="A1231" s="8">
        <v>1230</v>
      </c>
      <c r="B1231" s="8" t="str">
        <f>'Criaturas - Base de Dados'!B206</f>
        <v>Constelação Arcana</v>
      </c>
      <c r="C1231" s="8" t="str">
        <f>'Criaturas - Base de Dados'!C206</f>
        <v>Astral</v>
      </c>
      <c r="D1231" s="8" t="str">
        <f>'Criaturas - Base de Dados'!D206</f>
        <v>Ouroboros Cósmico</v>
      </c>
      <c r="E1231" s="8" t="str">
        <f>'Sistema de Raridade e Evolução'!B7</f>
        <v>Lendário</v>
      </c>
      <c r="F1231" s="9">
        <f>ROUND(('Criaturas - Base de Dados'!H206*'Sistema de Raridade e Evolução'!E7)*1000,2)</f>
        <v>2400000</v>
      </c>
      <c r="G1231" s="8">
        <f>ROUND('Criaturas - Base de Dados'!I206*'Sistema de Raridade e Evolução'!E7,0)</f>
        <v>1500</v>
      </c>
      <c r="H1231" s="8">
        <f>ROUND('Criaturas - Base de Dados'!J206*'Sistema de Raridade e Evolução'!E7,0)</f>
        <v>1200</v>
      </c>
      <c r="I1231" s="8">
        <f>ROUND('Criaturas - Base de Dados'!K206*'Sistema de Raridade e Evolução'!E7,0)</f>
        <v>7650</v>
      </c>
      <c r="J1231" s="8">
        <f>'Sistema de Raridade e Evolução'!D7</f>
        <v>91</v>
      </c>
      <c r="K1231" s="8" t="s">
        <v>925</v>
      </c>
      <c r="L1231" s="9">
        <f t="shared" si="19"/>
        <v>5714285.71</v>
      </c>
    </row>
    <row r="1232" spans="1:12" ht="14.25" customHeight="1" x14ac:dyDescent="0.3">
      <c r="A1232" s="8">
        <v>1231</v>
      </c>
      <c r="B1232" s="8" t="str">
        <f>'Criaturas - Base de Dados'!B207</f>
        <v>Constelação Arcana</v>
      </c>
      <c r="C1232" s="8" t="str">
        <f>'Criaturas - Base de Dados'!C207</f>
        <v>Astral</v>
      </c>
      <c r="D1232" s="8" t="str">
        <f>'Criaturas - Base de Dados'!D207</f>
        <v>Corcel das Estrelas</v>
      </c>
      <c r="E1232" s="8" t="str">
        <f>'Sistema de Raridade e Evolução'!B2</f>
        <v>Default</v>
      </c>
      <c r="F1232" s="9" t="e">
        <f>ROUND(('Criaturas - Base de Dados'!H207*'Sistema de Raridade e Evolução'!E2)*1000,2)</f>
        <v>#VALUE!</v>
      </c>
      <c r="G1232" s="8" t="e">
        <f>ROUND('Criaturas - Base de Dados'!I207*'Sistema de Raridade e Evolução'!E2,0)</f>
        <v>#VALUE!</v>
      </c>
      <c r="H1232" s="8" t="e">
        <f>ROUND('Criaturas - Base de Dados'!J207*'Sistema de Raridade e Evolução'!E2,0)</f>
        <v>#VALUE!</v>
      </c>
      <c r="I1232" s="8" t="e">
        <f>ROUND('Criaturas - Base de Dados'!K207*'Sistema de Raridade e Evolução'!E2,0)</f>
        <v>#VALUE!</v>
      </c>
      <c r="J1232" s="8">
        <f>'Sistema de Raridade e Evolução'!D2</f>
        <v>1</v>
      </c>
      <c r="K1232" s="8" t="s">
        <v>8</v>
      </c>
      <c r="L1232" s="9" t="e">
        <f t="shared" si="19"/>
        <v>#VALUE!</v>
      </c>
    </row>
    <row r="1233" spans="1:12" ht="14.25" hidden="1" customHeight="1" x14ac:dyDescent="0.3">
      <c r="A1233" s="8">
        <v>1232</v>
      </c>
      <c r="B1233" s="8" t="str">
        <f>'Criaturas - Base de Dados'!B207</f>
        <v>Constelação Arcana</v>
      </c>
      <c r="C1233" s="8" t="str">
        <f>'Criaturas - Base de Dados'!C207</f>
        <v>Astral</v>
      </c>
      <c r="D1233" s="8" t="str">
        <f>'Criaturas - Base de Dados'!D207</f>
        <v>Corcel das Estrelas</v>
      </c>
      <c r="E1233" s="8" t="str">
        <f>'Sistema de Raridade e Evolução'!B3</f>
        <v>Bronze</v>
      </c>
      <c r="F1233" s="9">
        <f>ROUND(('Criaturas - Base de Dados'!H207*'Sistema de Raridade e Evolução'!E3)*1000,2)</f>
        <v>18000</v>
      </c>
      <c r="G1233" s="8">
        <f>ROUND('Criaturas - Base de Dados'!I207*'Sistema de Raridade e Evolução'!E3,0)</f>
        <v>11</v>
      </c>
      <c r="H1233" s="8">
        <f>ROUND('Criaturas - Base de Dados'!J207*'Sistema de Raridade e Evolução'!E3,0)</f>
        <v>9</v>
      </c>
      <c r="I1233" s="8">
        <f>ROUND('Criaturas - Base de Dados'!K207*'Sistema de Raridade e Evolução'!E3,0)</f>
        <v>58</v>
      </c>
      <c r="J1233" s="8">
        <f>'Sistema de Raridade e Evolução'!D3</f>
        <v>6</v>
      </c>
      <c r="K1233" s="8" t="s">
        <v>9</v>
      </c>
      <c r="L1233" s="9">
        <f t="shared" si="19"/>
        <v>42857.14</v>
      </c>
    </row>
    <row r="1234" spans="1:12" ht="14.25" hidden="1" customHeight="1" x14ac:dyDescent="0.3">
      <c r="A1234" s="8">
        <v>1233</v>
      </c>
      <c r="B1234" s="8" t="str">
        <f>'Criaturas - Base de Dados'!B207</f>
        <v>Constelação Arcana</v>
      </c>
      <c r="C1234" s="8" t="str">
        <f>'Criaturas - Base de Dados'!C207</f>
        <v>Astral</v>
      </c>
      <c r="D1234" s="8" t="str">
        <f>'Criaturas - Base de Dados'!D207</f>
        <v>Corcel das Estrelas</v>
      </c>
      <c r="E1234" s="8" t="str">
        <f>'Sistema de Raridade e Evolução'!B4</f>
        <v>Prata</v>
      </c>
      <c r="F1234" s="9">
        <f>ROUND(('Criaturas - Base de Dados'!H207*'Sistema de Raridade e Evolução'!E4)*1000,2)</f>
        <v>108000</v>
      </c>
      <c r="G1234" s="8">
        <f>ROUND('Criaturas - Base de Dados'!I207*'Sistema de Raridade e Evolução'!E4,0)</f>
        <v>66</v>
      </c>
      <c r="H1234" s="8">
        <f>ROUND('Criaturas - Base de Dados'!J207*'Sistema de Raridade e Evolução'!E4,0)</f>
        <v>54</v>
      </c>
      <c r="I1234" s="8">
        <f>ROUND('Criaturas - Base de Dados'!K207*'Sistema de Raridade e Evolução'!E4,0)</f>
        <v>348</v>
      </c>
      <c r="J1234" s="8">
        <f>'Sistema de Raridade e Evolução'!D4</f>
        <v>16</v>
      </c>
      <c r="K1234" s="8" t="s">
        <v>10</v>
      </c>
      <c r="L1234" s="9">
        <f t="shared" si="19"/>
        <v>257142.86</v>
      </c>
    </row>
    <row r="1235" spans="1:12" ht="14.25" hidden="1" customHeight="1" x14ac:dyDescent="0.3">
      <c r="A1235" s="8">
        <v>1234</v>
      </c>
      <c r="B1235" s="8" t="str">
        <f>'Criaturas - Base de Dados'!B207</f>
        <v>Constelação Arcana</v>
      </c>
      <c r="C1235" s="8" t="str">
        <f>'Criaturas - Base de Dados'!C207</f>
        <v>Astral</v>
      </c>
      <c r="D1235" s="8" t="str">
        <f>'Criaturas - Base de Dados'!D207</f>
        <v>Corcel das Estrelas</v>
      </c>
      <c r="E1235" s="8" t="str">
        <f>'Sistema de Raridade e Evolução'!B5</f>
        <v>Ouro</v>
      </c>
      <c r="F1235" s="9">
        <f>ROUND(('Criaturas - Base de Dados'!H207*'Sistema de Raridade e Evolução'!E5)*1000,2)</f>
        <v>324000</v>
      </c>
      <c r="G1235" s="8">
        <f>ROUND('Criaturas - Base de Dados'!I207*'Sistema de Raridade e Evolução'!E5,0)</f>
        <v>198</v>
      </c>
      <c r="H1235" s="8">
        <f>ROUND('Criaturas - Base de Dados'!J207*'Sistema de Raridade e Evolução'!E5,0)</f>
        <v>162</v>
      </c>
      <c r="I1235" s="8">
        <f>ROUND('Criaturas - Base de Dados'!K207*'Sistema de Raridade e Evolução'!E5,0)</f>
        <v>1044</v>
      </c>
      <c r="J1235" s="8">
        <f>'Sistema de Raridade e Evolução'!D5</f>
        <v>31</v>
      </c>
      <c r="K1235" s="8" t="s">
        <v>11</v>
      </c>
      <c r="L1235" s="9">
        <f t="shared" si="19"/>
        <v>771428.57</v>
      </c>
    </row>
    <row r="1236" spans="1:12" ht="14.25" hidden="1" customHeight="1" x14ac:dyDescent="0.3">
      <c r="A1236" s="8">
        <v>1235</v>
      </c>
      <c r="B1236" s="8" t="str">
        <f>'Criaturas - Base de Dados'!B207</f>
        <v>Constelação Arcana</v>
      </c>
      <c r="C1236" s="8" t="str">
        <f>'Criaturas - Base de Dados'!C207</f>
        <v>Astral</v>
      </c>
      <c r="D1236" s="8" t="str">
        <f>'Criaturas - Base de Dados'!D207</f>
        <v>Corcel das Estrelas</v>
      </c>
      <c r="E1236" s="8" t="str">
        <f>'Sistema de Raridade e Evolução'!B6</f>
        <v>Platina</v>
      </c>
      <c r="F1236" s="9">
        <f>ROUND(('Criaturas - Base de Dados'!H207*'Sistema de Raridade e Evolução'!E6)*1000,2)</f>
        <v>900000</v>
      </c>
      <c r="G1236" s="8">
        <f>ROUND('Criaturas - Base de Dados'!I207*'Sistema de Raridade e Evolução'!E6,0)</f>
        <v>550</v>
      </c>
      <c r="H1236" s="8">
        <f>ROUND('Criaturas - Base de Dados'!J207*'Sistema de Raridade e Evolução'!E6,0)</f>
        <v>450</v>
      </c>
      <c r="I1236" s="8">
        <f>ROUND('Criaturas - Base de Dados'!K207*'Sistema de Raridade e Evolução'!E6,0)</f>
        <v>2900</v>
      </c>
      <c r="J1236" s="8">
        <f>'Sistema de Raridade e Evolução'!D6</f>
        <v>56</v>
      </c>
      <c r="K1236" s="8" t="s">
        <v>12</v>
      </c>
      <c r="L1236" s="9">
        <f t="shared" si="19"/>
        <v>2142857.14</v>
      </c>
    </row>
    <row r="1237" spans="1:12" ht="14.25" hidden="1" customHeight="1" x14ac:dyDescent="0.3">
      <c r="A1237" s="8">
        <v>1236</v>
      </c>
      <c r="B1237" s="8" t="str">
        <f>'Criaturas - Base de Dados'!B207</f>
        <v>Constelação Arcana</v>
      </c>
      <c r="C1237" s="8" t="str">
        <f>'Criaturas - Base de Dados'!C207</f>
        <v>Astral</v>
      </c>
      <c r="D1237" s="8" t="str">
        <f>'Criaturas - Base de Dados'!D207</f>
        <v>Corcel das Estrelas</v>
      </c>
      <c r="E1237" s="8" t="str">
        <f>'Sistema de Raridade e Evolução'!B7</f>
        <v>Lendário</v>
      </c>
      <c r="F1237" s="9">
        <f>ROUND(('Criaturas - Base de Dados'!H207*'Sistema de Raridade e Evolução'!E7)*1000,2)</f>
        <v>2700000</v>
      </c>
      <c r="G1237" s="8">
        <f>ROUND('Criaturas - Base de Dados'!I207*'Sistema de Raridade e Evolução'!E7,0)</f>
        <v>1650</v>
      </c>
      <c r="H1237" s="8">
        <f>ROUND('Criaturas - Base de Dados'!J207*'Sistema de Raridade e Evolução'!E7,0)</f>
        <v>1350</v>
      </c>
      <c r="I1237" s="8">
        <f>ROUND('Criaturas - Base de Dados'!K207*'Sistema de Raridade e Evolução'!E7,0)</f>
        <v>8700</v>
      </c>
      <c r="J1237" s="8">
        <f>'Sistema de Raridade e Evolução'!D7</f>
        <v>91</v>
      </c>
      <c r="K1237" s="8" t="s">
        <v>925</v>
      </c>
      <c r="L1237" s="9">
        <f t="shared" si="19"/>
        <v>6428571.4299999997</v>
      </c>
    </row>
    <row r="1238" spans="1:12" ht="14.25" customHeight="1" x14ac:dyDescent="0.3">
      <c r="A1238" s="8">
        <v>1237</v>
      </c>
      <c r="B1238" s="8" t="str">
        <f>'Criaturas - Base de Dados'!B208</f>
        <v>Constelação Arcana</v>
      </c>
      <c r="C1238" s="8" t="str">
        <f>'Criaturas - Base de Dados'!C208</f>
        <v>Astral</v>
      </c>
      <c r="D1238" s="8" t="str">
        <f>'Criaturas - Base de Dados'!D208</f>
        <v>Coruja Cósmica</v>
      </c>
      <c r="E1238" s="8" t="str">
        <f>'Sistema de Raridade e Evolução'!B2</f>
        <v>Default</v>
      </c>
      <c r="F1238" s="9" t="e">
        <f>ROUND(('Criaturas - Base de Dados'!H208*'Sistema de Raridade e Evolução'!E2)*1000,2)</f>
        <v>#VALUE!</v>
      </c>
      <c r="G1238" s="8" t="e">
        <f>ROUND('Criaturas - Base de Dados'!I208*'Sistema de Raridade e Evolução'!E2,0)</f>
        <v>#VALUE!</v>
      </c>
      <c r="H1238" s="8" t="e">
        <f>ROUND('Criaturas - Base de Dados'!J208*'Sistema de Raridade e Evolução'!E2,0)</f>
        <v>#VALUE!</v>
      </c>
      <c r="I1238" s="8" t="e">
        <f>ROUND('Criaturas - Base de Dados'!K208*'Sistema de Raridade e Evolução'!E2,0)</f>
        <v>#VALUE!</v>
      </c>
      <c r="J1238" s="8">
        <f>'Sistema de Raridade e Evolução'!D2</f>
        <v>1</v>
      </c>
      <c r="K1238" s="8" t="s">
        <v>8</v>
      </c>
      <c r="L1238" s="9" t="e">
        <f t="shared" si="19"/>
        <v>#VALUE!</v>
      </c>
    </row>
    <row r="1239" spans="1:12" ht="14.25" hidden="1" customHeight="1" x14ac:dyDescent="0.3">
      <c r="A1239" s="8">
        <v>1238</v>
      </c>
      <c r="B1239" s="8" t="str">
        <f>'Criaturas - Base de Dados'!B208</f>
        <v>Constelação Arcana</v>
      </c>
      <c r="C1239" s="8" t="str">
        <f>'Criaturas - Base de Dados'!C208</f>
        <v>Astral</v>
      </c>
      <c r="D1239" s="8" t="str">
        <f>'Criaturas - Base de Dados'!D208</f>
        <v>Coruja Cósmica</v>
      </c>
      <c r="E1239" s="8" t="str">
        <f>'Sistema de Raridade e Evolução'!B3</f>
        <v>Bronze</v>
      </c>
      <c r="F1239" s="9">
        <f>ROUND(('Criaturas - Base de Dados'!H208*'Sistema de Raridade e Evolução'!E3)*1000,2)</f>
        <v>20000</v>
      </c>
      <c r="G1239" s="8">
        <f>ROUND('Criaturas - Base de Dados'!I208*'Sistema de Raridade e Evolução'!E3,0)</f>
        <v>12</v>
      </c>
      <c r="H1239" s="8">
        <f>ROUND('Criaturas - Base de Dados'!J208*'Sistema de Raridade e Evolução'!E3,0)</f>
        <v>10</v>
      </c>
      <c r="I1239" s="8">
        <f>ROUND('Criaturas - Base de Dados'!K208*'Sistema de Raridade e Evolução'!E3,0)</f>
        <v>64</v>
      </c>
      <c r="J1239" s="8">
        <f>'Sistema de Raridade e Evolução'!D3</f>
        <v>6</v>
      </c>
      <c r="K1239" s="8" t="s">
        <v>9</v>
      </c>
      <c r="L1239" s="9">
        <f t="shared" si="19"/>
        <v>47619.05</v>
      </c>
    </row>
    <row r="1240" spans="1:12" ht="14.25" hidden="1" customHeight="1" x14ac:dyDescent="0.3">
      <c r="A1240" s="8">
        <v>1239</v>
      </c>
      <c r="B1240" s="8" t="str">
        <f>'Criaturas - Base de Dados'!B208</f>
        <v>Constelação Arcana</v>
      </c>
      <c r="C1240" s="8" t="str">
        <f>'Criaturas - Base de Dados'!C208</f>
        <v>Astral</v>
      </c>
      <c r="D1240" s="8" t="str">
        <f>'Criaturas - Base de Dados'!D208</f>
        <v>Coruja Cósmica</v>
      </c>
      <c r="E1240" s="8" t="str">
        <f>'Sistema de Raridade e Evolução'!B4</f>
        <v>Prata</v>
      </c>
      <c r="F1240" s="9">
        <f>ROUND(('Criaturas - Base de Dados'!H208*'Sistema de Raridade e Evolução'!E4)*1000,2)</f>
        <v>120000</v>
      </c>
      <c r="G1240" s="8">
        <f>ROUND('Criaturas - Base de Dados'!I208*'Sistema de Raridade e Evolução'!E4,0)</f>
        <v>72</v>
      </c>
      <c r="H1240" s="8">
        <f>ROUND('Criaturas - Base de Dados'!J208*'Sistema de Raridade e Evolução'!E4,0)</f>
        <v>60</v>
      </c>
      <c r="I1240" s="8">
        <f>ROUND('Criaturas - Base de Dados'!K208*'Sistema de Raridade e Evolução'!E4,0)</f>
        <v>384</v>
      </c>
      <c r="J1240" s="8">
        <f>'Sistema de Raridade e Evolução'!D4</f>
        <v>16</v>
      </c>
      <c r="K1240" s="8" t="s">
        <v>10</v>
      </c>
      <c r="L1240" s="9">
        <f t="shared" si="19"/>
        <v>285714.28999999998</v>
      </c>
    </row>
    <row r="1241" spans="1:12" ht="14.25" hidden="1" customHeight="1" x14ac:dyDescent="0.3">
      <c r="A1241" s="8">
        <v>1240</v>
      </c>
      <c r="B1241" s="8" t="str">
        <f>'Criaturas - Base de Dados'!B208</f>
        <v>Constelação Arcana</v>
      </c>
      <c r="C1241" s="8" t="str">
        <f>'Criaturas - Base de Dados'!C208</f>
        <v>Astral</v>
      </c>
      <c r="D1241" s="8" t="str">
        <f>'Criaturas - Base de Dados'!D208</f>
        <v>Coruja Cósmica</v>
      </c>
      <c r="E1241" s="8" t="str">
        <f>'Sistema de Raridade e Evolução'!B5</f>
        <v>Ouro</v>
      </c>
      <c r="F1241" s="9">
        <f>ROUND(('Criaturas - Base de Dados'!H208*'Sistema de Raridade e Evolução'!E5)*1000,2)</f>
        <v>360000</v>
      </c>
      <c r="G1241" s="8">
        <f>ROUND('Criaturas - Base de Dados'!I208*'Sistema de Raridade e Evolução'!E5,0)</f>
        <v>216</v>
      </c>
      <c r="H1241" s="8">
        <f>ROUND('Criaturas - Base de Dados'!J208*'Sistema de Raridade e Evolução'!E5,0)</f>
        <v>180</v>
      </c>
      <c r="I1241" s="8">
        <f>ROUND('Criaturas - Base de Dados'!K208*'Sistema de Raridade e Evolução'!E5,0)</f>
        <v>1152</v>
      </c>
      <c r="J1241" s="8">
        <f>'Sistema de Raridade e Evolução'!D5</f>
        <v>31</v>
      </c>
      <c r="K1241" s="8" t="s">
        <v>11</v>
      </c>
      <c r="L1241" s="9">
        <f t="shared" si="19"/>
        <v>857142.86</v>
      </c>
    </row>
    <row r="1242" spans="1:12" ht="14.25" hidden="1" customHeight="1" x14ac:dyDescent="0.3">
      <c r="A1242" s="8">
        <v>1241</v>
      </c>
      <c r="B1242" s="8" t="str">
        <f>'Criaturas - Base de Dados'!B208</f>
        <v>Constelação Arcana</v>
      </c>
      <c r="C1242" s="8" t="str">
        <f>'Criaturas - Base de Dados'!C208</f>
        <v>Astral</v>
      </c>
      <c r="D1242" s="8" t="str">
        <f>'Criaturas - Base de Dados'!D208</f>
        <v>Coruja Cósmica</v>
      </c>
      <c r="E1242" s="8" t="str">
        <f>'Sistema de Raridade e Evolução'!B6</f>
        <v>Platina</v>
      </c>
      <c r="F1242" s="9">
        <f>ROUND(('Criaturas - Base de Dados'!H208*'Sistema de Raridade e Evolução'!E6)*1000,2)</f>
        <v>1000000</v>
      </c>
      <c r="G1242" s="8">
        <f>ROUND('Criaturas - Base de Dados'!I208*'Sistema de Raridade e Evolução'!E6,0)</f>
        <v>600</v>
      </c>
      <c r="H1242" s="8">
        <f>ROUND('Criaturas - Base de Dados'!J208*'Sistema de Raridade e Evolução'!E6,0)</f>
        <v>500</v>
      </c>
      <c r="I1242" s="8">
        <f>ROUND('Criaturas - Base de Dados'!K208*'Sistema de Raridade e Evolução'!E6,0)</f>
        <v>3200</v>
      </c>
      <c r="J1242" s="8">
        <f>'Sistema de Raridade e Evolução'!D6</f>
        <v>56</v>
      </c>
      <c r="K1242" s="8" t="s">
        <v>12</v>
      </c>
      <c r="L1242" s="9">
        <f t="shared" si="19"/>
        <v>2380952.38</v>
      </c>
    </row>
    <row r="1243" spans="1:12" ht="14.25" hidden="1" customHeight="1" x14ac:dyDescent="0.3">
      <c r="A1243" s="8">
        <v>1242</v>
      </c>
      <c r="B1243" s="8" t="str">
        <f>'Criaturas - Base de Dados'!B208</f>
        <v>Constelação Arcana</v>
      </c>
      <c r="C1243" s="8" t="str">
        <f>'Criaturas - Base de Dados'!C208</f>
        <v>Astral</v>
      </c>
      <c r="D1243" s="8" t="str">
        <f>'Criaturas - Base de Dados'!D208</f>
        <v>Coruja Cósmica</v>
      </c>
      <c r="E1243" s="8" t="str">
        <f>'Sistema de Raridade e Evolução'!B7</f>
        <v>Lendário</v>
      </c>
      <c r="F1243" s="9">
        <f>ROUND(('Criaturas - Base de Dados'!H208*'Sistema de Raridade e Evolução'!E7)*1000,2)</f>
        <v>3000000</v>
      </c>
      <c r="G1243" s="8">
        <f>ROUND('Criaturas - Base de Dados'!I208*'Sistema de Raridade e Evolução'!E7,0)</f>
        <v>1800</v>
      </c>
      <c r="H1243" s="8">
        <f>ROUND('Criaturas - Base de Dados'!J208*'Sistema de Raridade e Evolução'!E7,0)</f>
        <v>1500</v>
      </c>
      <c r="I1243" s="8">
        <f>ROUND('Criaturas - Base de Dados'!K208*'Sistema de Raridade e Evolução'!E7,0)</f>
        <v>9600</v>
      </c>
      <c r="J1243" s="8">
        <f>'Sistema de Raridade e Evolução'!D7</f>
        <v>91</v>
      </c>
      <c r="K1243" s="8" t="s">
        <v>925</v>
      </c>
      <c r="L1243" s="9">
        <f t="shared" si="19"/>
        <v>7142857.1399999997</v>
      </c>
    </row>
    <row r="1244" spans="1:12" ht="14.25" customHeight="1" x14ac:dyDescent="0.3">
      <c r="A1244" s="8">
        <v>1243</v>
      </c>
      <c r="B1244" s="8" t="str">
        <f>'Criaturas - Base de Dados'!B209</f>
        <v>Constelação Arcana</v>
      </c>
      <c r="C1244" s="8" t="str">
        <f>'Criaturas - Base de Dados'!C209</f>
        <v>Astral</v>
      </c>
      <c r="D1244" s="8" t="str">
        <f>'Criaturas - Base de Dados'!D209</f>
        <v>Ave Cósmica Ancestral</v>
      </c>
      <c r="E1244" s="8" t="str">
        <f>'Sistema de Raridade e Evolução'!B2</f>
        <v>Default</v>
      </c>
      <c r="F1244" s="9" t="e">
        <f>ROUND(('Criaturas - Base de Dados'!H209*'Sistema de Raridade e Evolução'!E2)*1000,2)</f>
        <v>#VALUE!</v>
      </c>
      <c r="G1244" s="8" t="e">
        <f>ROUND('Criaturas - Base de Dados'!I209*'Sistema de Raridade e Evolução'!E2,0)</f>
        <v>#VALUE!</v>
      </c>
      <c r="H1244" s="8" t="e">
        <f>ROUND('Criaturas - Base de Dados'!J209*'Sistema de Raridade e Evolução'!E2,0)</f>
        <v>#VALUE!</v>
      </c>
      <c r="I1244" s="8" t="e">
        <f>ROUND('Criaturas - Base de Dados'!K209*'Sistema de Raridade e Evolução'!E2,0)</f>
        <v>#VALUE!</v>
      </c>
      <c r="J1244" s="8">
        <f>'Sistema de Raridade e Evolução'!D2</f>
        <v>1</v>
      </c>
      <c r="K1244" s="8" t="s">
        <v>8</v>
      </c>
      <c r="L1244" s="9" t="e">
        <f t="shared" si="19"/>
        <v>#VALUE!</v>
      </c>
    </row>
    <row r="1245" spans="1:12" ht="14.25" hidden="1" customHeight="1" x14ac:dyDescent="0.3">
      <c r="A1245" s="8">
        <v>1244</v>
      </c>
      <c r="B1245" s="8" t="str">
        <f>'Criaturas - Base de Dados'!B209</f>
        <v>Constelação Arcana</v>
      </c>
      <c r="C1245" s="8" t="str">
        <f>'Criaturas - Base de Dados'!C209</f>
        <v>Astral</v>
      </c>
      <c r="D1245" s="8" t="str">
        <f>'Criaturas - Base de Dados'!D209</f>
        <v>Ave Cósmica Ancestral</v>
      </c>
      <c r="E1245" s="8" t="str">
        <f>'Sistema de Raridade e Evolução'!B3</f>
        <v>Bronze</v>
      </c>
      <c r="F1245" s="9">
        <f>ROUND(('Criaturas - Base de Dados'!H209*'Sistema de Raridade e Evolução'!E3)*1000,2)</f>
        <v>22000</v>
      </c>
      <c r="G1245" s="8">
        <f>ROUND('Criaturas - Base de Dados'!I209*'Sistema de Raridade e Evolução'!E3,0)</f>
        <v>13</v>
      </c>
      <c r="H1245" s="8">
        <f>ROUND('Criaturas - Base de Dados'!J209*'Sistema de Raridade e Evolução'!E3,0)</f>
        <v>11</v>
      </c>
      <c r="I1245" s="8">
        <f>ROUND('Criaturas - Base de Dados'!K209*'Sistema de Raridade e Evolução'!E3,0)</f>
        <v>70</v>
      </c>
      <c r="J1245" s="8">
        <f>'Sistema de Raridade e Evolução'!D3</f>
        <v>6</v>
      </c>
      <c r="K1245" s="8" t="s">
        <v>9</v>
      </c>
      <c r="L1245" s="9">
        <f t="shared" si="19"/>
        <v>52380.95</v>
      </c>
    </row>
    <row r="1246" spans="1:12" ht="14.25" hidden="1" customHeight="1" x14ac:dyDescent="0.3">
      <c r="A1246" s="8">
        <v>1245</v>
      </c>
      <c r="B1246" s="8" t="str">
        <f>'Criaturas - Base de Dados'!B209</f>
        <v>Constelação Arcana</v>
      </c>
      <c r="C1246" s="8" t="str">
        <f>'Criaturas - Base de Dados'!C209</f>
        <v>Astral</v>
      </c>
      <c r="D1246" s="8" t="str">
        <f>'Criaturas - Base de Dados'!D209</f>
        <v>Ave Cósmica Ancestral</v>
      </c>
      <c r="E1246" s="8" t="str">
        <f>'Sistema de Raridade e Evolução'!B4</f>
        <v>Prata</v>
      </c>
      <c r="F1246" s="9">
        <f>ROUND(('Criaturas - Base de Dados'!H209*'Sistema de Raridade e Evolução'!E4)*1000,2)</f>
        <v>132000</v>
      </c>
      <c r="G1246" s="8">
        <f>ROUND('Criaturas - Base de Dados'!I209*'Sistema de Raridade e Evolução'!E4,0)</f>
        <v>78</v>
      </c>
      <c r="H1246" s="8">
        <f>ROUND('Criaturas - Base de Dados'!J209*'Sistema de Raridade e Evolução'!E4,0)</f>
        <v>66</v>
      </c>
      <c r="I1246" s="8">
        <f>ROUND('Criaturas - Base de Dados'!K209*'Sistema de Raridade e Evolução'!E4,0)</f>
        <v>420</v>
      </c>
      <c r="J1246" s="8">
        <f>'Sistema de Raridade e Evolução'!D4</f>
        <v>16</v>
      </c>
      <c r="K1246" s="8" t="s">
        <v>10</v>
      </c>
      <c r="L1246" s="9">
        <f t="shared" si="19"/>
        <v>314285.71000000002</v>
      </c>
    </row>
    <row r="1247" spans="1:12" ht="14.25" hidden="1" customHeight="1" x14ac:dyDescent="0.3">
      <c r="A1247" s="8">
        <v>1246</v>
      </c>
      <c r="B1247" s="8" t="str">
        <f>'Criaturas - Base de Dados'!B209</f>
        <v>Constelação Arcana</v>
      </c>
      <c r="C1247" s="8" t="str">
        <f>'Criaturas - Base de Dados'!C209</f>
        <v>Astral</v>
      </c>
      <c r="D1247" s="8" t="str">
        <f>'Criaturas - Base de Dados'!D209</f>
        <v>Ave Cósmica Ancestral</v>
      </c>
      <c r="E1247" s="8" t="str">
        <f>'Sistema de Raridade e Evolução'!B5</f>
        <v>Ouro</v>
      </c>
      <c r="F1247" s="9">
        <f>ROUND(('Criaturas - Base de Dados'!H209*'Sistema de Raridade e Evolução'!E5)*1000,2)</f>
        <v>396000</v>
      </c>
      <c r="G1247" s="8">
        <f>ROUND('Criaturas - Base de Dados'!I209*'Sistema de Raridade e Evolução'!E5,0)</f>
        <v>234</v>
      </c>
      <c r="H1247" s="8">
        <f>ROUND('Criaturas - Base de Dados'!J209*'Sistema de Raridade e Evolução'!E5,0)</f>
        <v>198</v>
      </c>
      <c r="I1247" s="8">
        <f>ROUND('Criaturas - Base de Dados'!K209*'Sistema de Raridade e Evolução'!E5,0)</f>
        <v>1260</v>
      </c>
      <c r="J1247" s="8">
        <f>'Sistema de Raridade e Evolução'!D5</f>
        <v>31</v>
      </c>
      <c r="K1247" s="8" t="s">
        <v>11</v>
      </c>
      <c r="L1247" s="9">
        <f t="shared" si="19"/>
        <v>942857.14</v>
      </c>
    </row>
    <row r="1248" spans="1:12" ht="14.25" hidden="1" customHeight="1" x14ac:dyDescent="0.3">
      <c r="A1248" s="8">
        <v>1247</v>
      </c>
      <c r="B1248" s="8" t="str">
        <f>'Criaturas - Base de Dados'!B209</f>
        <v>Constelação Arcana</v>
      </c>
      <c r="C1248" s="8" t="str">
        <f>'Criaturas - Base de Dados'!C209</f>
        <v>Astral</v>
      </c>
      <c r="D1248" s="8" t="str">
        <f>'Criaturas - Base de Dados'!D209</f>
        <v>Ave Cósmica Ancestral</v>
      </c>
      <c r="E1248" s="8" t="str">
        <f>'Sistema de Raridade e Evolução'!B6</f>
        <v>Platina</v>
      </c>
      <c r="F1248" s="9">
        <f>ROUND(('Criaturas - Base de Dados'!H209*'Sistema de Raridade e Evolução'!E6)*1000,2)</f>
        <v>1100000</v>
      </c>
      <c r="G1248" s="8">
        <f>ROUND('Criaturas - Base de Dados'!I209*'Sistema de Raridade e Evolução'!E6,0)</f>
        <v>650</v>
      </c>
      <c r="H1248" s="8">
        <f>ROUND('Criaturas - Base de Dados'!J209*'Sistema de Raridade e Evolução'!E6,0)</f>
        <v>550</v>
      </c>
      <c r="I1248" s="8">
        <f>ROUND('Criaturas - Base de Dados'!K209*'Sistema de Raridade e Evolução'!E6,0)</f>
        <v>3500</v>
      </c>
      <c r="J1248" s="8">
        <f>'Sistema de Raridade e Evolução'!D6</f>
        <v>56</v>
      </c>
      <c r="K1248" s="8" t="s">
        <v>12</v>
      </c>
      <c r="L1248" s="9">
        <f t="shared" si="19"/>
        <v>2619047.62</v>
      </c>
    </row>
    <row r="1249" spans="1:12" ht="14.25" hidden="1" customHeight="1" x14ac:dyDescent="0.3">
      <c r="A1249" s="8">
        <v>1248</v>
      </c>
      <c r="B1249" s="8" t="str">
        <f>'Criaturas - Base de Dados'!B209</f>
        <v>Constelação Arcana</v>
      </c>
      <c r="C1249" s="8" t="str">
        <f>'Criaturas - Base de Dados'!C209</f>
        <v>Astral</v>
      </c>
      <c r="D1249" s="8" t="str">
        <f>'Criaturas - Base de Dados'!D209</f>
        <v>Ave Cósmica Ancestral</v>
      </c>
      <c r="E1249" s="8" t="str">
        <f>'Sistema de Raridade e Evolução'!B7</f>
        <v>Lendário</v>
      </c>
      <c r="F1249" s="9">
        <f>ROUND(('Criaturas - Base de Dados'!H209*'Sistema de Raridade e Evolução'!E7)*1000,2)</f>
        <v>3300000</v>
      </c>
      <c r="G1249" s="8">
        <f>ROUND('Criaturas - Base de Dados'!I209*'Sistema de Raridade e Evolução'!E7,0)</f>
        <v>1950</v>
      </c>
      <c r="H1249" s="8">
        <f>ROUND('Criaturas - Base de Dados'!J209*'Sistema de Raridade e Evolução'!E7,0)</f>
        <v>1650</v>
      </c>
      <c r="I1249" s="8">
        <f>ROUND('Criaturas - Base de Dados'!K209*'Sistema de Raridade e Evolução'!E7,0)</f>
        <v>10500</v>
      </c>
      <c r="J1249" s="8">
        <f>'Sistema de Raridade e Evolução'!D7</f>
        <v>91</v>
      </c>
      <c r="K1249" s="8" t="s">
        <v>925</v>
      </c>
      <c r="L1249" s="9">
        <f t="shared" si="19"/>
        <v>7857142.8600000003</v>
      </c>
    </row>
    <row r="1250" spans="1:12" ht="14.25" customHeight="1" x14ac:dyDescent="0.3">
      <c r="A1250" s="8">
        <v>1249</v>
      </c>
      <c r="B1250" s="8" t="str">
        <f>'Criaturas - Base de Dados'!B210</f>
        <v>Constelação Arcana</v>
      </c>
      <c r="C1250" s="8" t="str">
        <f>'Criaturas - Base de Dados'!C210</f>
        <v>Astral</v>
      </c>
      <c r="D1250" s="8" t="str">
        <f>'Criaturas - Base de Dados'!D210</f>
        <v>Golem Estelar</v>
      </c>
      <c r="E1250" s="8" t="str">
        <f>'Sistema de Raridade e Evolução'!B2</f>
        <v>Default</v>
      </c>
      <c r="F1250" s="9" t="e">
        <f>ROUND(('Criaturas - Base de Dados'!H210*'Sistema de Raridade e Evolução'!E2)*1000,2)</f>
        <v>#VALUE!</v>
      </c>
      <c r="G1250" s="8" t="e">
        <f>ROUND('Criaturas - Base de Dados'!I210*'Sistema de Raridade e Evolução'!E2,0)</f>
        <v>#VALUE!</v>
      </c>
      <c r="H1250" s="8" t="e">
        <f>ROUND('Criaturas - Base de Dados'!J210*'Sistema de Raridade e Evolução'!E2,0)</f>
        <v>#VALUE!</v>
      </c>
      <c r="I1250" s="8" t="e">
        <f>ROUND('Criaturas - Base de Dados'!K210*'Sistema de Raridade e Evolução'!E2,0)</f>
        <v>#VALUE!</v>
      </c>
      <c r="J1250" s="8">
        <f>'Sistema de Raridade e Evolução'!D2</f>
        <v>1</v>
      </c>
      <c r="K1250" s="8" t="s">
        <v>8</v>
      </c>
      <c r="L1250" s="9" t="e">
        <f t="shared" si="19"/>
        <v>#VALUE!</v>
      </c>
    </row>
    <row r="1251" spans="1:12" ht="14.25" hidden="1" customHeight="1" x14ac:dyDescent="0.3">
      <c r="A1251" s="8">
        <v>1250</v>
      </c>
      <c r="B1251" s="8" t="str">
        <f>'Criaturas - Base de Dados'!B210</f>
        <v>Constelação Arcana</v>
      </c>
      <c r="C1251" s="8" t="str">
        <f>'Criaturas - Base de Dados'!C210</f>
        <v>Astral</v>
      </c>
      <c r="D1251" s="8" t="str">
        <f>'Criaturas - Base de Dados'!D210</f>
        <v>Golem Estelar</v>
      </c>
      <c r="E1251" s="8" t="str">
        <f>'Sistema de Raridade e Evolução'!B3</f>
        <v>Bronze</v>
      </c>
      <c r="F1251" s="9">
        <f>ROUND(('Criaturas - Base de Dados'!H210*'Sistema de Raridade e Evolução'!E3)*1000,2)</f>
        <v>24000</v>
      </c>
      <c r="G1251" s="8">
        <f>ROUND('Criaturas - Base de Dados'!I210*'Sistema de Raridade e Evolução'!E3,0)</f>
        <v>14</v>
      </c>
      <c r="H1251" s="8">
        <f>ROUND('Criaturas - Base de Dados'!J210*'Sistema de Raridade e Evolução'!E3,0)</f>
        <v>12</v>
      </c>
      <c r="I1251" s="8">
        <f>ROUND('Criaturas - Base de Dados'!K210*'Sistema de Raridade e Evolução'!E3,0)</f>
        <v>77</v>
      </c>
      <c r="J1251" s="8">
        <f>'Sistema de Raridade e Evolução'!D3</f>
        <v>6</v>
      </c>
      <c r="K1251" s="8" t="s">
        <v>9</v>
      </c>
      <c r="L1251" s="9">
        <f t="shared" si="19"/>
        <v>57142.86</v>
      </c>
    </row>
    <row r="1252" spans="1:12" ht="14.25" hidden="1" customHeight="1" x14ac:dyDescent="0.3">
      <c r="A1252" s="8">
        <v>1251</v>
      </c>
      <c r="B1252" s="8" t="str">
        <f>'Criaturas - Base de Dados'!B210</f>
        <v>Constelação Arcana</v>
      </c>
      <c r="C1252" s="8" t="str">
        <f>'Criaturas - Base de Dados'!C210</f>
        <v>Astral</v>
      </c>
      <c r="D1252" s="8" t="str">
        <f>'Criaturas - Base de Dados'!D210</f>
        <v>Golem Estelar</v>
      </c>
      <c r="E1252" s="8" t="str">
        <f>'Sistema de Raridade e Evolução'!B4</f>
        <v>Prata</v>
      </c>
      <c r="F1252" s="9">
        <f>ROUND(('Criaturas - Base de Dados'!H210*'Sistema de Raridade e Evolução'!E4)*1000,2)</f>
        <v>144000</v>
      </c>
      <c r="G1252" s="8">
        <f>ROUND('Criaturas - Base de Dados'!I210*'Sistema de Raridade e Evolução'!E4,0)</f>
        <v>84</v>
      </c>
      <c r="H1252" s="8">
        <f>ROUND('Criaturas - Base de Dados'!J210*'Sistema de Raridade e Evolução'!E4,0)</f>
        <v>72</v>
      </c>
      <c r="I1252" s="8">
        <f>ROUND('Criaturas - Base de Dados'!K210*'Sistema de Raridade e Evolução'!E4,0)</f>
        <v>462</v>
      </c>
      <c r="J1252" s="8">
        <f>'Sistema de Raridade e Evolução'!D4</f>
        <v>16</v>
      </c>
      <c r="K1252" s="8" t="s">
        <v>10</v>
      </c>
      <c r="L1252" s="9">
        <f t="shared" si="19"/>
        <v>342857.14</v>
      </c>
    </row>
    <row r="1253" spans="1:12" ht="14.25" hidden="1" customHeight="1" x14ac:dyDescent="0.3">
      <c r="A1253" s="8">
        <v>1252</v>
      </c>
      <c r="B1253" s="8" t="str">
        <f>'Criaturas - Base de Dados'!B210</f>
        <v>Constelação Arcana</v>
      </c>
      <c r="C1253" s="8" t="str">
        <f>'Criaturas - Base de Dados'!C210</f>
        <v>Astral</v>
      </c>
      <c r="D1253" s="8" t="str">
        <f>'Criaturas - Base de Dados'!D210</f>
        <v>Golem Estelar</v>
      </c>
      <c r="E1253" s="8" t="str">
        <f>'Sistema de Raridade e Evolução'!B5</f>
        <v>Ouro</v>
      </c>
      <c r="F1253" s="9">
        <f>ROUND(('Criaturas - Base de Dados'!H210*'Sistema de Raridade e Evolução'!E5)*1000,2)</f>
        <v>432000</v>
      </c>
      <c r="G1253" s="8">
        <f>ROUND('Criaturas - Base de Dados'!I210*'Sistema de Raridade e Evolução'!E5,0)</f>
        <v>252</v>
      </c>
      <c r="H1253" s="8">
        <f>ROUND('Criaturas - Base de Dados'!J210*'Sistema de Raridade e Evolução'!E5,0)</f>
        <v>216</v>
      </c>
      <c r="I1253" s="8">
        <f>ROUND('Criaturas - Base de Dados'!K210*'Sistema de Raridade e Evolução'!E5,0)</f>
        <v>1386</v>
      </c>
      <c r="J1253" s="8">
        <f>'Sistema de Raridade e Evolução'!D5</f>
        <v>31</v>
      </c>
      <c r="K1253" s="8" t="s">
        <v>11</v>
      </c>
      <c r="L1253" s="9">
        <f t="shared" si="19"/>
        <v>1028571.43</v>
      </c>
    </row>
    <row r="1254" spans="1:12" ht="14.25" hidden="1" customHeight="1" x14ac:dyDescent="0.3">
      <c r="A1254" s="8">
        <v>1253</v>
      </c>
      <c r="B1254" s="8" t="str">
        <f>'Criaturas - Base de Dados'!B210</f>
        <v>Constelação Arcana</v>
      </c>
      <c r="C1254" s="8" t="str">
        <f>'Criaturas - Base de Dados'!C210</f>
        <v>Astral</v>
      </c>
      <c r="D1254" s="8" t="str">
        <f>'Criaturas - Base de Dados'!D210</f>
        <v>Golem Estelar</v>
      </c>
      <c r="E1254" s="8" t="str">
        <f>'Sistema de Raridade e Evolução'!B6</f>
        <v>Platina</v>
      </c>
      <c r="F1254" s="9">
        <f>ROUND(('Criaturas - Base de Dados'!H210*'Sistema de Raridade e Evolução'!E6)*1000,2)</f>
        <v>1200000</v>
      </c>
      <c r="G1254" s="8">
        <f>ROUND('Criaturas - Base de Dados'!I210*'Sistema de Raridade e Evolução'!E6,0)</f>
        <v>700</v>
      </c>
      <c r="H1254" s="8">
        <f>ROUND('Criaturas - Base de Dados'!J210*'Sistema de Raridade e Evolução'!E6,0)</f>
        <v>600</v>
      </c>
      <c r="I1254" s="8">
        <f>ROUND('Criaturas - Base de Dados'!K210*'Sistema de Raridade e Evolução'!E6,0)</f>
        <v>3850</v>
      </c>
      <c r="J1254" s="8">
        <f>'Sistema de Raridade e Evolução'!D6</f>
        <v>56</v>
      </c>
      <c r="K1254" s="8" t="s">
        <v>12</v>
      </c>
      <c r="L1254" s="9">
        <f t="shared" si="19"/>
        <v>2857142.86</v>
      </c>
    </row>
    <row r="1255" spans="1:12" ht="14.25" hidden="1" customHeight="1" x14ac:dyDescent="0.3">
      <c r="A1255" s="8">
        <v>1254</v>
      </c>
      <c r="B1255" s="8" t="str">
        <f>'Criaturas - Base de Dados'!B210</f>
        <v>Constelação Arcana</v>
      </c>
      <c r="C1255" s="8" t="str">
        <f>'Criaturas - Base de Dados'!C210</f>
        <v>Astral</v>
      </c>
      <c r="D1255" s="8" t="str">
        <f>'Criaturas - Base de Dados'!D210</f>
        <v>Golem Estelar</v>
      </c>
      <c r="E1255" s="8" t="str">
        <f>'Sistema de Raridade e Evolução'!B7</f>
        <v>Lendário</v>
      </c>
      <c r="F1255" s="9">
        <f>ROUND(('Criaturas - Base de Dados'!H210*'Sistema de Raridade e Evolução'!E7)*1000,2)</f>
        <v>3600000</v>
      </c>
      <c r="G1255" s="8">
        <f>ROUND('Criaturas - Base de Dados'!I210*'Sistema de Raridade e Evolução'!E7,0)</f>
        <v>2100</v>
      </c>
      <c r="H1255" s="8">
        <f>ROUND('Criaturas - Base de Dados'!J210*'Sistema de Raridade e Evolução'!E7,0)</f>
        <v>1800</v>
      </c>
      <c r="I1255" s="8">
        <f>ROUND('Criaturas - Base de Dados'!K210*'Sistema de Raridade e Evolução'!E7,0)</f>
        <v>11550</v>
      </c>
      <c r="J1255" s="8">
        <f>'Sistema de Raridade e Evolução'!D7</f>
        <v>91</v>
      </c>
      <c r="K1255" s="8" t="s">
        <v>925</v>
      </c>
      <c r="L1255" s="9">
        <f t="shared" si="19"/>
        <v>8571428.5700000003</v>
      </c>
    </row>
    <row r="1256" spans="1:12" ht="14.25" customHeight="1" x14ac:dyDescent="0.3">
      <c r="A1256" s="8">
        <v>1255</v>
      </c>
      <c r="B1256" s="8" t="str">
        <f>'Criaturas - Base de Dados'!B211</f>
        <v>Constelação Arcana</v>
      </c>
      <c r="C1256" s="8" t="str">
        <f>'Criaturas - Base de Dados'!C211</f>
        <v>Astral</v>
      </c>
      <c r="D1256" s="8" t="str">
        <f>'Criaturas - Base de Dados'!D211</f>
        <v>Nebulosa Viva</v>
      </c>
      <c r="E1256" s="8" t="str">
        <f>'Sistema de Raridade e Evolução'!B2</f>
        <v>Default</v>
      </c>
      <c r="F1256" s="9" t="e">
        <f>ROUND(('Criaturas - Base de Dados'!H211*'Sistema de Raridade e Evolução'!E2)*1000,2)</f>
        <v>#VALUE!</v>
      </c>
      <c r="G1256" s="8" t="e">
        <f>ROUND('Criaturas - Base de Dados'!I211*'Sistema de Raridade e Evolução'!E2,0)</f>
        <v>#VALUE!</v>
      </c>
      <c r="H1256" s="8" t="e">
        <f>ROUND('Criaturas - Base de Dados'!J211*'Sistema de Raridade e Evolução'!E2,0)</f>
        <v>#VALUE!</v>
      </c>
      <c r="I1256" s="8" t="e">
        <f>ROUND('Criaturas - Base de Dados'!K211*'Sistema de Raridade e Evolução'!E2,0)</f>
        <v>#VALUE!</v>
      </c>
      <c r="J1256" s="8">
        <f>'Sistema de Raridade e Evolução'!D2</f>
        <v>1</v>
      </c>
      <c r="K1256" s="8" t="s">
        <v>8</v>
      </c>
      <c r="L1256" s="9" t="e">
        <f t="shared" si="19"/>
        <v>#VALUE!</v>
      </c>
    </row>
    <row r="1257" spans="1:12" ht="14.25" hidden="1" customHeight="1" x14ac:dyDescent="0.3">
      <c r="A1257" s="8">
        <v>1256</v>
      </c>
      <c r="B1257" s="8" t="str">
        <f>'Criaturas - Base de Dados'!B211</f>
        <v>Constelação Arcana</v>
      </c>
      <c r="C1257" s="8" t="str">
        <f>'Criaturas - Base de Dados'!C211</f>
        <v>Astral</v>
      </c>
      <c r="D1257" s="8" t="str">
        <f>'Criaturas - Base de Dados'!D211</f>
        <v>Nebulosa Viva</v>
      </c>
      <c r="E1257" s="8" t="str">
        <f>'Sistema de Raridade e Evolução'!B3</f>
        <v>Bronze</v>
      </c>
      <c r="F1257" s="9">
        <f>ROUND(('Criaturas - Base de Dados'!H211*'Sistema de Raridade e Evolução'!E3)*1000,2)</f>
        <v>26000</v>
      </c>
      <c r="G1257" s="8">
        <f>ROUND('Criaturas - Base de Dados'!I211*'Sistema de Raridade e Evolução'!E3,0)</f>
        <v>16</v>
      </c>
      <c r="H1257" s="8">
        <f>ROUND('Criaturas - Base de Dados'!J211*'Sistema de Raridade e Evolução'!E3,0)</f>
        <v>13</v>
      </c>
      <c r="I1257" s="8">
        <f>ROUND('Criaturas - Base de Dados'!K211*'Sistema de Raridade e Evolução'!E3,0)</f>
        <v>83</v>
      </c>
      <c r="J1257" s="8">
        <f>'Sistema de Raridade e Evolução'!D3</f>
        <v>6</v>
      </c>
      <c r="K1257" s="8" t="s">
        <v>9</v>
      </c>
      <c r="L1257" s="9">
        <f t="shared" si="19"/>
        <v>61904.76</v>
      </c>
    </row>
    <row r="1258" spans="1:12" ht="14.25" hidden="1" customHeight="1" x14ac:dyDescent="0.3">
      <c r="A1258" s="8">
        <v>1257</v>
      </c>
      <c r="B1258" s="8" t="str">
        <f>'Criaturas - Base de Dados'!B211</f>
        <v>Constelação Arcana</v>
      </c>
      <c r="C1258" s="8" t="str">
        <f>'Criaturas - Base de Dados'!C211</f>
        <v>Astral</v>
      </c>
      <c r="D1258" s="8" t="str">
        <f>'Criaturas - Base de Dados'!D211</f>
        <v>Nebulosa Viva</v>
      </c>
      <c r="E1258" s="8" t="str">
        <f>'Sistema de Raridade e Evolução'!B4</f>
        <v>Prata</v>
      </c>
      <c r="F1258" s="9">
        <f>ROUND(('Criaturas - Base de Dados'!H211*'Sistema de Raridade e Evolução'!E4)*1000,2)</f>
        <v>156000</v>
      </c>
      <c r="G1258" s="8">
        <f>ROUND('Criaturas - Base de Dados'!I211*'Sistema de Raridade e Evolução'!E4,0)</f>
        <v>96</v>
      </c>
      <c r="H1258" s="8">
        <f>ROUND('Criaturas - Base de Dados'!J211*'Sistema de Raridade e Evolução'!E4,0)</f>
        <v>78</v>
      </c>
      <c r="I1258" s="8">
        <f>ROUND('Criaturas - Base de Dados'!K211*'Sistema de Raridade e Evolução'!E4,0)</f>
        <v>498</v>
      </c>
      <c r="J1258" s="8">
        <f>'Sistema de Raridade e Evolução'!D4</f>
        <v>16</v>
      </c>
      <c r="K1258" s="8" t="s">
        <v>10</v>
      </c>
      <c r="L1258" s="9">
        <f t="shared" si="19"/>
        <v>371428.57</v>
      </c>
    </row>
    <row r="1259" spans="1:12" ht="14.25" hidden="1" customHeight="1" x14ac:dyDescent="0.3">
      <c r="A1259" s="8">
        <v>1258</v>
      </c>
      <c r="B1259" s="8" t="str">
        <f>'Criaturas - Base de Dados'!B211</f>
        <v>Constelação Arcana</v>
      </c>
      <c r="C1259" s="8" t="str">
        <f>'Criaturas - Base de Dados'!C211</f>
        <v>Astral</v>
      </c>
      <c r="D1259" s="8" t="str">
        <f>'Criaturas - Base de Dados'!D211</f>
        <v>Nebulosa Viva</v>
      </c>
      <c r="E1259" s="8" t="str">
        <f>'Sistema de Raridade e Evolução'!B5</f>
        <v>Ouro</v>
      </c>
      <c r="F1259" s="9">
        <f>ROUND(('Criaturas - Base de Dados'!H211*'Sistema de Raridade e Evolução'!E5)*1000,2)</f>
        <v>468000</v>
      </c>
      <c r="G1259" s="8">
        <f>ROUND('Criaturas - Base de Dados'!I211*'Sistema de Raridade e Evolução'!E5,0)</f>
        <v>288</v>
      </c>
      <c r="H1259" s="8">
        <f>ROUND('Criaturas - Base de Dados'!J211*'Sistema de Raridade e Evolução'!E5,0)</f>
        <v>234</v>
      </c>
      <c r="I1259" s="8">
        <f>ROUND('Criaturas - Base de Dados'!K211*'Sistema de Raridade e Evolução'!E5,0)</f>
        <v>1494</v>
      </c>
      <c r="J1259" s="8">
        <f>'Sistema de Raridade e Evolução'!D5</f>
        <v>31</v>
      </c>
      <c r="K1259" s="8" t="s">
        <v>11</v>
      </c>
      <c r="L1259" s="9">
        <f t="shared" si="19"/>
        <v>1114285.71</v>
      </c>
    </row>
    <row r="1260" spans="1:12" ht="14.25" hidden="1" customHeight="1" x14ac:dyDescent="0.3">
      <c r="A1260" s="8">
        <v>1259</v>
      </c>
      <c r="B1260" s="8" t="str">
        <f>'Criaturas - Base de Dados'!B211</f>
        <v>Constelação Arcana</v>
      </c>
      <c r="C1260" s="8" t="str">
        <f>'Criaturas - Base de Dados'!C211</f>
        <v>Astral</v>
      </c>
      <c r="D1260" s="8" t="str">
        <f>'Criaturas - Base de Dados'!D211</f>
        <v>Nebulosa Viva</v>
      </c>
      <c r="E1260" s="8" t="str">
        <f>'Sistema de Raridade e Evolução'!B6</f>
        <v>Platina</v>
      </c>
      <c r="F1260" s="9">
        <f>ROUND(('Criaturas - Base de Dados'!H211*'Sistema de Raridade e Evolução'!E6)*1000,2)</f>
        <v>1300000</v>
      </c>
      <c r="G1260" s="8">
        <f>ROUND('Criaturas - Base de Dados'!I211*'Sistema de Raridade e Evolução'!E6,0)</f>
        <v>800</v>
      </c>
      <c r="H1260" s="8">
        <f>ROUND('Criaturas - Base de Dados'!J211*'Sistema de Raridade e Evolução'!E6,0)</f>
        <v>650</v>
      </c>
      <c r="I1260" s="8">
        <f>ROUND('Criaturas - Base de Dados'!K211*'Sistema de Raridade e Evolução'!E6,0)</f>
        <v>4150</v>
      </c>
      <c r="J1260" s="8">
        <f>'Sistema de Raridade e Evolução'!D6</f>
        <v>56</v>
      </c>
      <c r="K1260" s="8" t="s">
        <v>12</v>
      </c>
      <c r="L1260" s="9">
        <f t="shared" si="19"/>
        <v>3095238.1</v>
      </c>
    </row>
    <row r="1261" spans="1:12" ht="14.25" hidden="1" customHeight="1" x14ac:dyDescent="0.3">
      <c r="A1261" s="8">
        <v>1260</v>
      </c>
      <c r="B1261" s="8" t="str">
        <f>'Criaturas - Base de Dados'!B211</f>
        <v>Constelação Arcana</v>
      </c>
      <c r="C1261" s="8" t="str">
        <f>'Criaturas - Base de Dados'!C211</f>
        <v>Astral</v>
      </c>
      <c r="D1261" s="8" t="str">
        <f>'Criaturas - Base de Dados'!D211</f>
        <v>Nebulosa Viva</v>
      </c>
      <c r="E1261" s="8" t="str">
        <f>'Sistema de Raridade e Evolução'!B7</f>
        <v>Lendário</v>
      </c>
      <c r="F1261" s="9">
        <f>ROUND(('Criaturas - Base de Dados'!H211*'Sistema de Raridade e Evolução'!E7)*1000,2)</f>
        <v>3900000</v>
      </c>
      <c r="G1261" s="8">
        <f>ROUND('Criaturas - Base de Dados'!I211*'Sistema de Raridade e Evolução'!E7,0)</f>
        <v>2400</v>
      </c>
      <c r="H1261" s="8">
        <f>ROUND('Criaturas - Base de Dados'!J211*'Sistema de Raridade e Evolução'!E7,0)</f>
        <v>1950</v>
      </c>
      <c r="I1261" s="8">
        <f>ROUND('Criaturas - Base de Dados'!K211*'Sistema de Raridade e Evolução'!E7,0)</f>
        <v>12450</v>
      </c>
      <c r="J1261" s="8">
        <f>'Sistema de Raridade e Evolução'!D7</f>
        <v>91</v>
      </c>
      <c r="K1261" s="8" t="s">
        <v>925</v>
      </c>
      <c r="L1261" s="9">
        <f t="shared" si="19"/>
        <v>9285714.2899999991</v>
      </c>
    </row>
    <row r="1262" spans="1:12" ht="14.25" customHeight="1" x14ac:dyDescent="0.3">
      <c r="A1262" s="8">
        <v>1261</v>
      </c>
      <c r="B1262" s="8" t="str">
        <f>'Criaturas - Base de Dados'!B212</f>
        <v>Constelação Arcana</v>
      </c>
      <c r="C1262" s="8" t="str">
        <f>'Criaturas - Base de Dados'!C212</f>
        <v>Astral</v>
      </c>
      <c r="D1262" s="8" t="str">
        <f>'Criaturas - Base de Dados'!D212</f>
        <v>Guardião da Via Láctea</v>
      </c>
      <c r="E1262" s="8" t="str">
        <f>'Sistema de Raridade e Evolução'!B2</f>
        <v>Default</v>
      </c>
      <c r="F1262" s="9" t="e">
        <f>ROUND(('Criaturas - Base de Dados'!H212*'Sistema de Raridade e Evolução'!E2)*1000,2)</f>
        <v>#VALUE!</v>
      </c>
      <c r="G1262" s="8" t="e">
        <f>ROUND('Criaturas - Base de Dados'!I212*'Sistema de Raridade e Evolução'!E2,0)</f>
        <v>#VALUE!</v>
      </c>
      <c r="H1262" s="8" t="e">
        <f>ROUND('Criaturas - Base de Dados'!J212*'Sistema de Raridade e Evolução'!E2,0)</f>
        <v>#VALUE!</v>
      </c>
      <c r="I1262" s="8" t="e">
        <f>ROUND('Criaturas - Base de Dados'!K212*'Sistema de Raridade e Evolução'!E2,0)</f>
        <v>#VALUE!</v>
      </c>
      <c r="J1262" s="8">
        <f>'Sistema de Raridade e Evolução'!D2</f>
        <v>1</v>
      </c>
      <c r="K1262" s="8" t="s">
        <v>8</v>
      </c>
      <c r="L1262" s="9" t="e">
        <f t="shared" si="19"/>
        <v>#VALUE!</v>
      </c>
    </row>
    <row r="1263" spans="1:12" ht="14.25" hidden="1" customHeight="1" x14ac:dyDescent="0.3">
      <c r="A1263" s="8">
        <v>1262</v>
      </c>
      <c r="B1263" s="8" t="str">
        <f>'Criaturas - Base de Dados'!B212</f>
        <v>Constelação Arcana</v>
      </c>
      <c r="C1263" s="8" t="str">
        <f>'Criaturas - Base de Dados'!C212</f>
        <v>Astral</v>
      </c>
      <c r="D1263" s="8" t="str">
        <f>'Criaturas - Base de Dados'!D212</f>
        <v>Guardião da Via Láctea</v>
      </c>
      <c r="E1263" s="8" t="str">
        <f>'Sistema de Raridade e Evolução'!B3</f>
        <v>Bronze</v>
      </c>
      <c r="F1263" s="9">
        <f>ROUND(('Criaturas - Base de Dados'!H212*'Sistema de Raridade e Evolução'!E3)*1000,2)</f>
        <v>28000</v>
      </c>
      <c r="G1263" s="8">
        <f>ROUND('Criaturas - Base de Dados'!I212*'Sistema de Raridade e Evolução'!E3,0)</f>
        <v>17</v>
      </c>
      <c r="H1263" s="8">
        <f>ROUND('Criaturas - Base de Dados'!J212*'Sistema de Raridade e Evolução'!E3,0)</f>
        <v>14</v>
      </c>
      <c r="I1263" s="8">
        <f>ROUND('Criaturas - Base de Dados'!K212*'Sistema de Raridade e Evolução'!E3,0)</f>
        <v>90</v>
      </c>
      <c r="J1263" s="8">
        <f>'Sistema de Raridade e Evolução'!D3</f>
        <v>6</v>
      </c>
      <c r="K1263" s="8" t="s">
        <v>9</v>
      </c>
      <c r="L1263" s="9">
        <f t="shared" si="19"/>
        <v>66666.67</v>
      </c>
    </row>
    <row r="1264" spans="1:12" ht="14.25" hidden="1" customHeight="1" x14ac:dyDescent="0.3">
      <c r="A1264" s="8">
        <v>1263</v>
      </c>
      <c r="B1264" s="8" t="str">
        <f>'Criaturas - Base de Dados'!B212</f>
        <v>Constelação Arcana</v>
      </c>
      <c r="C1264" s="8" t="str">
        <f>'Criaturas - Base de Dados'!C212</f>
        <v>Astral</v>
      </c>
      <c r="D1264" s="8" t="str">
        <f>'Criaturas - Base de Dados'!D212</f>
        <v>Guardião da Via Láctea</v>
      </c>
      <c r="E1264" s="8" t="str">
        <f>'Sistema de Raridade e Evolução'!B4</f>
        <v>Prata</v>
      </c>
      <c r="F1264" s="9">
        <f>ROUND(('Criaturas - Base de Dados'!H212*'Sistema de Raridade e Evolução'!E4)*1000,2)</f>
        <v>168000</v>
      </c>
      <c r="G1264" s="8">
        <f>ROUND('Criaturas - Base de Dados'!I212*'Sistema de Raridade e Evolução'!E4,0)</f>
        <v>102</v>
      </c>
      <c r="H1264" s="8">
        <f>ROUND('Criaturas - Base de Dados'!J212*'Sistema de Raridade e Evolução'!E4,0)</f>
        <v>84</v>
      </c>
      <c r="I1264" s="8">
        <f>ROUND('Criaturas - Base de Dados'!K212*'Sistema de Raridade e Evolução'!E4,0)</f>
        <v>540</v>
      </c>
      <c r="J1264" s="8">
        <f>'Sistema de Raridade e Evolução'!D4</f>
        <v>16</v>
      </c>
      <c r="K1264" s="8" t="s">
        <v>10</v>
      </c>
      <c r="L1264" s="9">
        <f t="shared" si="19"/>
        <v>400000</v>
      </c>
    </row>
    <row r="1265" spans="1:12" ht="14.25" hidden="1" customHeight="1" x14ac:dyDescent="0.3">
      <c r="A1265" s="8">
        <v>1264</v>
      </c>
      <c r="B1265" s="8" t="str">
        <f>'Criaturas - Base de Dados'!B212</f>
        <v>Constelação Arcana</v>
      </c>
      <c r="C1265" s="8" t="str">
        <f>'Criaturas - Base de Dados'!C212</f>
        <v>Astral</v>
      </c>
      <c r="D1265" s="8" t="str">
        <f>'Criaturas - Base de Dados'!D212</f>
        <v>Guardião da Via Láctea</v>
      </c>
      <c r="E1265" s="8" t="str">
        <f>'Sistema de Raridade e Evolução'!B5</f>
        <v>Ouro</v>
      </c>
      <c r="F1265" s="9">
        <f>ROUND(('Criaturas - Base de Dados'!H212*'Sistema de Raridade e Evolução'!E5)*1000,2)</f>
        <v>504000</v>
      </c>
      <c r="G1265" s="8">
        <f>ROUND('Criaturas - Base de Dados'!I212*'Sistema de Raridade e Evolução'!E5,0)</f>
        <v>306</v>
      </c>
      <c r="H1265" s="8">
        <f>ROUND('Criaturas - Base de Dados'!J212*'Sistema de Raridade e Evolução'!E5,0)</f>
        <v>252</v>
      </c>
      <c r="I1265" s="8">
        <f>ROUND('Criaturas - Base de Dados'!K212*'Sistema de Raridade e Evolução'!E5,0)</f>
        <v>1620</v>
      </c>
      <c r="J1265" s="8">
        <f>'Sistema de Raridade e Evolução'!D5</f>
        <v>31</v>
      </c>
      <c r="K1265" s="8" t="s">
        <v>11</v>
      </c>
      <c r="L1265" s="9">
        <f t="shared" si="19"/>
        <v>1200000</v>
      </c>
    </row>
    <row r="1266" spans="1:12" ht="14.25" hidden="1" customHeight="1" x14ac:dyDescent="0.3">
      <c r="A1266" s="8">
        <v>1265</v>
      </c>
      <c r="B1266" s="8" t="str">
        <f>'Criaturas - Base de Dados'!B212</f>
        <v>Constelação Arcana</v>
      </c>
      <c r="C1266" s="8" t="str">
        <f>'Criaturas - Base de Dados'!C212</f>
        <v>Astral</v>
      </c>
      <c r="D1266" s="8" t="str">
        <f>'Criaturas - Base de Dados'!D212</f>
        <v>Guardião da Via Láctea</v>
      </c>
      <c r="E1266" s="8" t="str">
        <f>'Sistema de Raridade e Evolução'!B6</f>
        <v>Platina</v>
      </c>
      <c r="F1266" s="9">
        <f>ROUND(('Criaturas - Base de Dados'!H212*'Sistema de Raridade e Evolução'!E6)*1000,2)</f>
        <v>1400000</v>
      </c>
      <c r="G1266" s="8">
        <f>ROUND('Criaturas - Base de Dados'!I212*'Sistema de Raridade e Evolução'!E6,0)</f>
        <v>850</v>
      </c>
      <c r="H1266" s="8">
        <f>ROUND('Criaturas - Base de Dados'!J212*'Sistema de Raridade e Evolução'!E6,0)</f>
        <v>700</v>
      </c>
      <c r="I1266" s="8">
        <f>ROUND('Criaturas - Base de Dados'!K212*'Sistema de Raridade e Evolução'!E6,0)</f>
        <v>4500</v>
      </c>
      <c r="J1266" s="8">
        <f>'Sistema de Raridade e Evolução'!D6</f>
        <v>56</v>
      </c>
      <c r="K1266" s="8" t="s">
        <v>12</v>
      </c>
      <c r="L1266" s="9">
        <f t="shared" si="19"/>
        <v>3333333.33</v>
      </c>
    </row>
    <row r="1267" spans="1:12" ht="14.25" hidden="1" customHeight="1" x14ac:dyDescent="0.3">
      <c r="A1267" s="8">
        <v>1266</v>
      </c>
      <c r="B1267" s="8" t="str">
        <f>'Criaturas - Base de Dados'!B212</f>
        <v>Constelação Arcana</v>
      </c>
      <c r="C1267" s="8" t="str">
        <f>'Criaturas - Base de Dados'!C212</f>
        <v>Astral</v>
      </c>
      <c r="D1267" s="8" t="str">
        <f>'Criaturas - Base de Dados'!D212</f>
        <v>Guardião da Via Láctea</v>
      </c>
      <c r="E1267" s="8" t="str">
        <f>'Sistema de Raridade e Evolução'!B7</f>
        <v>Lendário</v>
      </c>
      <c r="F1267" s="9">
        <f>ROUND(('Criaturas - Base de Dados'!H212*'Sistema de Raridade e Evolução'!E7)*1000,2)</f>
        <v>4200000</v>
      </c>
      <c r="G1267" s="8">
        <f>ROUND('Criaturas - Base de Dados'!I212*'Sistema de Raridade e Evolução'!E7,0)</f>
        <v>2550</v>
      </c>
      <c r="H1267" s="8">
        <f>ROUND('Criaturas - Base de Dados'!J212*'Sistema de Raridade e Evolução'!E7,0)</f>
        <v>2100</v>
      </c>
      <c r="I1267" s="8">
        <f>ROUND('Criaturas - Base de Dados'!K212*'Sistema de Raridade e Evolução'!E7,0)</f>
        <v>13500</v>
      </c>
      <c r="J1267" s="8">
        <f>'Sistema de Raridade e Evolução'!D7</f>
        <v>91</v>
      </c>
      <c r="K1267" s="8" t="s">
        <v>925</v>
      </c>
      <c r="L1267" s="9">
        <f t="shared" si="19"/>
        <v>10000000</v>
      </c>
    </row>
    <row r="1268" spans="1:12" ht="14.25" customHeight="1" x14ac:dyDescent="0.3">
      <c r="A1268" s="8">
        <v>1267</v>
      </c>
      <c r="B1268" s="8" t="str">
        <f>'Criaturas - Base de Dados'!B213</f>
        <v>Constelação Arcana</v>
      </c>
      <c r="C1268" s="8" t="str">
        <f>'Criaturas - Base de Dados'!C213</f>
        <v>Astral</v>
      </c>
      <c r="D1268" s="8" t="str">
        <f>'Criaturas - Base de Dados'!D213</f>
        <v>Sombra Cósmica</v>
      </c>
      <c r="E1268" s="8" t="str">
        <f>'Sistema de Raridade e Evolução'!B2</f>
        <v>Default</v>
      </c>
      <c r="F1268" s="9" t="e">
        <f>ROUND(('Criaturas - Base de Dados'!H213*'Sistema de Raridade e Evolução'!E2)*1000,2)</f>
        <v>#VALUE!</v>
      </c>
      <c r="G1268" s="8" t="e">
        <f>ROUND('Criaturas - Base de Dados'!I213*'Sistema de Raridade e Evolução'!E2,0)</f>
        <v>#VALUE!</v>
      </c>
      <c r="H1268" s="8" t="e">
        <f>ROUND('Criaturas - Base de Dados'!J213*'Sistema de Raridade e Evolução'!E2,0)</f>
        <v>#VALUE!</v>
      </c>
      <c r="I1268" s="8" t="e">
        <f>ROUND('Criaturas - Base de Dados'!K213*'Sistema de Raridade e Evolução'!E2,0)</f>
        <v>#VALUE!</v>
      </c>
      <c r="J1268" s="8">
        <f>'Sistema de Raridade e Evolução'!D2</f>
        <v>1</v>
      </c>
      <c r="K1268" s="8" t="s">
        <v>8</v>
      </c>
      <c r="L1268" s="9" t="e">
        <f t="shared" si="19"/>
        <v>#VALUE!</v>
      </c>
    </row>
    <row r="1269" spans="1:12" ht="14.25" hidden="1" customHeight="1" x14ac:dyDescent="0.3">
      <c r="A1269" s="8">
        <v>1268</v>
      </c>
      <c r="B1269" s="8" t="str">
        <f>'Criaturas - Base de Dados'!B213</f>
        <v>Constelação Arcana</v>
      </c>
      <c r="C1269" s="8" t="str">
        <f>'Criaturas - Base de Dados'!C213</f>
        <v>Astral</v>
      </c>
      <c r="D1269" s="8" t="str">
        <f>'Criaturas - Base de Dados'!D213</f>
        <v>Sombra Cósmica</v>
      </c>
      <c r="E1269" s="8" t="str">
        <f>'Sistema de Raridade e Evolução'!B3</f>
        <v>Bronze</v>
      </c>
      <c r="F1269" s="9">
        <f>ROUND(('Criaturas - Base de Dados'!H213*'Sistema de Raridade e Evolução'!E3)*1000,2)</f>
        <v>30000</v>
      </c>
      <c r="G1269" s="8">
        <f>ROUND('Criaturas - Base de Dados'!I213*'Sistema de Raridade e Evolução'!E3,0)</f>
        <v>18</v>
      </c>
      <c r="H1269" s="8">
        <f>ROUND('Criaturas - Base de Dados'!J213*'Sistema de Raridade e Evolução'!E3,0)</f>
        <v>15</v>
      </c>
      <c r="I1269" s="8">
        <f>ROUND('Criaturas - Base de Dados'!K213*'Sistema de Raridade e Evolução'!E3,0)</f>
        <v>96</v>
      </c>
      <c r="J1269" s="8">
        <f>'Sistema de Raridade e Evolução'!D3</f>
        <v>6</v>
      </c>
      <c r="K1269" s="8" t="s">
        <v>9</v>
      </c>
      <c r="L1269" s="9">
        <f t="shared" si="19"/>
        <v>71428.570000000007</v>
      </c>
    </row>
    <row r="1270" spans="1:12" ht="14.25" hidden="1" customHeight="1" x14ac:dyDescent="0.3">
      <c r="A1270" s="8">
        <v>1269</v>
      </c>
      <c r="B1270" s="8" t="str">
        <f>'Criaturas - Base de Dados'!B213</f>
        <v>Constelação Arcana</v>
      </c>
      <c r="C1270" s="8" t="str">
        <f>'Criaturas - Base de Dados'!C213</f>
        <v>Astral</v>
      </c>
      <c r="D1270" s="8" t="str">
        <f>'Criaturas - Base de Dados'!D213</f>
        <v>Sombra Cósmica</v>
      </c>
      <c r="E1270" s="8" t="str">
        <f>'Sistema de Raridade e Evolução'!B4</f>
        <v>Prata</v>
      </c>
      <c r="F1270" s="9">
        <f>ROUND(('Criaturas - Base de Dados'!H213*'Sistema de Raridade e Evolução'!E4)*1000,2)</f>
        <v>180000</v>
      </c>
      <c r="G1270" s="8">
        <f>ROUND('Criaturas - Base de Dados'!I213*'Sistema de Raridade e Evolução'!E4,0)</f>
        <v>108</v>
      </c>
      <c r="H1270" s="8">
        <f>ROUND('Criaturas - Base de Dados'!J213*'Sistema de Raridade e Evolução'!E4,0)</f>
        <v>90</v>
      </c>
      <c r="I1270" s="8">
        <f>ROUND('Criaturas - Base de Dados'!K213*'Sistema de Raridade e Evolução'!E4,0)</f>
        <v>576</v>
      </c>
      <c r="J1270" s="8">
        <f>'Sistema de Raridade e Evolução'!D4</f>
        <v>16</v>
      </c>
      <c r="K1270" s="8" t="s">
        <v>10</v>
      </c>
      <c r="L1270" s="9">
        <f t="shared" si="19"/>
        <v>428571.43</v>
      </c>
    </row>
    <row r="1271" spans="1:12" ht="14.25" hidden="1" customHeight="1" x14ac:dyDescent="0.3">
      <c r="A1271" s="8">
        <v>1270</v>
      </c>
      <c r="B1271" s="8" t="str">
        <f>'Criaturas - Base de Dados'!B213</f>
        <v>Constelação Arcana</v>
      </c>
      <c r="C1271" s="8" t="str">
        <f>'Criaturas - Base de Dados'!C213</f>
        <v>Astral</v>
      </c>
      <c r="D1271" s="8" t="str">
        <f>'Criaturas - Base de Dados'!D213</f>
        <v>Sombra Cósmica</v>
      </c>
      <c r="E1271" s="8" t="str">
        <f>'Sistema de Raridade e Evolução'!B5</f>
        <v>Ouro</v>
      </c>
      <c r="F1271" s="9">
        <f>ROUND(('Criaturas - Base de Dados'!H213*'Sistema de Raridade e Evolução'!E5)*1000,2)</f>
        <v>540000</v>
      </c>
      <c r="G1271" s="8">
        <f>ROUND('Criaturas - Base de Dados'!I213*'Sistema de Raridade e Evolução'!E5,0)</f>
        <v>324</v>
      </c>
      <c r="H1271" s="8">
        <f>ROUND('Criaturas - Base de Dados'!J213*'Sistema de Raridade e Evolução'!E5,0)</f>
        <v>270</v>
      </c>
      <c r="I1271" s="8">
        <f>ROUND('Criaturas - Base de Dados'!K213*'Sistema de Raridade e Evolução'!E5,0)</f>
        <v>1728</v>
      </c>
      <c r="J1271" s="8">
        <f>'Sistema de Raridade e Evolução'!D5</f>
        <v>31</v>
      </c>
      <c r="K1271" s="8" t="s">
        <v>11</v>
      </c>
      <c r="L1271" s="9">
        <f t="shared" si="19"/>
        <v>1285714.29</v>
      </c>
    </row>
    <row r="1272" spans="1:12" ht="14.25" hidden="1" customHeight="1" x14ac:dyDescent="0.3">
      <c r="A1272" s="8">
        <v>1271</v>
      </c>
      <c r="B1272" s="8" t="str">
        <f>'Criaturas - Base de Dados'!B213</f>
        <v>Constelação Arcana</v>
      </c>
      <c r="C1272" s="8" t="str">
        <f>'Criaturas - Base de Dados'!C213</f>
        <v>Astral</v>
      </c>
      <c r="D1272" s="8" t="str">
        <f>'Criaturas - Base de Dados'!D213</f>
        <v>Sombra Cósmica</v>
      </c>
      <c r="E1272" s="8" t="str">
        <f>'Sistema de Raridade e Evolução'!B6</f>
        <v>Platina</v>
      </c>
      <c r="F1272" s="9">
        <f>ROUND(('Criaturas - Base de Dados'!H213*'Sistema de Raridade e Evolução'!E6)*1000,2)</f>
        <v>1500000</v>
      </c>
      <c r="G1272" s="8">
        <f>ROUND('Criaturas - Base de Dados'!I213*'Sistema de Raridade e Evolução'!E6,0)</f>
        <v>900</v>
      </c>
      <c r="H1272" s="8">
        <f>ROUND('Criaturas - Base de Dados'!J213*'Sistema de Raridade e Evolução'!E6,0)</f>
        <v>750</v>
      </c>
      <c r="I1272" s="8">
        <f>ROUND('Criaturas - Base de Dados'!K213*'Sistema de Raridade e Evolução'!E6,0)</f>
        <v>4800</v>
      </c>
      <c r="J1272" s="8">
        <f>'Sistema de Raridade e Evolução'!D6</f>
        <v>56</v>
      </c>
      <c r="K1272" s="8" t="s">
        <v>12</v>
      </c>
      <c r="L1272" s="9">
        <f t="shared" si="19"/>
        <v>3571428.57</v>
      </c>
    </row>
    <row r="1273" spans="1:12" ht="14.25" hidden="1" customHeight="1" x14ac:dyDescent="0.3">
      <c r="A1273" s="8">
        <v>1272</v>
      </c>
      <c r="B1273" s="8" t="str">
        <f>'Criaturas - Base de Dados'!B213</f>
        <v>Constelação Arcana</v>
      </c>
      <c r="C1273" s="8" t="str">
        <f>'Criaturas - Base de Dados'!C213</f>
        <v>Astral</v>
      </c>
      <c r="D1273" s="8" t="str">
        <f>'Criaturas - Base de Dados'!D213</f>
        <v>Sombra Cósmica</v>
      </c>
      <c r="E1273" s="8" t="str">
        <f>'Sistema de Raridade e Evolução'!B7</f>
        <v>Lendário</v>
      </c>
      <c r="F1273" s="9">
        <f>ROUND(('Criaturas - Base de Dados'!H213*'Sistema de Raridade e Evolução'!E7)*1000,2)</f>
        <v>4500000</v>
      </c>
      <c r="G1273" s="8">
        <f>ROUND('Criaturas - Base de Dados'!I213*'Sistema de Raridade e Evolução'!E7,0)</f>
        <v>2700</v>
      </c>
      <c r="H1273" s="8">
        <f>ROUND('Criaturas - Base de Dados'!J213*'Sistema de Raridade e Evolução'!E7,0)</f>
        <v>2250</v>
      </c>
      <c r="I1273" s="8">
        <f>ROUND('Criaturas - Base de Dados'!K213*'Sistema de Raridade e Evolução'!E7,0)</f>
        <v>14400</v>
      </c>
      <c r="J1273" s="8">
        <f>'Sistema de Raridade e Evolução'!D7</f>
        <v>91</v>
      </c>
      <c r="K1273" s="8" t="s">
        <v>925</v>
      </c>
      <c r="L1273" s="9">
        <f t="shared" si="19"/>
        <v>10714285.710000001</v>
      </c>
    </row>
    <row r="1274" spans="1:12" ht="14.25" customHeight="1" x14ac:dyDescent="0.3">
      <c r="A1274" s="8">
        <v>1273</v>
      </c>
      <c r="B1274" s="8" t="str">
        <f>'Criaturas - Base de Dados'!B214</f>
        <v>Constelação Arcana</v>
      </c>
      <c r="C1274" s="8" t="str">
        <f>'Criaturas - Base de Dados'!C214</f>
        <v>Astral</v>
      </c>
      <c r="D1274" s="8" t="str">
        <f>'Criaturas - Base de Dados'!D214</f>
        <v>Cometa Vivo</v>
      </c>
      <c r="E1274" s="8" t="str">
        <f>'Sistema de Raridade e Evolução'!B2</f>
        <v>Default</v>
      </c>
      <c r="F1274" s="9" t="e">
        <f>ROUND(('Criaturas - Base de Dados'!H214*'Sistema de Raridade e Evolução'!E2)*1000,2)</f>
        <v>#VALUE!</v>
      </c>
      <c r="G1274" s="8" t="e">
        <f>ROUND('Criaturas - Base de Dados'!I214*'Sistema de Raridade e Evolução'!E2,0)</f>
        <v>#VALUE!</v>
      </c>
      <c r="H1274" s="8" t="e">
        <f>ROUND('Criaturas - Base de Dados'!J214*'Sistema de Raridade e Evolução'!E2,0)</f>
        <v>#VALUE!</v>
      </c>
      <c r="I1274" s="8" t="e">
        <f>ROUND('Criaturas - Base de Dados'!K214*'Sistema de Raridade e Evolução'!E2,0)</f>
        <v>#VALUE!</v>
      </c>
      <c r="J1274" s="8">
        <f>'Sistema de Raridade e Evolução'!D2</f>
        <v>1</v>
      </c>
      <c r="K1274" s="8" t="s">
        <v>8</v>
      </c>
      <c r="L1274" s="9" t="e">
        <f t="shared" si="19"/>
        <v>#VALUE!</v>
      </c>
    </row>
    <row r="1275" spans="1:12" ht="14.25" hidden="1" customHeight="1" x14ac:dyDescent="0.3">
      <c r="A1275" s="8">
        <v>1274</v>
      </c>
      <c r="B1275" s="8" t="str">
        <f>'Criaturas - Base de Dados'!B214</f>
        <v>Constelação Arcana</v>
      </c>
      <c r="C1275" s="8" t="str">
        <f>'Criaturas - Base de Dados'!C214</f>
        <v>Astral</v>
      </c>
      <c r="D1275" s="8" t="str">
        <f>'Criaturas - Base de Dados'!D214</f>
        <v>Cometa Vivo</v>
      </c>
      <c r="E1275" s="8" t="str">
        <f>'Sistema de Raridade e Evolução'!B3</f>
        <v>Bronze</v>
      </c>
      <c r="F1275" s="9">
        <f>ROUND(('Criaturas - Base de Dados'!H214*'Sistema de Raridade e Evolução'!E3)*1000,2)</f>
        <v>34000</v>
      </c>
      <c r="G1275" s="8">
        <f>ROUND('Criaturas - Base de Dados'!I214*'Sistema de Raridade e Evolução'!E3,0)</f>
        <v>20</v>
      </c>
      <c r="H1275" s="8">
        <f>ROUND('Criaturas - Base de Dados'!J214*'Sistema de Raridade e Evolução'!E3,0)</f>
        <v>17</v>
      </c>
      <c r="I1275" s="8">
        <f>ROUND('Criaturas - Base de Dados'!K214*'Sistema de Raridade e Evolução'!E3,0)</f>
        <v>109</v>
      </c>
      <c r="J1275" s="8">
        <f>'Sistema de Raridade e Evolução'!D3</f>
        <v>6</v>
      </c>
      <c r="K1275" s="8" t="s">
        <v>9</v>
      </c>
      <c r="L1275" s="9">
        <f t="shared" si="19"/>
        <v>80952.38</v>
      </c>
    </row>
    <row r="1276" spans="1:12" ht="14.25" hidden="1" customHeight="1" x14ac:dyDescent="0.3">
      <c r="A1276" s="8">
        <v>1275</v>
      </c>
      <c r="B1276" s="8" t="str">
        <f>'Criaturas - Base de Dados'!B214</f>
        <v>Constelação Arcana</v>
      </c>
      <c r="C1276" s="8" t="str">
        <f>'Criaturas - Base de Dados'!C214</f>
        <v>Astral</v>
      </c>
      <c r="D1276" s="8" t="str">
        <f>'Criaturas - Base de Dados'!D214</f>
        <v>Cometa Vivo</v>
      </c>
      <c r="E1276" s="8" t="str">
        <f>'Sistema de Raridade e Evolução'!B4</f>
        <v>Prata</v>
      </c>
      <c r="F1276" s="9">
        <f>ROUND(('Criaturas - Base de Dados'!H214*'Sistema de Raridade e Evolução'!E4)*1000,2)</f>
        <v>204000</v>
      </c>
      <c r="G1276" s="8">
        <f>ROUND('Criaturas - Base de Dados'!I214*'Sistema de Raridade e Evolução'!E4,0)</f>
        <v>120</v>
      </c>
      <c r="H1276" s="8">
        <f>ROUND('Criaturas - Base de Dados'!J214*'Sistema de Raridade e Evolução'!E4,0)</f>
        <v>102</v>
      </c>
      <c r="I1276" s="8">
        <f>ROUND('Criaturas - Base de Dados'!K214*'Sistema de Raridade e Evolução'!E4,0)</f>
        <v>654</v>
      </c>
      <c r="J1276" s="8">
        <f>'Sistema de Raridade e Evolução'!D4</f>
        <v>16</v>
      </c>
      <c r="K1276" s="8" t="s">
        <v>10</v>
      </c>
      <c r="L1276" s="9">
        <f t="shared" si="19"/>
        <v>485714.29</v>
      </c>
    </row>
    <row r="1277" spans="1:12" ht="14.25" hidden="1" customHeight="1" x14ac:dyDescent="0.3">
      <c r="A1277" s="8">
        <v>1276</v>
      </c>
      <c r="B1277" s="8" t="str">
        <f>'Criaturas - Base de Dados'!B214</f>
        <v>Constelação Arcana</v>
      </c>
      <c r="C1277" s="8" t="str">
        <f>'Criaturas - Base de Dados'!C214</f>
        <v>Astral</v>
      </c>
      <c r="D1277" s="8" t="str">
        <f>'Criaturas - Base de Dados'!D214</f>
        <v>Cometa Vivo</v>
      </c>
      <c r="E1277" s="8" t="str">
        <f>'Sistema de Raridade e Evolução'!B5</f>
        <v>Ouro</v>
      </c>
      <c r="F1277" s="9">
        <f>ROUND(('Criaturas - Base de Dados'!H214*'Sistema de Raridade e Evolução'!E5)*1000,2)</f>
        <v>612000</v>
      </c>
      <c r="G1277" s="8">
        <f>ROUND('Criaturas - Base de Dados'!I214*'Sistema de Raridade e Evolução'!E5,0)</f>
        <v>360</v>
      </c>
      <c r="H1277" s="8">
        <f>ROUND('Criaturas - Base de Dados'!J214*'Sistema de Raridade e Evolução'!E5,0)</f>
        <v>306</v>
      </c>
      <c r="I1277" s="8">
        <f>ROUND('Criaturas - Base de Dados'!K214*'Sistema de Raridade e Evolução'!E5,0)</f>
        <v>1962</v>
      </c>
      <c r="J1277" s="8">
        <f>'Sistema de Raridade e Evolução'!D5</f>
        <v>31</v>
      </c>
      <c r="K1277" s="8" t="s">
        <v>11</v>
      </c>
      <c r="L1277" s="9">
        <f t="shared" si="19"/>
        <v>1457142.86</v>
      </c>
    </row>
    <row r="1278" spans="1:12" ht="14.25" hidden="1" customHeight="1" x14ac:dyDescent="0.3">
      <c r="A1278" s="8">
        <v>1277</v>
      </c>
      <c r="B1278" s="8" t="str">
        <f>'Criaturas - Base de Dados'!B214</f>
        <v>Constelação Arcana</v>
      </c>
      <c r="C1278" s="8" t="str">
        <f>'Criaturas - Base de Dados'!C214</f>
        <v>Astral</v>
      </c>
      <c r="D1278" s="8" t="str">
        <f>'Criaturas - Base de Dados'!D214</f>
        <v>Cometa Vivo</v>
      </c>
      <c r="E1278" s="8" t="str">
        <f>'Sistema de Raridade e Evolução'!B6</f>
        <v>Platina</v>
      </c>
      <c r="F1278" s="9">
        <f>ROUND(('Criaturas - Base de Dados'!H214*'Sistema de Raridade e Evolução'!E6)*1000,2)</f>
        <v>1700000</v>
      </c>
      <c r="G1278" s="8">
        <f>ROUND('Criaturas - Base de Dados'!I214*'Sistema de Raridade e Evolução'!E6,0)</f>
        <v>1000</v>
      </c>
      <c r="H1278" s="8">
        <f>ROUND('Criaturas - Base de Dados'!J214*'Sistema de Raridade e Evolução'!E6,0)</f>
        <v>850</v>
      </c>
      <c r="I1278" s="8">
        <f>ROUND('Criaturas - Base de Dados'!K214*'Sistema de Raridade e Evolução'!E6,0)</f>
        <v>5450</v>
      </c>
      <c r="J1278" s="8">
        <f>'Sistema de Raridade e Evolução'!D6</f>
        <v>56</v>
      </c>
      <c r="K1278" s="8" t="s">
        <v>12</v>
      </c>
      <c r="L1278" s="9">
        <f t="shared" si="19"/>
        <v>4047619.05</v>
      </c>
    </row>
    <row r="1279" spans="1:12" ht="14.25" hidden="1" customHeight="1" x14ac:dyDescent="0.3">
      <c r="A1279" s="8">
        <v>1278</v>
      </c>
      <c r="B1279" s="8" t="str">
        <f>'Criaturas - Base de Dados'!B214</f>
        <v>Constelação Arcana</v>
      </c>
      <c r="C1279" s="8" t="str">
        <f>'Criaturas - Base de Dados'!C214</f>
        <v>Astral</v>
      </c>
      <c r="D1279" s="8" t="str">
        <f>'Criaturas - Base de Dados'!D214</f>
        <v>Cometa Vivo</v>
      </c>
      <c r="E1279" s="8" t="str">
        <f>'Sistema de Raridade e Evolução'!B7</f>
        <v>Lendário</v>
      </c>
      <c r="F1279" s="9">
        <f>ROUND(('Criaturas - Base de Dados'!H214*'Sistema de Raridade e Evolução'!E7)*1000,2)</f>
        <v>5100000</v>
      </c>
      <c r="G1279" s="8">
        <f>ROUND('Criaturas - Base de Dados'!I214*'Sistema de Raridade e Evolução'!E7,0)</f>
        <v>3000</v>
      </c>
      <c r="H1279" s="8">
        <f>ROUND('Criaturas - Base de Dados'!J214*'Sistema de Raridade e Evolução'!E7,0)</f>
        <v>2550</v>
      </c>
      <c r="I1279" s="8">
        <f>ROUND('Criaturas - Base de Dados'!K214*'Sistema de Raridade e Evolução'!E7,0)</f>
        <v>16350</v>
      </c>
      <c r="J1279" s="8">
        <f>'Sistema de Raridade e Evolução'!D7</f>
        <v>91</v>
      </c>
      <c r="K1279" s="8" t="s">
        <v>925</v>
      </c>
      <c r="L1279" s="9">
        <f t="shared" si="19"/>
        <v>12142857.140000001</v>
      </c>
    </row>
    <row r="1280" spans="1:12" ht="14.25" customHeight="1" x14ac:dyDescent="0.3">
      <c r="A1280" s="8">
        <v>1279</v>
      </c>
      <c r="B1280" s="8" t="str">
        <f>'Criaturas - Base de Dados'!B215</f>
        <v>Constelação Arcana</v>
      </c>
      <c r="C1280" s="8" t="str">
        <f>'Criaturas - Base de Dados'!C215</f>
        <v>Astral</v>
      </c>
      <c r="D1280" s="8" t="str">
        <f>'Criaturas - Base de Dados'!D215</f>
        <v>Espírito da Lua Cheia</v>
      </c>
      <c r="E1280" s="8" t="str">
        <f>'Sistema de Raridade e Evolução'!B2</f>
        <v>Default</v>
      </c>
      <c r="F1280" s="9" t="e">
        <f>ROUND(('Criaturas - Base de Dados'!H215*'Sistema de Raridade e Evolução'!E2)*1000,2)</f>
        <v>#VALUE!</v>
      </c>
      <c r="G1280" s="8" t="e">
        <f>ROUND('Criaturas - Base de Dados'!I215*'Sistema de Raridade e Evolução'!E2,0)</f>
        <v>#VALUE!</v>
      </c>
      <c r="H1280" s="8" t="e">
        <f>ROUND('Criaturas - Base de Dados'!J215*'Sistema de Raridade e Evolução'!E2,0)</f>
        <v>#VALUE!</v>
      </c>
      <c r="I1280" s="8" t="e">
        <f>ROUND('Criaturas - Base de Dados'!K215*'Sistema de Raridade e Evolução'!E2,0)</f>
        <v>#VALUE!</v>
      </c>
      <c r="J1280" s="8">
        <f>'Sistema de Raridade e Evolução'!D2</f>
        <v>1</v>
      </c>
      <c r="K1280" s="8" t="s">
        <v>8</v>
      </c>
      <c r="L1280" s="9" t="e">
        <f t="shared" si="19"/>
        <v>#VALUE!</v>
      </c>
    </row>
    <row r="1281" spans="1:12" ht="14.25" hidden="1" customHeight="1" x14ac:dyDescent="0.3">
      <c r="A1281" s="8">
        <v>1280</v>
      </c>
      <c r="B1281" s="8" t="str">
        <f>'Criaturas - Base de Dados'!B215</f>
        <v>Constelação Arcana</v>
      </c>
      <c r="C1281" s="8" t="str">
        <f>'Criaturas - Base de Dados'!C215</f>
        <v>Astral</v>
      </c>
      <c r="D1281" s="8" t="str">
        <f>'Criaturas - Base de Dados'!D215</f>
        <v>Espírito da Lua Cheia</v>
      </c>
      <c r="E1281" s="8" t="str">
        <f>'Sistema de Raridade e Evolução'!B3</f>
        <v>Bronze</v>
      </c>
      <c r="F1281" s="9">
        <f>ROUND(('Criaturas - Base de Dados'!H215*'Sistema de Raridade e Evolução'!E3)*1000,2)</f>
        <v>36000</v>
      </c>
      <c r="G1281" s="8">
        <f>ROUND('Criaturas - Base de Dados'!I215*'Sistema de Raridade e Evolução'!E3,0)</f>
        <v>22</v>
      </c>
      <c r="H1281" s="8">
        <f>ROUND('Criaturas - Base de Dados'!J215*'Sistema de Raridade e Evolução'!E3,0)</f>
        <v>18</v>
      </c>
      <c r="I1281" s="8">
        <f>ROUND('Criaturas - Base de Dados'!K215*'Sistema de Raridade e Evolução'!E3,0)</f>
        <v>115</v>
      </c>
      <c r="J1281" s="8">
        <f>'Sistema de Raridade e Evolução'!D3</f>
        <v>6</v>
      </c>
      <c r="K1281" s="8" t="s">
        <v>9</v>
      </c>
      <c r="L1281" s="9">
        <f t="shared" si="19"/>
        <v>85714.29</v>
      </c>
    </row>
    <row r="1282" spans="1:12" ht="14.25" hidden="1" customHeight="1" x14ac:dyDescent="0.3">
      <c r="A1282" s="8">
        <v>1281</v>
      </c>
      <c r="B1282" s="8" t="str">
        <f>'Criaturas - Base de Dados'!B215</f>
        <v>Constelação Arcana</v>
      </c>
      <c r="C1282" s="8" t="str">
        <f>'Criaturas - Base de Dados'!C215</f>
        <v>Astral</v>
      </c>
      <c r="D1282" s="8" t="str">
        <f>'Criaturas - Base de Dados'!D215</f>
        <v>Espírito da Lua Cheia</v>
      </c>
      <c r="E1282" s="8" t="str">
        <f>'Sistema de Raridade e Evolução'!B4</f>
        <v>Prata</v>
      </c>
      <c r="F1282" s="9">
        <f>ROUND(('Criaturas - Base de Dados'!H215*'Sistema de Raridade e Evolução'!E4)*1000,2)</f>
        <v>216000</v>
      </c>
      <c r="G1282" s="8">
        <f>ROUND('Criaturas - Base de Dados'!I215*'Sistema de Raridade e Evolução'!E4,0)</f>
        <v>132</v>
      </c>
      <c r="H1282" s="8">
        <f>ROUND('Criaturas - Base de Dados'!J215*'Sistema de Raridade e Evolução'!E4,0)</f>
        <v>108</v>
      </c>
      <c r="I1282" s="8">
        <f>ROUND('Criaturas - Base de Dados'!K215*'Sistema de Raridade e Evolução'!E4,0)</f>
        <v>690</v>
      </c>
      <c r="J1282" s="8">
        <f>'Sistema de Raridade e Evolução'!D4</f>
        <v>16</v>
      </c>
      <c r="K1282" s="8" t="s">
        <v>10</v>
      </c>
      <c r="L1282" s="9">
        <f t="shared" ref="L1282:L1345" si="20">ROUND(F1282*(2.5/1.05),2)</f>
        <v>514285.71</v>
      </c>
    </row>
    <row r="1283" spans="1:12" ht="14.25" hidden="1" customHeight="1" x14ac:dyDescent="0.3">
      <c r="A1283" s="8">
        <v>1282</v>
      </c>
      <c r="B1283" s="8" t="str">
        <f>'Criaturas - Base de Dados'!B215</f>
        <v>Constelação Arcana</v>
      </c>
      <c r="C1283" s="8" t="str">
        <f>'Criaturas - Base de Dados'!C215</f>
        <v>Astral</v>
      </c>
      <c r="D1283" s="8" t="str">
        <f>'Criaturas - Base de Dados'!D215</f>
        <v>Espírito da Lua Cheia</v>
      </c>
      <c r="E1283" s="8" t="str">
        <f>'Sistema de Raridade e Evolução'!B5</f>
        <v>Ouro</v>
      </c>
      <c r="F1283" s="9">
        <f>ROUND(('Criaturas - Base de Dados'!H215*'Sistema de Raridade e Evolução'!E5)*1000,2)</f>
        <v>648000</v>
      </c>
      <c r="G1283" s="8">
        <f>ROUND('Criaturas - Base de Dados'!I215*'Sistema de Raridade e Evolução'!E5,0)</f>
        <v>396</v>
      </c>
      <c r="H1283" s="8">
        <f>ROUND('Criaturas - Base de Dados'!J215*'Sistema de Raridade e Evolução'!E5,0)</f>
        <v>324</v>
      </c>
      <c r="I1283" s="8">
        <f>ROUND('Criaturas - Base de Dados'!K215*'Sistema de Raridade e Evolução'!E5,0)</f>
        <v>2070</v>
      </c>
      <c r="J1283" s="8">
        <f>'Sistema de Raridade e Evolução'!D5</f>
        <v>31</v>
      </c>
      <c r="K1283" s="8" t="s">
        <v>11</v>
      </c>
      <c r="L1283" s="9">
        <f t="shared" si="20"/>
        <v>1542857.14</v>
      </c>
    </row>
    <row r="1284" spans="1:12" ht="14.25" hidden="1" customHeight="1" x14ac:dyDescent="0.3">
      <c r="A1284" s="8">
        <v>1283</v>
      </c>
      <c r="B1284" s="8" t="str">
        <f>'Criaturas - Base de Dados'!B215</f>
        <v>Constelação Arcana</v>
      </c>
      <c r="C1284" s="8" t="str">
        <f>'Criaturas - Base de Dados'!C215</f>
        <v>Astral</v>
      </c>
      <c r="D1284" s="8" t="str">
        <f>'Criaturas - Base de Dados'!D215</f>
        <v>Espírito da Lua Cheia</v>
      </c>
      <c r="E1284" s="8" t="str">
        <f>'Sistema de Raridade e Evolução'!B6</f>
        <v>Platina</v>
      </c>
      <c r="F1284" s="9">
        <f>ROUND(('Criaturas - Base de Dados'!H215*'Sistema de Raridade e Evolução'!E6)*1000,2)</f>
        <v>1800000</v>
      </c>
      <c r="G1284" s="8">
        <f>ROUND('Criaturas - Base de Dados'!I215*'Sistema de Raridade e Evolução'!E6,0)</f>
        <v>1100</v>
      </c>
      <c r="H1284" s="8">
        <f>ROUND('Criaturas - Base de Dados'!J215*'Sistema de Raridade e Evolução'!E6,0)</f>
        <v>900</v>
      </c>
      <c r="I1284" s="8">
        <f>ROUND('Criaturas - Base de Dados'!K215*'Sistema de Raridade e Evolução'!E6,0)</f>
        <v>5750</v>
      </c>
      <c r="J1284" s="8">
        <f>'Sistema de Raridade e Evolução'!D6</f>
        <v>56</v>
      </c>
      <c r="K1284" s="8" t="s">
        <v>12</v>
      </c>
      <c r="L1284" s="9">
        <f t="shared" si="20"/>
        <v>4285714.29</v>
      </c>
    </row>
    <row r="1285" spans="1:12" ht="14.25" hidden="1" customHeight="1" x14ac:dyDescent="0.3">
      <c r="A1285" s="8">
        <v>1284</v>
      </c>
      <c r="B1285" s="8" t="str">
        <f>'Criaturas - Base de Dados'!B215</f>
        <v>Constelação Arcana</v>
      </c>
      <c r="C1285" s="8" t="str">
        <f>'Criaturas - Base de Dados'!C215</f>
        <v>Astral</v>
      </c>
      <c r="D1285" s="8" t="str">
        <f>'Criaturas - Base de Dados'!D215</f>
        <v>Espírito da Lua Cheia</v>
      </c>
      <c r="E1285" s="8" t="str">
        <f>'Sistema de Raridade e Evolução'!B7</f>
        <v>Lendário</v>
      </c>
      <c r="F1285" s="9">
        <f>ROUND(('Criaturas - Base de Dados'!H215*'Sistema de Raridade e Evolução'!E7)*1000,2)</f>
        <v>5400000</v>
      </c>
      <c r="G1285" s="8">
        <f>ROUND('Criaturas - Base de Dados'!I215*'Sistema de Raridade e Evolução'!E7,0)</f>
        <v>3300</v>
      </c>
      <c r="H1285" s="8">
        <f>ROUND('Criaturas - Base de Dados'!J215*'Sistema de Raridade e Evolução'!E7,0)</f>
        <v>2700</v>
      </c>
      <c r="I1285" s="8">
        <f>ROUND('Criaturas - Base de Dados'!K215*'Sistema de Raridade e Evolução'!E7,0)</f>
        <v>17250</v>
      </c>
      <c r="J1285" s="8">
        <f>'Sistema de Raridade e Evolução'!D7</f>
        <v>91</v>
      </c>
      <c r="K1285" s="8" t="s">
        <v>925</v>
      </c>
      <c r="L1285" s="9">
        <f t="shared" si="20"/>
        <v>12857142.859999999</v>
      </c>
    </row>
    <row r="1286" spans="1:12" ht="14.25" customHeight="1" x14ac:dyDescent="0.3">
      <c r="A1286" s="8">
        <v>1285</v>
      </c>
      <c r="B1286" s="8" t="str">
        <f>'Criaturas - Base de Dados'!B216</f>
        <v>Constelação Arcana</v>
      </c>
      <c r="C1286" s="8" t="str">
        <f>'Criaturas - Base de Dados'!C216</f>
        <v>Astral</v>
      </c>
      <c r="D1286" s="8" t="str">
        <f>'Criaturas - Base de Dados'!D216</f>
        <v>Devoradora de Estrelas</v>
      </c>
      <c r="E1286" s="8" t="str">
        <f>'Sistema de Raridade e Evolução'!B2</f>
        <v>Default</v>
      </c>
      <c r="F1286" s="9" t="e">
        <f>ROUND(('Criaturas - Base de Dados'!H216*'Sistema de Raridade e Evolução'!E2)*1000,2)</f>
        <v>#VALUE!</v>
      </c>
      <c r="G1286" s="8" t="e">
        <f>ROUND('Criaturas - Base de Dados'!I216*'Sistema de Raridade e Evolução'!E2,0)</f>
        <v>#VALUE!</v>
      </c>
      <c r="H1286" s="8" t="e">
        <f>ROUND('Criaturas - Base de Dados'!J216*'Sistema de Raridade e Evolução'!E2,0)</f>
        <v>#VALUE!</v>
      </c>
      <c r="I1286" s="8" t="e">
        <f>ROUND('Criaturas - Base de Dados'!K216*'Sistema de Raridade e Evolução'!E2,0)</f>
        <v>#VALUE!</v>
      </c>
      <c r="J1286" s="8">
        <f>'Sistema de Raridade e Evolução'!D2</f>
        <v>1</v>
      </c>
      <c r="K1286" s="8" t="s">
        <v>8</v>
      </c>
      <c r="L1286" s="9" t="e">
        <f t="shared" si="20"/>
        <v>#VALUE!</v>
      </c>
    </row>
    <row r="1287" spans="1:12" ht="14.25" hidden="1" customHeight="1" x14ac:dyDescent="0.3">
      <c r="A1287" s="8">
        <v>1286</v>
      </c>
      <c r="B1287" s="8" t="str">
        <f>'Criaturas - Base de Dados'!B216</f>
        <v>Constelação Arcana</v>
      </c>
      <c r="C1287" s="8" t="str">
        <f>'Criaturas - Base de Dados'!C216</f>
        <v>Astral</v>
      </c>
      <c r="D1287" s="8" t="str">
        <f>'Criaturas - Base de Dados'!D216</f>
        <v>Devoradora de Estrelas</v>
      </c>
      <c r="E1287" s="8" t="str">
        <f>'Sistema de Raridade e Evolução'!B3</f>
        <v>Bronze</v>
      </c>
      <c r="F1287" s="9">
        <f>ROUND(('Criaturas - Base de Dados'!H216*'Sistema de Raridade e Evolução'!E3)*1000,2)</f>
        <v>38000</v>
      </c>
      <c r="G1287" s="8">
        <f>ROUND('Criaturas - Base de Dados'!I216*'Sistema de Raridade e Evolução'!E3,0)</f>
        <v>23</v>
      </c>
      <c r="H1287" s="8">
        <f>ROUND('Criaturas - Base de Dados'!J216*'Sistema de Raridade e Evolução'!E3,0)</f>
        <v>19</v>
      </c>
      <c r="I1287" s="8">
        <f>ROUND('Criaturas - Base de Dados'!K216*'Sistema de Raridade e Evolução'!E3,0)</f>
        <v>122</v>
      </c>
      <c r="J1287" s="8">
        <f>'Sistema de Raridade e Evolução'!D3</f>
        <v>6</v>
      </c>
      <c r="K1287" s="8" t="s">
        <v>9</v>
      </c>
      <c r="L1287" s="9">
        <f t="shared" si="20"/>
        <v>90476.19</v>
      </c>
    </row>
    <row r="1288" spans="1:12" ht="14.25" hidden="1" customHeight="1" x14ac:dyDescent="0.3">
      <c r="A1288" s="8">
        <v>1287</v>
      </c>
      <c r="B1288" s="8" t="str">
        <f>'Criaturas - Base de Dados'!B216</f>
        <v>Constelação Arcana</v>
      </c>
      <c r="C1288" s="8" t="str">
        <f>'Criaturas - Base de Dados'!C216</f>
        <v>Astral</v>
      </c>
      <c r="D1288" s="8" t="str">
        <f>'Criaturas - Base de Dados'!D216</f>
        <v>Devoradora de Estrelas</v>
      </c>
      <c r="E1288" s="8" t="str">
        <f>'Sistema de Raridade e Evolução'!B4</f>
        <v>Prata</v>
      </c>
      <c r="F1288" s="9">
        <f>ROUND(('Criaturas - Base de Dados'!H216*'Sistema de Raridade e Evolução'!E4)*1000,2)</f>
        <v>228000</v>
      </c>
      <c r="G1288" s="8">
        <f>ROUND('Criaturas - Base de Dados'!I216*'Sistema de Raridade e Evolução'!E4,0)</f>
        <v>138</v>
      </c>
      <c r="H1288" s="8">
        <f>ROUND('Criaturas - Base de Dados'!J216*'Sistema de Raridade e Evolução'!E4,0)</f>
        <v>114</v>
      </c>
      <c r="I1288" s="8">
        <f>ROUND('Criaturas - Base de Dados'!K216*'Sistema de Raridade e Evolução'!E4,0)</f>
        <v>732</v>
      </c>
      <c r="J1288" s="8">
        <f>'Sistema de Raridade e Evolução'!D4</f>
        <v>16</v>
      </c>
      <c r="K1288" s="8" t="s">
        <v>10</v>
      </c>
      <c r="L1288" s="9">
        <f t="shared" si="20"/>
        <v>542857.14</v>
      </c>
    </row>
    <row r="1289" spans="1:12" ht="14.25" hidden="1" customHeight="1" x14ac:dyDescent="0.3">
      <c r="A1289" s="8">
        <v>1288</v>
      </c>
      <c r="B1289" s="8" t="str">
        <f>'Criaturas - Base de Dados'!B216</f>
        <v>Constelação Arcana</v>
      </c>
      <c r="C1289" s="8" t="str">
        <f>'Criaturas - Base de Dados'!C216</f>
        <v>Astral</v>
      </c>
      <c r="D1289" s="8" t="str">
        <f>'Criaturas - Base de Dados'!D216</f>
        <v>Devoradora de Estrelas</v>
      </c>
      <c r="E1289" s="8" t="str">
        <f>'Sistema de Raridade e Evolução'!B5</f>
        <v>Ouro</v>
      </c>
      <c r="F1289" s="9">
        <f>ROUND(('Criaturas - Base de Dados'!H216*'Sistema de Raridade e Evolução'!E5)*1000,2)</f>
        <v>684000</v>
      </c>
      <c r="G1289" s="8">
        <f>ROUND('Criaturas - Base de Dados'!I216*'Sistema de Raridade e Evolução'!E5,0)</f>
        <v>414</v>
      </c>
      <c r="H1289" s="8">
        <f>ROUND('Criaturas - Base de Dados'!J216*'Sistema de Raridade e Evolução'!E5,0)</f>
        <v>342</v>
      </c>
      <c r="I1289" s="8">
        <f>ROUND('Criaturas - Base de Dados'!K216*'Sistema de Raridade e Evolução'!E5,0)</f>
        <v>2196</v>
      </c>
      <c r="J1289" s="8">
        <f>'Sistema de Raridade e Evolução'!D5</f>
        <v>31</v>
      </c>
      <c r="K1289" s="8" t="s">
        <v>11</v>
      </c>
      <c r="L1289" s="9">
        <f t="shared" si="20"/>
        <v>1628571.43</v>
      </c>
    </row>
    <row r="1290" spans="1:12" ht="14.25" hidden="1" customHeight="1" x14ac:dyDescent="0.3">
      <c r="A1290" s="8">
        <v>1289</v>
      </c>
      <c r="B1290" s="8" t="str">
        <f>'Criaturas - Base de Dados'!B216</f>
        <v>Constelação Arcana</v>
      </c>
      <c r="C1290" s="8" t="str">
        <f>'Criaturas - Base de Dados'!C216</f>
        <v>Astral</v>
      </c>
      <c r="D1290" s="8" t="str">
        <f>'Criaturas - Base de Dados'!D216</f>
        <v>Devoradora de Estrelas</v>
      </c>
      <c r="E1290" s="8" t="str">
        <f>'Sistema de Raridade e Evolução'!B6</f>
        <v>Platina</v>
      </c>
      <c r="F1290" s="9">
        <f>ROUND(('Criaturas - Base de Dados'!H216*'Sistema de Raridade e Evolução'!E6)*1000,2)</f>
        <v>1900000</v>
      </c>
      <c r="G1290" s="8">
        <f>ROUND('Criaturas - Base de Dados'!I216*'Sistema de Raridade e Evolução'!E6,0)</f>
        <v>1150</v>
      </c>
      <c r="H1290" s="8">
        <f>ROUND('Criaturas - Base de Dados'!J216*'Sistema de Raridade e Evolução'!E6,0)</f>
        <v>950</v>
      </c>
      <c r="I1290" s="8">
        <f>ROUND('Criaturas - Base de Dados'!K216*'Sistema de Raridade e Evolução'!E6,0)</f>
        <v>6100</v>
      </c>
      <c r="J1290" s="8">
        <f>'Sistema de Raridade e Evolução'!D6</f>
        <v>56</v>
      </c>
      <c r="K1290" s="8" t="s">
        <v>12</v>
      </c>
      <c r="L1290" s="9">
        <f t="shared" si="20"/>
        <v>4523809.5199999996</v>
      </c>
    </row>
    <row r="1291" spans="1:12" ht="14.25" hidden="1" customHeight="1" x14ac:dyDescent="0.3">
      <c r="A1291" s="8">
        <v>1290</v>
      </c>
      <c r="B1291" s="8" t="str">
        <f>'Criaturas - Base de Dados'!B216</f>
        <v>Constelação Arcana</v>
      </c>
      <c r="C1291" s="8" t="str">
        <f>'Criaturas - Base de Dados'!C216</f>
        <v>Astral</v>
      </c>
      <c r="D1291" s="8" t="str">
        <f>'Criaturas - Base de Dados'!D216</f>
        <v>Devoradora de Estrelas</v>
      </c>
      <c r="E1291" s="8" t="str">
        <f>'Sistema de Raridade e Evolução'!B7</f>
        <v>Lendário</v>
      </c>
      <c r="F1291" s="9">
        <f>ROUND(('Criaturas - Base de Dados'!H216*'Sistema de Raridade e Evolução'!E7)*1000,2)</f>
        <v>5700000</v>
      </c>
      <c r="G1291" s="8">
        <f>ROUND('Criaturas - Base de Dados'!I216*'Sistema de Raridade e Evolução'!E7,0)</f>
        <v>3450</v>
      </c>
      <c r="H1291" s="8">
        <f>ROUND('Criaturas - Base de Dados'!J216*'Sistema de Raridade e Evolução'!E7,0)</f>
        <v>2850</v>
      </c>
      <c r="I1291" s="8">
        <f>ROUND('Criaturas - Base de Dados'!K216*'Sistema de Raridade e Evolução'!E7,0)</f>
        <v>18300</v>
      </c>
      <c r="J1291" s="8">
        <f>'Sistema de Raridade e Evolução'!D7</f>
        <v>91</v>
      </c>
      <c r="K1291" s="8" t="s">
        <v>925</v>
      </c>
      <c r="L1291" s="9">
        <f t="shared" si="20"/>
        <v>13571428.57</v>
      </c>
    </row>
    <row r="1292" spans="1:12" ht="14.25" customHeight="1" x14ac:dyDescent="0.3">
      <c r="A1292" s="8">
        <v>1291</v>
      </c>
      <c r="B1292" s="8" t="str">
        <f>'Criaturas - Base de Dados'!B217</f>
        <v>Constelação Arcana</v>
      </c>
      <c r="C1292" s="8" t="str">
        <f>'Criaturas - Base de Dados'!C217</f>
        <v>Astral</v>
      </c>
      <c r="D1292" s="8" t="str">
        <f>'Criaturas - Base de Dados'!D217</f>
        <v>Titã Astral</v>
      </c>
      <c r="E1292" s="8" t="str">
        <f>'Sistema de Raridade e Evolução'!B2</f>
        <v>Default</v>
      </c>
      <c r="F1292" s="9" t="e">
        <f>ROUND(('Criaturas - Base de Dados'!H217*'Sistema de Raridade e Evolução'!E2)*1000,2)</f>
        <v>#VALUE!</v>
      </c>
      <c r="G1292" s="8" t="e">
        <f>ROUND('Criaturas - Base de Dados'!I217*'Sistema de Raridade e Evolução'!E2,0)</f>
        <v>#VALUE!</v>
      </c>
      <c r="H1292" s="8" t="e">
        <f>ROUND('Criaturas - Base de Dados'!J217*'Sistema de Raridade e Evolução'!E2,0)</f>
        <v>#VALUE!</v>
      </c>
      <c r="I1292" s="8" t="e">
        <f>ROUND('Criaturas - Base de Dados'!K217*'Sistema de Raridade e Evolução'!E2,0)</f>
        <v>#VALUE!</v>
      </c>
      <c r="J1292" s="8">
        <f>'Sistema de Raridade e Evolução'!D2</f>
        <v>1</v>
      </c>
      <c r="K1292" s="8" t="s">
        <v>8</v>
      </c>
      <c r="L1292" s="9" t="e">
        <f t="shared" si="20"/>
        <v>#VALUE!</v>
      </c>
    </row>
    <row r="1293" spans="1:12" ht="14.25" hidden="1" customHeight="1" x14ac:dyDescent="0.3">
      <c r="A1293" s="8">
        <v>1292</v>
      </c>
      <c r="B1293" s="8" t="str">
        <f>'Criaturas - Base de Dados'!B217</f>
        <v>Constelação Arcana</v>
      </c>
      <c r="C1293" s="8" t="str">
        <f>'Criaturas - Base de Dados'!C217</f>
        <v>Astral</v>
      </c>
      <c r="D1293" s="8" t="str">
        <f>'Criaturas - Base de Dados'!D217</f>
        <v>Titã Astral</v>
      </c>
      <c r="E1293" s="8" t="str">
        <f>'Sistema de Raridade e Evolução'!B3</f>
        <v>Bronze</v>
      </c>
      <c r="F1293" s="9">
        <f>ROUND(('Criaturas - Base de Dados'!H217*'Sistema de Raridade e Evolução'!E3)*1000,2)</f>
        <v>54000</v>
      </c>
      <c r="G1293" s="8">
        <f>ROUND('Criaturas - Base de Dados'!I217*'Sistema de Raridade e Evolução'!E3,0)</f>
        <v>32</v>
      </c>
      <c r="H1293" s="8">
        <f>ROUND('Criaturas - Base de Dados'!J217*'Sistema de Raridade e Evolução'!E3,0)</f>
        <v>27</v>
      </c>
      <c r="I1293" s="8">
        <f>ROUND('Criaturas - Base de Dados'!K217*'Sistema de Raridade e Evolução'!E3,0)</f>
        <v>173</v>
      </c>
      <c r="J1293" s="8">
        <f>'Sistema de Raridade e Evolução'!D3</f>
        <v>6</v>
      </c>
      <c r="K1293" s="8" t="s">
        <v>9</v>
      </c>
      <c r="L1293" s="9">
        <f t="shared" si="20"/>
        <v>128571.43</v>
      </c>
    </row>
    <row r="1294" spans="1:12" ht="14.25" hidden="1" customHeight="1" x14ac:dyDescent="0.3">
      <c r="A1294" s="8">
        <v>1293</v>
      </c>
      <c r="B1294" s="8" t="str">
        <f>'Criaturas - Base de Dados'!B217</f>
        <v>Constelação Arcana</v>
      </c>
      <c r="C1294" s="8" t="str">
        <f>'Criaturas - Base de Dados'!C217</f>
        <v>Astral</v>
      </c>
      <c r="D1294" s="8" t="str">
        <f>'Criaturas - Base de Dados'!D217</f>
        <v>Titã Astral</v>
      </c>
      <c r="E1294" s="8" t="str">
        <f>'Sistema de Raridade e Evolução'!B4</f>
        <v>Prata</v>
      </c>
      <c r="F1294" s="9">
        <f>ROUND(('Criaturas - Base de Dados'!H217*'Sistema de Raridade e Evolução'!E4)*1000,2)</f>
        <v>324000</v>
      </c>
      <c r="G1294" s="8">
        <f>ROUND('Criaturas - Base de Dados'!I217*'Sistema de Raridade e Evolução'!E4,0)</f>
        <v>192</v>
      </c>
      <c r="H1294" s="8">
        <f>ROUND('Criaturas - Base de Dados'!J217*'Sistema de Raridade e Evolução'!E4,0)</f>
        <v>162</v>
      </c>
      <c r="I1294" s="8">
        <f>ROUND('Criaturas - Base de Dados'!K217*'Sistema de Raridade e Evolução'!E4,0)</f>
        <v>1038</v>
      </c>
      <c r="J1294" s="8">
        <f>'Sistema de Raridade e Evolução'!D4</f>
        <v>16</v>
      </c>
      <c r="K1294" s="8" t="s">
        <v>10</v>
      </c>
      <c r="L1294" s="9">
        <f t="shared" si="20"/>
        <v>771428.57</v>
      </c>
    </row>
    <row r="1295" spans="1:12" ht="14.25" hidden="1" customHeight="1" x14ac:dyDescent="0.3">
      <c r="A1295" s="8">
        <v>1294</v>
      </c>
      <c r="B1295" s="8" t="str">
        <f>'Criaturas - Base de Dados'!B217</f>
        <v>Constelação Arcana</v>
      </c>
      <c r="C1295" s="8" t="str">
        <f>'Criaturas - Base de Dados'!C217</f>
        <v>Astral</v>
      </c>
      <c r="D1295" s="8" t="str">
        <f>'Criaturas - Base de Dados'!D217</f>
        <v>Titã Astral</v>
      </c>
      <c r="E1295" s="8" t="str">
        <f>'Sistema de Raridade e Evolução'!B5</f>
        <v>Ouro</v>
      </c>
      <c r="F1295" s="9">
        <f>ROUND(('Criaturas - Base de Dados'!H217*'Sistema de Raridade e Evolução'!E5)*1000,2)</f>
        <v>972000</v>
      </c>
      <c r="G1295" s="8">
        <f>ROUND('Criaturas - Base de Dados'!I217*'Sistema de Raridade e Evolução'!E5,0)</f>
        <v>576</v>
      </c>
      <c r="H1295" s="8">
        <f>ROUND('Criaturas - Base de Dados'!J217*'Sistema de Raridade e Evolução'!E5,0)</f>
        <v>486</v>
      </c>
      <c r="I1295" s="8">
        <f>ROUND('Criaturas - Base de Dados'!K217*'Sistema de Raridade e Evolução'!E5,0)</f>
        <v>3114</v>
      </c>
      <c r="J1295" s="8">
        <f>'Sistema de Raridade e Evolução'!D5</f>
        <v>31</v>
      </c>
      <c r="K1295" s="8" t="s">
        <v>11</v>
      </c>
      <c r="L1295" s="9">
        <f t="shared" si="20"/>
        <v>2314285.71</v>
      </c>
    </row>
    <row r="1296" spans="1:12" ht="14.25" hidden="1" customHeight="1" x14ac:dyDescent="0.3">
      <c r="A1296" s="8">
        <v>1295</v>
      </c>
      <c r="B1296" s="8" t="str">
        <f>'Criaturas - Base de Dados'!B217</f>
        <v>Constelação Arcana</v>
      </c>
      <c r="C1296" s="8" t="str">
        <f>'Criaturas - Base de Dados'!C217</f>
        <v>Astral</v>
      </c>
      <c r="D1296" s="8" t="str">
        <f>'Criaturas - Base de Dados'!D217</f>
        <v>Titã Astral</v>
      </c>
      <c r="E1296" s="8" t="str">
        <f>'Sistema de Raridade e Evolução'!B6</f>
        <v>Platina</v>
      </c>
      <c r="F1296" s="9">
        <f>ROUND(('Criaturas - Base de Dados'!H217*'Sistema de Raridade e Evolução'!E6)*1000,2)</f>
        <v>2700000</v>
      </c>
      <c r="G1296" s="8">
        <f>ROUND('Criaturas - Base de Dados'!I217*'Sistema de Raridade e Evolução'!E6,0)</f>
        <v>1600</v>
      </c>
      <c r="H1296" s="8">
        <f>ROUND('Criaturas - Base de Dados'!J217*'Sistema de Raridade e Evolução'!E6,0)</f>
        <v>1350</v>
      </c>
      <c r="I1296" s="8">
        <f>ROUND('Criaturas - Base de Dados'!K217*'Sistema de Raridade e Evolução'!E6,0)</f>
        <v>8650</v>
      </c>
      <c r="J1296" s="8">
        <f>'Sistema de Raridade e Evolução'!D6</f>
        <v>56</v>
      </c>
      <c r="K1296" s="8" t="s">
        <v>12</v>
      </c>
      <c r="L1296" s="9">
        <f t="shared" si="20"/>
        <v>6428571.4299999997</v>
      </c>
    </row>
    <row r="1297" spans="1:12" ht="14.25" hidden="1" customHeight="1" x14ac:dyDescent="0.3">
      <c r="A1297" s="8">
        <v>1296</v>
      </c>
      <c r="B1297" s="8" t="str">
        <f>'Criaturas - Base de Dados'!B217</f>
        <v>Constelação Arcana</v>
      </c>
      <c r="C1297" s="8" t="str">
        <f>'Criaturas - Base de Dados'!C217</f>
        <v>Astral</v>
      </c>
      <c r="D1297" s="8" t="str">
        <f>'Criaturas - Base de Dados'!D217</f>
        <v>Titã Astral</v>
      </c>
      <c r="E1297" s="8" t="str">
        <f>'Sistema de Raridade e Evolução'!B7</f>
        <v>Lendário</v>
      </c>
      <c r="F1297" s="9">
        <f>ROUND(('Criaturas - Base de Dados'!H217*'Sistema de Raridade e Evolução'!E7)*1000,2)</f>
        <v>8100000</v>
      </c>
      <c r="G1297" s="8">
        <f>ROUND('Criaturas - Base de Dados'!I217*'Sistema de Raridade e Evolução'!E7,0)</f>
        <v>4800</v>
      </c>
      <c r="H1297" s="8">
        <f>ROUND('Criaturas - Base de Dados'!J217*'Sistema de Raridade e Evolução'!E7,0)</f>
        <v>4050</v>
      </c>
      <c r="I1297" s="8">
        <f>ROUND('Criaturas - Base de Dados'!K217*'Sistema de Raridade e Evolução'!E7,0)</f>
        <v>25950</v>
      </c>
      <c r="J1297" s="8">
        <f>'Sistema de Raridade e Evolução'!D7</f>
        <v>91</v>
      </c>
      <c r="K1297" s="8" t="s">
        <v>925</v>
      </c>
      <c r="L1297" s="9">
        <f t="shared" si="20"/>
        <v>19285714.289999999</v>
      </c>
    </row>
    <row r="1298" spans="1:12" ht="14.25" customHeight="1" x14ac:dyDescent="0.3">
      <c r="A1298" s="8">
        <v>1297</v>
      </c>
      <c r="B1298" s="8" t="str">
        <f>'Criaturas - Base de Dados'!B218</f>
        <v>Constelação Arcana</v>
      </c>
      <c r="C1298" s="8" t="str">
        <f>'Criaturas - Base de Dados'!C218</f>
        <v>Astral</v>
      </c>
      <c r="D1298" s="8" t="str">
        <f>'Criaturas - Base de Dados'!D218</f>
        <v>Naga Celestial</v>
      </c>
      <c r="E1298" s="8" t="str">
        <f>'Sistema de Raridade e Evolução'!B2</f>
        <v>Default</v>
      </c>
      <c r="F1298" s="9" t="e">
        <f>ROUND(('Criaturas - Base de Dados'!H218*'Sistema de Raridade e Evolução'!E2)*1000,2)</f>
        <v>#VALUE!</v>
      </c>
      <c r="G1298" s="8" t="e">
        <f>ROUND('Criaturas - Base de Dados'!I218*'Sistema de Raridade e Evolução'!E2,0)</f>
        <v>#VALUE!</v>
      </c>
      <c r="H1298" s="8" t="e">
        <f>ROUND('Criaturas - Base de Dados'!J218*'Sistema de Raridade e Evolução'!E2,0)</f>
        <v>#VALUE!</v>
      </c>
      <c r="I1298" s="8" t="e">
        <f>ROUND('Criaturas - Base de Dados'!K218*'Sistema de Raridade e Evolução'!E2,0)</f>
        <v>#VALUE!</v>
      </c>
      <c r="J1298" s="8">
        <f>'Sistema de Raridade e Evolução'!D2</f>
        <v>1</v>
      </c>
      <c r="K1298" s="8" t="s">
        <v>8</v>
      </c>
      <c r="L1298" s="9" t="e">
        <f t="shared" si="20"/>
        <v>#VALUE!</v>
      </c>
    </row>
    <row r="1299" spans="1:12" ht="14.25" hidden="1" customHeight="1" x14ac:dyDescent="0.3">
      <c r="A1299" s="8">
        <v>1298</v>
      </c>
      <c r="B1299" s="8" t="str">
        <f>'Criaturas - Base de Dados'!B218</f>
        <v>Constelação Arcana</v>
      </c>
      <c r="C1299" s="8" t="str">
        <f>'Criaturas - Base de Dados'!C218</f>
        <v>Astral</v>
      </c>
      <c r="D1299" s="8" t="str">
        <f>'Criaturas - Base de Dados'!D218</f>
        <v>Naga Celestial</v>
      </c>
      <c r="E1299" s="8" t="str">
        <f>'Sistema de Raridade e Evolução'!B3</f>
        <v>Bronze</v>
      </c>
      <c r="F1299" s="9">
        <f>ROUND(('Criaturas - Base de Dados'!H218*'Sistema de Raridade e Evolução'!E3)*1000,2)</f>
        <v>48000</v>
      </c>
      <c r="G1299" s="8">
        <f>ROUND('Criaturas - Base de Dados'!I218*'Sistema de Raridade e Evolução'!E3,0)</f>
        <v>29</v>
      </c>
      <c r="H1299" s="8">
        <f>ROUND('Criaturas - Base de Dados'!J218*'Sistema de Raridade e Evolução'!E3,0)</f>
        <v>24</v>
      </c>
      <c r="I1299" s="8">
        <f>ROUND('Criaturas - Base de Dados'!K218*'Sistema de Raridade e Evolução'!E3,0)</f>
        <v>154</v>
      </c>
      <c r="J1299" s="8">
        <f>'Sistema de Raridade e Evolução'!D3</f>
        <v>6</v>
      </c>
      <c r="K1299" s="8" t="s">
        <v>9</v>
      </c>
      <c r="L1299" s="9">
        <f t="shared" si="20"/>
        <v>114285.71</v>
      </c>
    </row>
    <row r="1300" spans="1:12" ht="14.25" hidden="1" customHeight="1" x14ac:dyDescent="0.3">
      <c r="A1300" s="8">
        <v>1299</v>
      </c>
      <c r="B1300" s="8" t="str">
        <f>'Criaturas - Base de Dados'!B218</f>
        <v>Constelação Arcana</v>
      </c>
      <c r="C1300" s="8" t="str">
        <f>'Criaturas - Base de Dados'!C218</f>
        <v>Astral</v>
      </c>
      <c r="D1300" s="8" t="str">
        <f>'Criaturas - Base de Dados'!D218</f>
        <v>Naga Celestial</v>
      </c>
      <c r="E1300" s="8" t="str">
        <f>'Sistema de Raridade e Evolução'!B4</f>
        <v>Prata</v>
      </c>
      <c r="F1300" s="9">
        <f>ROUND(('Criaturas - Base de Dados'!H218*'Sistema de Raridade e Evolução'!E4)*1000,2)</f>
        <v>288000</v>
      </c>
      <c r="G1300" s="8">
        <f>ROUND('Criaturas - Base de Dados'!I218*'Sistema de Raridade e Evolução'!E4,0)</f>
        <v>174</v>
      </c>
      <c r="H1300" s="8">
        <f>ROUND('Criaturas - Base de Dados'!J218*'Sistema de Raridade e Evolução'!E4,0)</f>
        <v>144</v>
      </c>
      <c r="I1300" s="8">
        <f>ROUND('Criaturas - Base de Dados'!K218*'Sistema de Raridade e Evolução'!E4,0)</f>
        <v>924</v>
      </c>
      <c r="J1300" s="8">
        <f>'Sistema de Raridade e Evolução'!D4</f>
        <v>16</v>
      </c>
      <c r="K1300" s="8" t="s">
        <v>10</v>
      </c>
      <c r="L1300" s="9">
        <f t="shared" si="20"/>
        <v>685714.29</v>
      </c>
    </row>
    <row r="1301" spans="1:12" ht="14.25" hidden="1" customHeight="1" x14ac:dyDescent="0.3">
      <c r="A1301" s="8">
        <v>1300</v>
      </c>
      <c r="B1301" s="8" t="str">
        <f>'Criaturas - Base de Dados'!B218</f>
        <v>Constelação Arcana</v>
      </c>
      <c r="C1301" s="8" t="str">
        <f>'Criaturas - Base de Dados'!C218</f>
        <v>Astral</v>
      </c>
      <c r="D1301" s="8" t="str">
        <f>'Criaturas - Base de Dados'!D218</f>
        <v>Naga Celestial</v>
      </c>
      <c r="E1301" s="8" t="str">
        <f>'Sistema de Raridade e Evolução'!B5</f>
        <v>Ouro</v>
      </c>
      <c r="F1301" s="9">
        <f>ROUND(('Criaturas - Base de Dados'!H218*'Sistema de Raridade e Evolução'!E5)*1000,2)</f>
        <v>864000</v>
      </c>
      <c r="G1301" s="8">
        <f>ROUND('Criaturas - Base de Dados'!I218*'Sistema de Raridade e Evolução'!E5,0)</f>
        <v>522</v>
      </c>
      <c r="H1301" s="8">
        <f>ROUND('Criaturas - Base de Dados'!J218*'Sistema de Raridade e Evolução'!E5,0)</f>
        <v>432</v>
      </c>
      <c r="I1301" s="8">
        <f>ROUND('Criaturas - Base de Dados'!K218*'Sistema de Raridade e Evolução'!E5,0)</f>
        <v>2772</v>
      </c>
      <c r="J1301" s="8">
        <f>'Sistema de Raridade e Evolução'!D5</f>
        <v>31</v>
      </c>
      <c r="K1301" s="8" t="s">
        <v>11</v>
      </c>
      <c r="L1301" s="9">
        <f t="shared" si="20"/>
        <v>2057142.86</v>
      </c>
    </row>
    <row r="1302" spans="1:12" ht="14.25" hidden="1" customHeight="1" x14ac:dyDescent="0.3">
      <c r="A1302" s="8">
        <v>1301</v>
      </c>
      <c r="B1302" s="8" t="str">
        <f>'Criaturas - Base de Dados'!B218</f>
        <v>Constelação Arcana</v>
      </c>
      <c r="C1302" s="8" t="str">
        <f>'Criaturas - Base de Dados'!C218</f>
        <v>Astral</v>
      </c>
      <c r="D1302" s="8" t="str">
        <f>'Criaturas - Base de Dados'!D218</f>
        <v>Naga Celestial</v>
      </c>
      <c r="E1302" s="8" t="str">
        <f>'Sistema de Raridade e Evolução'!B6</f>
        <v>Platina</v>
      </c>
      <c r="F1302" s="9">
        <f>ROUND(('Criaturas - Base de Dados'!H218*'Sistema de Raridade e Evolução'!E6)*1000,2)</f>
        <v>2400000</v>
      </c>
      <c r="G1302" s="8">
        <f>ROUND('Criaturas - Base de Dados'!I218*'Sistema de Raridade e Evolução'!E6,0)</f>
        <v>1450</v>
      </c>
      <c r="H1302" s="8">
        <f>ROUND('Criaturas - Base de Dados'!J218*'Sistema de Raridade e Evolução'!E6,0)</f>
        <v>1200</v>
      </c>
      <c r="I1302" s="8">
        <f>ROUND('Criaturas - Base de Dados'!K218*'Sistema de Raridade e Evolução'!E6,0)</f>
        <v>7700</v>
      </c>
      <c r="J1302" s="8">
        <f>'Sistema de Raridade e Evolução'!D6</f>
        <v>56</v>
      </c>
      <c r="K1302" s="8" t="s">
        <v>12</v>
      </c>
      <c r="L1302" s="9">
        <f t="shared" si="20"/>
        <v>5714285.71</v>
      </c>
    </row>
    <row r="1303" spans="1:12" ht="14.25" hidden="1" customHeight="1" x14ac:dyDescent="0.3">
      <c r="A1303" s="8">
        <v>1302</v>
      </c>
      <c r="B1303" s="8" t="str">
        <f>'Criaturas - Base de Dados'!B218</f>
        <v>Constelação Arcana</v>
      </c>
      <c r="C1303" s="8" t="str">
        <f>'Criaturas - Base de Dados'!C218</f>
        <v>Astral</v>
      </c>
      <c r="D1303" s="8" t="str">
        <f>'Criaturas - Base de Dados'!D218</f>
        <v>Naga Celestial</v>
      </c>
      <c r="E1303" s="8" t="str">
        <f>'Sistema de Raridade e Evolução'!B7</f>
        <v>Lendário</v>
      </c>
      <c r="F1303" s="9">
        <f>ROUND(('Criaturas - Base de Dados'!H218*'Sistema de Raridade e Evolução'!E7)*1000,2)</f>
        <v>7200000</v>
      </c>
      <c r="G1303" s="8">
        <f>ROUND('Criaturas - Base de Dados'!I218*'Sistema de Raridade e Evolução'!E7,0)</f>
        <v>4350</v>
      </c>
      <c r="H1303" s="8">
        <f>ROUND('Criaturas - Base de Dados'!J218*'Sistema de Raridade e Evolução'!E7,0)</f>
        <v>3600</v>
      </c>
      <c r="I1303" s="8">
        <f>ROUND('Criaturas - Base de Dados'!K218*'Sistema de Raridade e Evolução'!E7,0)</f>
        <v>23100</v>
      </c>
      <c r="J1303" s="8">
        <f>'Sistema de Raridade e Evolução'!D7</f>
        <v>91</v>
      </c>
      <c r="K1303" s="8" t="s">
        <v>925</v>
      </c>
      <c r="L1303" s="9">
        <f t="shared" si="20"/>
        <v>17142857.140000001</v>
      </c>
    </row>
    <row r="1304" spans="1:12" ht="14.25" customHeight="1" x14ac:dyDescent="0.3">
      <c r="A1304" s="8">
        <v>1303</v>
      </c>
      <c r="B1304" s="8" t="str">
        <f>'Criaturas - Base de Dados'!B219</f>
        <v>Constelação Arcana</v>
      </c>
      <c r="C1304" s="8" t="str">
        <f>'Criaturas - Base de Dados'!C219</f>
        <v>Astral</v>
      </c>
      <c r="D1304" s="8" t="str">
        <f>'Criaturas - Base de Dados'!D219</f>
        <v>Dragão-Lunar Chinês</v>
      </c>
      <c r="E1304" s="8" t="str">
        <f>'Sistema de Raridade e Evolução'!B2</f>
        <v>Default</v>
      </c>
      <c r="F1304" s="9" t="e">
        <f>ROUND(('Criaturas - Base de Dados'!H219*'Sistema de Raridade e Evolução'!E2)*1000,2)</f>
        <v>#VALUE!</v>
      </c>
      <c r="G1304" s="8" t="e">
        <f>ROUND('Criaturas - Base de Dados'!I219*'Sistema de Raridade e Evolução'!E2,0)</f>
        <v>#VALUE!</v>
      </c>
      <c r="H1304" s="8" t="e">
        <f>ROUND('Criaturas - Base de Dados'!J219*'Sistema de Raridade e Evolução'!E2,0)</f>
        <v>#VALUE!</v>
      </c>
      <c r="I1304" s="8" t="e">
        <f>ROUND('Criaturas - Base de Dados'!K219*'Sistema de Raridade e Evolução'!E2,0)</f>
        <v>#VALUE!</v>
      </c>
      <c r="J1304" s="8">
        <f>'Sistema de Raridade e Evolução'!D2</f>
        <v>1</v>
      </c>
      <c r="K1304" s="8" t="s">
        <v>8</v>
      </c>
      <c r="L1304" s="9" t="e">
        <f t="shared" si="20"/>
        <v>#VALUE!</v>
      </c>
    </row>
    <row r="1305" spans="1:12" ht="14.25" hidden="1" customHeight="1" x14ac:dyDescent="0.3">
      <c r="A1305" s="8">
        <v>1304</v>
      </c>
      <c r="B1305" s="8" t="str">
        <f>'Criaturas - Base de Dados'!B219</f>
        <v>Constelação Arcana</v>
      </c>
      <c r="C1305" s="8" t="str">
        <f>'Criaturas - Base de Dados'!C219</f>
        <v>Astral</v>
      </c>
      <c r="D1305" s="8" t="str">
        <f>'Criaturas - Base de Dados'!D219</f>
        <v>Dragão-Lunar Chinês</v>
      </c>
      <c r="E1305" s="8" t="str">
        <f>'Sistema de Raridade e Evolução'!B3</f>
        <v>Bronze</v>
      </c>
      <c r="F1305" s="9">
        <f>ROUND(('Criaturas - Base de Dados'!H219*'Sistema de Raridade e Evolução'!E3)*1000,2)</f>
        <v>50000</v>
      </c>
      <c r="G1305" s="8">
        <f>ROUND('Criaturas - Base de Dados'!I219*'Sistema de Raridade e Evolução'!E3,0)</f>
        <v>30</v>
      </c>
      <c r="H1305" s="8">
        <f>ROUND('Criaturas - Base de Dados'!J219*'Sistema de Raridade e Evolução'!E3,0)</f>
        <v>25</v>
      </c>
      <c r="I1305" s="8">
        <f>ROUND('Criaturas - Base de Dados'!K219*'Sistema de Raridade e Evolução'!E3,0)</f>
        <v>160</v>
      </c>
      <c r="J1305" s="8">
        <f>'Sistema de Raridade e Evolução'!D3</f>
        <v>6</v>
      </c>
      <c r="K1305" s="8" t="s">
        <v>9</v>
      </c>
      <c r="L1305" s="9">
        <f t="shared" si="20"/>
        <v>119047.62</v>
      </c>
    </row>
    <row r="1306" spans="1:12" ht="14.25" hidden="1" customHeight="1" x14ac:dyDescent="0.3">
      <c r="A1306" s="8">
        <v>1305</v>
      </c>
      <c r="B1306" s="8" t="str">
        <f>'Criaturas - Base de Dados'!B219</f>
        <v>Constelação Arcana</v>
      </c>
      <c r="C1306" s="8" t="str">
        <f>'Criaturas - Base de Dados'!C219</f>
        <v>Astral</v>
      </c>
      <c r="D1306" s="8" t="str">
        <f>'Criaturas - Base de Dados'!D219</f>
        <v>Dragão-Lunar Chinês</v>
      </c>
      <c r="E1306" s="8" t="str">
        <f>'Sistema de Raridade e Evolução'!B4</f>
        <v>Prata</v>
      </c>
      <c r="F1306" s="9">
        <f>ROUND(('Criaturas - Base de Dados'!H219*'Sistema de Raridade e Evolução'!E4)*1000,2)</f>
        <v>300000</v>
      </c>
      <c r="G1306" s="8">
        <f>ROUND('Criaturas - Base de Dados'!I219*'Sistema de Raridade e Evolução'!E4,0)</f>
        <v>180</v>
      </c>
      <c r="H1306" s="8">
        <f>ROUND('Criaturas - Base de Dados'!J219*'Sistema de Raridade e Evolução'!E4,0)</f>
        <v>150</v>
      </c>
      <c r="I1306" s="8">
        <f>ROUND('Criaturas - Base de Dados'!K219*'Sistema de Raridade e Evolução'!E4,0)</f>
        <v>960</v>
      </c>
      <c r="J1306" s="8">
        <f>'Sistema de Raridade e Evolução'!D4</f>
        <v>16</v>
      </c>
      <c r="K1306" s="8" t="s">
        <v>10</v>
      </c>
      <c r="L1306" s="9">
        <f t="shared" si="20"/>
        <v>714285.71</v>
      </c>
    </row>
    <row r="1307" spans="1:12" ht="14.25" hidden="1" customHeight="1" x14ac:dyDescent="0.3">
      <c r="A1307" s="8">
        <v>1306</v>
      </c>
      <c r="B1307" s="8" t="str">
        <f>'Criaturas - Base de Dados'!B219</f>
        <v>Constelação Arcana</v>
      </c>
      <c r="C1307" s="8" t="str">
        <f>'Criaturas - Base de Dados'!C219</f>
        <v>Astral</v>
      </c>
      <c r="D1307" s="8" t="str">
        <f>'Criaturas - Base de Dados'!D219</f>
        <v>Dragão-Lunar Chinês</v>
      </c>
      <c r="E1307" s="8" t="str">
        <f>'Sistema de Raridade e Evolução'!B5</f>
        <v>Ouro</v>
      </c>
      <c r="F1307" s="9">
        <f>ROUND(('Criaturas - Base de Dados'!H219*'Sistema de Raridade e Evolução'!E5)*1000,2)</f>
        <v>900000</v>
      </c>
      <c r="G1307" s="8">
        <f>ROUND('Criaturas - Base de Dados'!I219*'Sistema de Raridade e Evolução'!E5,0)</f>
        <v>540</v>
      </c>
      <c r="H1307" s="8">
        <f>ROUND('Criaturas - Base de Dados'!J219*'Sistema de Raridade e Evolução'!E5,0)</f>
        <v>450</v>
      </c>
      <c r="I1307" s="8">
        <f>ROUND('Criaturas - Base de Dados'!K219*'Sistema de Raridade e Evolução'!E5,0)</f>
        <v>2880</v>
      </c>
      <c r="J1307" s="8">
        <f>'Sistema de Raridade e Evolução'!D5</f>
        <v>31</v>
      </c>
      <c r="K1307" s="8" t="s">
        <v>11</v>
      </c>
      <c r="L1307" s="9">
        <f t="shared" si="20"/>
        <v>2142857.14</v>
      </c>
    </row>
    <row r="1308" spans="1:12" ht="14.25" hidden="1" customHeight="1" x14ac:dyDescent="0.3">
      <c r="A1308" s="8">
        <v>1307</v>
      </c>
      <c r="B1308" s="8" t="str">
        <f>'Criaturas - Base de Dados'!B219</f>
        <v>Constelação Arcana</v>
      </c>
      <c r="C1308" s="8" t="str">
        <f>'Criaturas - Base de Dados'!C219</f>
        <v>Astral</v>
      </c>
      <c r="D1308" s="8" t="str">
        <f>'Criaturas - Base de Dados'!D219</f>
        <v>Dragão-Lunar Chinês</v>
      </c>
      <c r="E1308" s="8" t="str">
        <f>'Sistema de Raridade e Evolução'!B6</f>
        <v>Platina</v>
      </c>
      <c r="F1308" s="9">
        <f>ROUND(('Criaturas - Base de Dados'!H219*'Sistema de Raridade e Evolução'!E6)*1000,2)</f>
        <v>2500000</v>
      </c>
      <c r="G1308" s="8">
        <f>ROUND('Criaturas - Base de Dados'!I219*'Sistema de Raridade e Evolução'!E6,0)</f>
        <v>1500</v>
      </c>
      <c r="H1308" s="8">
        <f>ROUND('Criaturas - Base de Dados'!J219*'Sistema de Raridade e Evolução'!E6,0)</f>
        <v>1250</v>
      </c>
      <c r="I1308" s="8">
        <f>ROUND('Criaturas - Base de Dados'!K219*'Sistema de Raridade e Evolução'!E6,0)</f>
        <v>8000</v>
      </c>
      <c r="J1308" s="8">
        <f>'Sistema de Raridade e Evolução'!D6</f>
        <v>56</v>
      </c>
      <c r="K1308" s="8" t="s">
        <v>12</v>
      </c>
      <c r="L1308" s="9">
        <f t="shared" si="20"/>
        <v>5952380.9500000002</v>
      </c>
    </row>
    <row r="1309" spans="1:12" ht="14.25" hidden="1" customHeight="1" x14ac:dyDescent="0.3">
      <c r="A1309" s="8">
        <v>1308</v>
      </c>
      <c r="B1309" s="8" t="str">
        <f>'Criaturas - Base de Dados'!B219</f>
        <v>Constelação Arcana</v>
      </c>
      <c r="C1309" s="8" t="str">
        <f>'Criaturas - Base de Dados'!C219</f>
        <v>Astral</v>
      </c>
      <c r="D1309" s="8" t="str">
        <f>'Criaturas - Base de Dados'!D219</f>
        <v>Dragão-Lunar Chinês</v>
      </c>
      <c r="E1309" s="8" t="str">
        <f>'Sistema de Raridade e Evolução'!B7</f>
        <v>Lendário</v>
      </c>
      <c r="F1309" s="9">
        <f>ROUND(('Criaturas - Base de Dados'!H219*'Sistema de Raridade e Evolução'!E7)*1000,2)</f>
        <v>7500000</v>
      </c>
      <c r="G1309" s="8">
        <f>ROUND('Criaturas - Base de Dados'!I219*'Sistema de Raridade e Evolução'!E7,0)</f>
        <v>4500</v>
      </c>
      <c r="H1309" s="8">
        <f>ROUND('Criaturas - Base de Dados'!J219*'Sistema de Raridade e Evolução'!E7,0)</f>
        <v>3750</v>
      </c>
      <c r="I1309" s="8">
        <f>ROUND('Criaturas - Base de Dados'!K219*'Sistema de Raridade e Evolução'!E7,0)</f>
        <v>24000</v>
      </c>
      <c r="J1309" s="8">
        <f>'Sistema de Raridade e Evolução'!D7</f>
        <v>91</v>
      </c>
      <c r="K1309" s="8" t="s">
        <v>925</v>
      </c>
      <c r="L1309" s="9">
        <f t="shared" si="20"/>
        <v>17857142.859999999</v>
      </c>
    </row>
    <row r="1310" spans="1:12" ht="14.25" customHeight="1" x14ac:dyDescent="0.3">
      <c r="A1310" s="8">
        <v>1309</v>
      </c>
      <c r="B1310" s="8" t="str">
        <f>'Criaturas - Base de Dados'!B220</f>
        <v>Constelação Arcana</v>
      </c>
      <c r="C1310" s="8" t="str">
        <f>'Criaturas - Base de Dados'!C220</f>
        <v>Astral</v>
      </c>
      <c r="D1310" s="8" t="str">
        <f>'Criaturas - Base de Dados'!D220</f>
        <v>Wyrm das Galáxias</v>
      </c>
      <c r="E1310" s="8" t="str">
        <f>'Sistema de Raridade e Evolução'!B2</f>
        <v>Default</v>
      </c>
      <c r="F1310" s="9" t="e">
        <f>ROUND(('Criaturas - Base de Dados'!H220*'Sistema de Raridade e Evolução'!E2)*1000,2)</f>
        <v>#VALUE!</v>
      </c>
      <c r="G1310" s="8" t="e">
        <f>ROUND('Criaturas - Base de Dados'!I220*'Sistema de Raridade e Evolução'!E2,0)</f>
        <v>#VALUE!</v>
      </c>
      <c r="H1310" s="8" t="e">
        <f>ROUND('Criaturas - Base de Dados'!J220*'Sistema de Raridade e Evolução'!E2,0)</f>
        <v>#VALUE!</v>
      </c>
      <c r="I1310" s="8" t="e">
        <f>ROUND('Criaturas - Base de Dados'!K220*'Sistema de Raridade e Evolução'!E2,0)</f>
        <v>#VALUE!</v>
      </c>
      <c r="J1310" s="8">
        <f>'Sistema de Raridade e Evolução'!D2</f>
        <v>1</v>
      </c>
      <c r="K1310" s="8" t="s">
        <v>8</v>
      </c>
      <c r="L1310" s="9" t="e">
        <f t="shared" si="20"/>
        <v>#VALUE!</v>
      </c>
    </row>
    <row r="1311" spans="1:12" ht="14.25" hidden="1" customHeight="1" x14ac:dyDescent="0.3">
      <c r="A1311" s="8">
        <v>1310</v>
      </c>
      <c r="B1311" s="8" t="str">
        <f>'Criaturas - Base de Dados'!B220</f>
        <v>Constelação Arcana</v>
      </c>
      <c r="C1311" s="8" t="str">
        <f>'Criaturas - Base de Dados'!C220</f>
        <v>Astral</v>
      </c>
      <c r="D1311" s="8" t="str">
        <f>'Criaturas - Base de Dados'!D220</f>
        <v>Wyrm das Galáxias</v>
      </c>
      <c r="E1311" s="8" t="str">
        <f>'Sistema de Raridade e Evolução'!B3</f>
        <v>Bronze</v>
      </c>
      <c r="F1311" s="9">
        <f>ROUND(('Criaturas - Base de Dados'!H220*'Sistema de Raridade e Evolução'!E3)*1000,2)</f>
        <v>69000</v>
      </c>
      <c r="G1311" s="8">
        <f>ROUND('Criaturas - Base de Dados'!I220*'Sistema de Raridade e Evolução'!E3,0)</f>
        <v>41</v>
      </c>
      <c r="H1311" s="8">
        <f>ROUND('Criaturas - Base de Dados'!J220*'Sistema de Raridade e Evolução'!E3,0)</f>
        <v>34</v>
      </c>
      <c r="I1311" s="8">
        <f>ROUND('Criaturas - Base de Dados'!K220*'Sistema de Raridade e Evolução'!E3,0)</f>
        <v>221</v>
      </c>
      <c r="J1311" s="8">
        <f>'Sistema de Raridade e Evolução'!D3</f>
        <v>6</v>
      </c>
      <c r="K1311" s="8" t="s">
        <v>9</v>
      </c>
      <c r="L1311" s="9">
        <f t="shared" si="20"/>
        <v>164285.71</v>
      </c>
    </row>
    <row r="1312" spans="1:12" ht="14.25" hidden="1" customHeight="1" x14ac:dyDescent="0.3">
      <c r="A1312" s="8">
        <v>1311</v>
      </c>
      <c r="B1312" s="8" t="str">
        <f>'Criaturas - Base de Dados'!B220</f>
        <v>Constelação Arcana</v>
      </c>
      <c r="C1312" s="8" t="str">
        <f>'Criaturas - Base de Dados'!C220</f>
        <v>Astral</v>
      </c>
      <c r="D1312" s="8" t="str">
        <f>'Criaturas - Base de Dados'!D220</f>
        <v>Wyrm das Galáxias</v>
      </c>
      <c r="E1312" s="8" t="str">
        <f>'Sistema de Raridade e Evolução'!B4</f>
        <v>Prata</v>
      </c>
      <c r="F1312" s="9">
        <f>ROUND(('Criaturas - Base de Dados'!H220*'Sistema de Raridade e Evolução'!E4)*1000,2)</f>
        <v>414000</v>
      </c>
      <c r="G1312" s="8">
        <f>ROUND('Criaturas - Base de Dados'!I220*'Sistema de Raridade e Evolução'!E4,0)</f>
        <v>246</v>
      </c>
      <c r="H1312" s="8">
        <f>ROUND('Criaturas - Base de Dados'!J220*'Sistema de Raridade e Evolução'!E4,0)</f>
        <v>204</v>
      </c>
      <c r="I1312" s="8">
        <f>ROUND('Criaturas - Base de Dados'!K220*'Sistema de Raridade e Evolução'!E4,0)</f>
        <v>1326</v>
      </c>
      <c r="J1312" s="8">
        <f>'Sistema de Raridade e Evolução'!D4</f>
        <v>16</v>
      </c>
      <c r="K1312" s="8" t="s">
        <v>10</v>
      </c>
      <c r="L1312" s="9">
        <f t="shared" si="20"/>
        <v>985714.29</v>
      </c>
    </row>
    <row r="1313" spans="1:12" ht="14.25" hidden="1" customHeight="1" x14ac:dyDescent="0.3">
      <c r="A1313" s="8">
        <v>1312</v>
      </c>
      <c r="B1313" s="8" t="str">
        <f>'Criaturas - Base de Dados'!B220</f>
        <v>Constelação Arcana</v>
      </c>
      <c r="C1313" s="8" t="str">
        <f>'Criaturas - Base de Dados'!C220</f>
        <v>Astral</v>
      </c>
      <c r="D1313" s="8" t="str">
        <f>'Criaturas - Base de Dados'!D220</f>
        <v>Wyrm das Galáxias</v>
      </c>
      <c r="E1313" s="8" t="str">
        <f>'Sistema de Raridade e Evolução'!B5</f>
        <v>Ouro</v>
      </c>
      <c r="F1313" s="9">
        <f>ROUND(('Criaturas - Base de Dados'!H220*'Sistema de Raridade e Evolução'!E5)*1000,2)</f>
        <v>1242000</v>
      </c>
      <c r="G1313" s="8">
        <f>ROUND('Criaturas - Base de Dados'!I220*'Sistema de Raridade e Evolução'!E5,0)</f>
        <v>738</v>
      </c>
      <c r="H1313" s="8">
        <f>ROUND('Criaturas - Base de Dados'!J220*'Sistema de Raridade e Evolução'!E5,0)</f>
        <v>612</v>
      </c>
      <c r="I1313" s="8">
        <f>ROUND('Criaturas - Base de Dados'!K220*'Sistema de Raridade e Evolução'!E5,0)</f>
        <v>3978</v>
      </c>
      <c r="J1313" s="8">
        <f>'Sistema de Raridade e Evolução'!D5</f>
        <v>31</v>
      </c>
      <c r="K1313" s="8" t="s">
        <v>11</v>
      </c>
      <c r="L1313" s="9">
        <f t="shared" si="20"/>
        <v>2957142.86</v>
      </c>
    </row>
    <row r="1314" spans="1:12" ht="14.25" hidden="1" customHeight="1" x14ac:dyDescent="0.3">
      <c r="A1314" s="8">
        <v>1313</v>
      </c>
      <c r="B1314" s="8" t="str">
        <f>'Criaturas - Base de Dados'!B220</f>
        <v>Constelação Arcana</v>
      </c>
      <c r="C1314" s="8" t="str">
        <f>'Criaturas - Base de Dados'!C220</f>
        <v>Astral</v>
      </c>
      <c r="D1314" s="8" t="str">
        <f>'Criaturas - Base de Dados'!D220</f>
        <v>Wyrm das Galáxias</v>
      </c>
      <c r="E1314" s="8" t="str">
        <f>'Sistema de Raridade e Evolução'!B6</f>
        <v>Platina</v>
      </c>
      <c r="F1314" s="9">
        <f>ROUND(('Criaturas - Base de Dados'!H220*'Sistema de Raridade e Evolução'!E6)*1000,2)</f>
        <v>3450000</v>
      </c>
      <c r="G1314" s="8">
        <f>ROUND('Criaturas - Base de Dados'!I220*'Sistema de Raridade e Evolução'!E6,0)</f>
        <v>2050</v>
      </c>
      <c r="H1314" s="8">
        <f>ROUND('Criaturas - Base de Dados'!J220*'Sistema de Raridade e Evolução'!E6,0)</f>
        <v>1700</v>
      </c>
      <c r="I1314" s="8">
        <f>ROUND('Criaturas - Base de Dados'!K220*'Sistema de Raridade e Evolução'!E6,0)</f>
        <v>11050</v>
      </c>
      <c r="J1314" s="8">
        <f>'Sistema de Raridade e Evolução'!D6</f>
        <v>56</v>
      </c>
      <c r="K1314" s="8" t="s">
        <v>12</v>
      </c>
      <c r="L1314" s="9">
        <f t="shared" si="20"/>
        <v>8214285.71</v>
      </c>
    </row>
    <row r="1315" spans="1:12" ht="14.25" hidden="1" customHeight="1" x14ac:dyDescent="0.3">
      <c r="A1315" s="8">
        <v>1314</v>
      </c>
      <c r="B1315" s="8" t="str">
        <f>'Criaturas - Base de Dados'!B220</f>
        <v>Constelação Arcana</v>
      </c>
      <c r="C1315" s="8" t="str">
        <f>'Criaturas - Base de Dados'!C220</f>
        <v>Astral</v>
      </c>
      <c r="D1315" s="8" t="str">
        <f>'Criaturas - Base de Dados'!D220</f>
        <v>Wyrm das Galáxias</v>
      </c>
      <c r="E1315" s="8" t="str">
        <f>'Sistema de Raridade e Evolução'!B7</f>
        <v>Lendário</v>
      </c>
      <c r="F1315" s="9">
        <f>ROUND(('Criaturas - Base de Dados'!H220*'Sistema de Raridade e Evolução'!E7)*1000,2)</f>
        <v>10350000</v>
      </c>
      <c r="G1315" s="8">
        <f>ROUND('Criaturas - Base de Dados'!I220*'Sistema de Raridade e Evolução'!E7,0)</f>
        <v>6150</v>
      </c>
      <c r="H1315" s="8">
        <f>ROUND('Criaturas - Base de Dados'!J220*'Sistema de Raridade e Evolução'!E7,0)</f>
        <v>5100</v>
      </c>
      <c r="I1315" s="8">
        <f>ROUND('Criaturas - Base de Dados'!K220*'Sistema de Raridade e Evolução'!E7,0)</f>
        <v>33150</v>
      </c>
      <c r="J1315" s="8">
        <f>'Sistema de Raridade e Evolução'!D7</f>
        <v>91</v>
      </c>
      <c r="K1315" s="8" t="s">
        <v>925</v>
      </c>
      <c r="L1315" s="9">
        <f t="shared" si="20"/>
        <v>24642857.140000001</v>
      </c>
    </row>
    <row r="1316" spans="1:12" ht="14.25" customHeight="1" x14ac:dyDescent="0.3">
      <c r="A1316" s="8">
        <v>1315</v>
      </c>
      <c r="B1316" s="8" t="str">
        <f>'Criaturas - Base de Dados'!B221</f>
        <v>Constelação Arcana</v>
      </c>
      <c r="C1316" s="8" t="str">
        <f>'Criaturas - Base de Dados'!C221</f>
        <v>Astral</v>
      </c>
      <c r="D1316" s="8" t="str">
        <f>'Criaturas - Base de Dados'!D221</f>
        <v>Vidente das Estrelas</v>
      </c>
      <c r="E1316" s="8" t="str">
        <f>'Sistema de Raridade e Evolução'!B2</f>
        <v>Default</v>
      </c>
      <c r="F1316" s="9" t="e">
        <f>ROUND(('Criaturas - Base de Dados'!H221*'Sistema de Raridade e Evolução'!E2)*1000,2)</f>
        <v>#VALUE!</v>
      </c>
      <c r="G1316" s="8" t="e">
        <f>ROUND('Criaturas - Base de Dados'!I221*'Sistema de Raridade e Evolução'!E2,0)</f>
        <v>#VALUE!</v>
      </c>
      <c r="H1316" s="8" t="e">
        <f>ROUND('Criaturas - Base de Dados'!J221*'Sistema de Raridade e Evolução'!E2,0)</f>
        <v>#VALUE!</v>
      </c>
      <c r="I1316" s="8" t="e">
        <f>ROUND('Criaturas - Base de Dados'!K221*'Sistema de Raridade e Evolução'!E2,0)</f>
        <v>#VALUE!</v>
      </c>
      <c r="J1316" s="8">
        <f>'Sistema de Raridade e Evolução'!D2</f>
        <v>1</v>
      </c>
      <c r="K1316" s="8" t="s">
        <v>8</v>
      </c>
      <c r="L1316" s="9" t="e">
        <f t="shared" si="20"/>
        <v>#VALUE!</v>
      </c>
    </row>
    <row r="1317" spans="1:12" ht="14.25" hidden="1" customHeight="1" x14ac:dyDescent="0.3">
      <c r="A1317" s="8">
        <v>1316</v>
      </c>
      <c r="B1317" s="8" t="str">
        <f>'Criaturas - Base de Dados'!B221</f>
        <v>Constelação Arcana</v>
      </c>
      <c r="C1317" s="8" t="str">
        <f>'Criaturas - Base de Dados'!C221</f>
        <v>Astral</v>
      </c>
      <c r="D1317" s="8" t="str">
        <f>'Criaturas - Base de Dados'!D221</f>
        <v>Vidente das Estrelas</v>
      </c>
      <c r="E1317" s="8" t="str">
        <f>'Sistema de Raridade e Evolução'!B3</f>
        <v>Bronze</v>
      </c>
      <c r="F1317" s="9">
        <f>ROUND(('Criaturas - Base de Dados'!H221*'Sistema de Raridade e Evolução'!E3)*1000,2)</f>
        <v>71000</v>
      </c>
      <c r="G1317" s="8">
        <f>ROUND('Criaturas - Base de Dados'!I221*'Sistema de Raridade e Evolução'!E3,0)</f>
        <v>43</v>
      </c>
      <c r="H1317" s="8">
        <f>ROUND('Criaturas - Base de Dados'!J221*'Sistema de Raridade e Evolução'!E3,0)</f>
        <v>36</v>
      </c>
      <c r="I1317" s="8">
        <f>ROUND('Criaturas - Base de Dados'!K221*'Sistema de Raridade e Evolução'!E3,0)</f>
        <v>227</v>
      </c>
      <c r="J1317" s="8">
        <f>'Sistema de Raridade e Evolução'!D3</f>
        <v>6</v>
      </c>
      <c r="K1317" s="8" t="s">
        <v>9</v>
      </c>
      <c r="L1317" s="9">
        <f t="shared" si="20"/>
        <v>169047.62</v>
      </c>
    </row>
    <row r="1318" spans="1:12" ht="14.25" hidden="1" customHeight="1" x14ac:dyDescent="0.3">
      <c r="A1318" s="8">
        <v>1317</v>
      </c>
      <c r="B1318" s="8" t="str">
        <f>'Criaturas - Base de Dados'!B221</f>
        <v>Constelação Arcana</v>
      </c>
      <c r="C1318" s="8" t="str">
        <f>'Criaturas - Base de Dados'!C221</f>
        <v>Astral</v>
      </c>
      <c r="D1318" s="8" t="str">
        <f>'Criaturas - Base de Dados'!D221</f>
        <v>Vidente das Estrelas</v>
      </c>
      <c r="E1318" s="8" t="str">
        <f>'Sistema de Raridade e Evolução'!B4</f>
        <v>Prata</v>
      </c>
      <c r="F1318" s="9">
        <f>ROUND(('Criaturas - Base de Dados'!H221*'Sistema de Raridade e Evolução'!E4)*1000,2)</f>
        <v>426000</v>
      </c>
      <c r="G1318" s="8">
        <f>ROUND('Criaturas - Base de Dados'!I221*'Sistema de Raridade e Evolução'!E4,0)</f>
        <v>258</v>
      </c>
      <c r="H1318" s="8">
        <f>ROUND('Criaturas - Base de Dados'!J221*'Sistema de Raridade e Evolução'!E4,0)</f>
        <v>216</v>
      </c>
      <c r="I1318" s="8">
        <f>ROUND('Criaturas - Base de Dados'!K221*'Sistema de Raridade e Evolução'!E4,0)</f>
        <v>1362</v>
      </c>
      <c r="J1318" s="8">
        <f>'Sistema de Raridade e Evolução'!D4</f>
        <v>16</v>
      </c>
      <c r="K1318" s="8" t="s">
        <v>10</v>
      </c>
      <c r="L1318" s="9">
        <f t="shared" si="20"/>
        <v>1014285.71</v>
      </c>
    </row>
    <row r="1319" spans="1:12" ht="14.25" hidden="1" customHeight="1" x14ac:dyDescent="0.3">
      <c r="A1319" s="8">
        <v>1318</v>
      </c>
      <c r="B1319" s="8" t="str">
        <f>'Criaturas - Base de Dados'!B221</f>
        <v>Constelação Arcana</v>
      </c>
      <c r="C1319" s="8" t="str">
        <f>'Criaturas - Base de Dados'!C221</f>
        <v>Astral</v>
      </c>
      <c r="D1319" s="8" t="str">
        <f>'Criaturas - Base de Dados'!D221</f>
        <v>Vidente das Estrelas</v>
      </c>
      <c r="E1319" s="8" t="str">
        <f>'Sistema de Raridade e Evolução'!B5</f>
        <v>Ouro</v>
      </c>
      <c r="F1319" s="9">
        <f>ROUND(('Criaturas - Base de Dados'!H221*'Sistema de Raridade e Evolução'!E5)*1000,2)</f>
        <v>1278000</v>
      </c>
      <c r="G1319" s="8">
        <f>ROUND('Criaturas - Base de Dados'!I221*'Sistema de Raridade e Evolução'!E5,0)</f>
        <v>774</v>
      </c>
      <c r="H1319" s="8">
        <f>ROUND('Criaturas - Base de Dados'!J221*'Sistema de Raridade e Evolução'!E5,0)</f>
        <v>648</v>
      </c>
      <c r="I1319" s="8">
        <f>ROUND('Criaturas - Base de Dados'!K221*'Sistema de Raridade e Evolução'!E5,0)</f>
        <v>4086</v>
      </c>
      <c r="J1319" s="8">
        <f>'Sistema de Raridade e Evolução'!D5</f>
        <v>31</v>
      </c>
      <c r="K1319" s="8" t="s">
        <v>11</v>
      </c>
      <c r="L1319" s="9">
        <f t="shared" si="20"/>
        <v>3042857.14</v>
      </c>
    </row>
    <row r="1320" spans="1:12" ht="14.25" hidden="1" customHeight="1" x14ac:dyDescent="0.3">
      <c r="A1320" s="8">
        <v>1319</v>
      </c>
      <c r="B1320" s="8" t="str">
        <f>'Criaturas - Base de Dados'!B221</f>
        <v>Constelação Arcana</v>
      </c>
      <c r="C1320" s="8" t="str">
        <f>'Criaturas - Base de Dados'!C221</f>
        <v>Astral</v>
      </c>
      <c r="D1320" s="8" t="str">
        <f>'Criaturas - Base de Dados'!D221</f>
        <v>Vidente das Estrelas</v>
      </c>
      <c r="E1320" s="8" t="str">
        <f>'Sistema de Raridade e Evolução'!B6</f>
        <v>Platina</v>
      </c>
      <c r="F1320" s="9">
        <f>ROUND(('Criaturas - Base de Dados'!H221*'Sistema de Raridade e Evolução'!E6)*1000,2)</f>
        <v>3550000</v>
      </c>
      <c r="G1320" s="8">
        <f>ROUND('Criaturas - Base de Dados'!I221*'Sistema de Raridade e Evolução'!E6,0)</f>
        <v>2150</v>
      </c>
      <c r="H1320" s="8">
        <f>ROUND('Criaturas - Base de Dados'!J221*'Sistema de Raridade e Evolução'!E6,0)</f>
        <v>1800</v>
      </c>
      <c r="I1320" s="8">
        <f>ROUND('Criaturas - Base de Dados'!K221*'Sistema de Raridade e Evolução'!E6,0)</f>
        <v>11350</v>
      </c>
      <c r="J1320" s="8">
        <f>'Sistema de Raridade e Evolução'!D6</f>
        <v>56</v>
      </c>
      <c r="K1320" s="8" t="s">
        <v>12</v>
      </c>
      <c r="L1320" s="9">
        <f t="shared" si="20"/>
        <v>8452380.9499999993</v>
      </c>
    </row>
    <row r="1321" spans="1:12" ht="14.25" hidden="1" customHeight="1" x14ac:dyDescent="0.3">
      <c r="A1321" s="8">
        <v>1320</v>
      </c>
      <c r="B1321" s="8" t="str">
        <f>'Criaturas - Base de Dados'!B221</f>
        <v>Constelação Arcana</v>
      </c>
      <c r="C1321" s="8" t="str">
        <f>'Criaturas - Base de Dados'!C221</f>
        <v>Astral</v>
      </c>
      <c r="D1321" s="8" t="str">
        <f>'Criaturas - Base de Dados'!D221</f>
        <v>Vidente das Estrelas</v>
      </c>
      <c r="E1321" s="8" t="str">
        <f>'Sistema de Raridade e Evolução'!B7</f>
        <v>Lendário</v>
      </c>
      <c r="F1321" s="9">
        <f>ROUND(('Criaturas - Base de Dados'!H221*'Sistema de Raridade e Evolução'!E7)*1000,2)</f>
        <v>10650000</v>
      </c>
      <c r="G1321" s="8">
        <f>ROUND('Criaturas - Base de Dados'!I221*'Sistema de Raridade e Evolução'!E7,0)</f>
        <v>6450</v>
      </c>
      <c r="H1321" s="8">
        <f>ROUND('Criaturas - Base de Dados'!J221*'Sistema de Raridade e Evolução'!E7,0)</f>
        <v>5400</v>
      </c>
      <c r="I1321" s="8">
        <f>ROUND('Criaturas - Base de Dados'!K221*'Sistema de Raridade e Evolução'!E7,0)</f>
        <v>34050</v>
      </c>
      <c r="J1321" s="8">
        <f>'Sistema de Raridade e Evolução'!D7</f>
        <v>91</v>
      </c>
      <c r="K1321" s="8" t="s">
        <v>925</v>
      </c>
      <c r="L1321" s="9">
        <f t="shared" si="20"/>
        <v>25357142.859999999</v>
      </c>
    </row>
    <row r="1322" spans="1:12" ht="14.25" customHeight="1" x14ac:dyDescent="0.3">
      <c r="A1322" s="8">
        <v>1321</v>
      </c>
      <c r="B1322" s="8" t="str">
        <f>'Criaturas - Base de Dados'!B222</f>
        <v>Profundezas Abissais</v>
      </c>
      <c r="C1322" s="8" t="str">
        <f>'Criaturas - Base de Dados'!C222</f>
        <v>Mar Profundo</v>
      </c>
      <c r="D1322" s="8" t="str">
        <f>'Criaturas - Base de Dados'!D222</f>
        <v>Kraken das Trincheiras</v>
      </c>
      <c r="E1322" s="8" t="str">
        <f>'Sistema de Raridade e Evolução'!B2</f>
        <v>Default</v>
      </c>
      <c r="F1322" s="9" t="e">
        <f>ROUND(('Criaturas - Base de Dados'!H222*'Sistema de Raridade e Evolução'!E2)*1000,2)</f>
        <v>#VALUE!</v>
      </c>
      <c r="G1322" s="8" t="e">
        <f>ROUND('Criaturas - Base de Dados'!I222*'Sistema de Raridade e Evolução'!E2,0)</f>
        <v>#VALUE!</v>
      </c>
      <c r="H1322" s="8" t="e">
        <f>ROUND('Criaturas - Base de Dados'!J222*'Sistema de Raridade e Evolução'!E2,0)</f>
        <v>#VALUE!</v>
      </c>
      <c r="I1322" s="8" t="e">
        <f>ROUND('Criaturas - Base de Dados'!K222*'Sistema de Raridade e Evolução'!E2,0)</f>
        <v>#VALUE!</v>
      </c>
      <c r="J1322" s="8">
        <f>'Sistema de Raridade e Evolução'!D2</f>
        <v>1</v>
      </c>
      <c r="K1322" s="8" t="s">
        <v>8</v>
      </c>
      <c r="L1322" s="9" t="e">
        <f t="shared" si="20"/>
        <v>#VALUE!</v>
      </c>
    </row>
    <row r="1323" spans="1:12" ht="14.25" hidden="1" customHeight="1" x14ac:dyDescent="0.3">
      <c r="A1323" s="8">
        <v>1322</v>
      </c>
      <c r="B1323" s="8" t="str">
        <f>'Criaturas - Base de Dados'!B222</f>
        <v>Profundezas Abissais</v>
      </c>
      <c r="C1323" s="8" t="str">
        <f>'Criaturas - Base de Dados'!C222</f>
        <v>Mar Profundo</v>
      </c>
      <c r="D1323" s="8" t="str">
        <f>'Criaturas - Base de Dados'!D222</f>
        <v>Kraken das Trincheiras</v>
      </c>
      <c r="E1323" s="8" t="str">
        <f>'Sistema de Raridade e Evolução'!B3</f>
        <v>Bronze</v>
      </c>
      <c r="F1323" s="9">
        <f>ROUND(('Criaturas - Base de Dados'!H222*'Sistema de Raridade e Evolução'!E3)*1000,2)</f>
        <v>10000</v>
      </c>
      <c r="G1323" s="8">
        <f>ROUND('Criaturas - Base de Dados'!I222*'Sistema de Raridade e Evolução'!E3,0)</f>
        <v>6</v>
      </c>
      <c r="H1323" s="8">
        <f>ROUND('Criaturas - Base de Dados'!J222*'Sistema de Raridade e Evolução'!E3,0)</f>
        <v>5</v>
      </c>
      <c r="I1323" s="8">
        <f>ROUND('Criaturas - Base de Dados'!K222*'Sistema de Raridade e Evolução'!E3,0)</f>
        <v>32</v>
      </c>
      <c r="J1323" s="8">
        <f>'Sistema de Raridade e Evolução'!D3</f>
        <v>6</v>
      </c>
      <c r="K1323" s="8" t="s">
        <v>9</v>
      </c>
      <c r="L1323" s="9">
        <f t="shared" si="20"/>
        <v>23809.52</v>
      </c>
    </row>
    <row r="1324" spans="1:12" ht="14.25" hidden="1" customHeight="1" x14ac:dyDescent="0.3">
      <c r="A1324" s="8">
        <v>1323</v>
      </c>
      <c r="B1324" s="8" t="str">
        <f>'Criaturas - Base de Dados'!B222</f>
        <v>Profundezas Abissais</v>
      </c>
      <c r="C1324" s="8" t="str">
        <f>'Criaturas - Base de Dados'!C222</f>
        <v>Mar Profundo</v>
      </c>
      <c r="D1324" s="8" t="str">
        <f>'Criaturas - Base de Dados'!D222</f>
        <v>Kraken das Trincheiras</v>
      </c>
      <c r="E1324" s="8" t="str">
        <f>'Sistema de Raridade e Evolução'!B4</f>
        <v>Prata</v>
      </c>
      <c r="F1324" s="9">
        <f>ROUND(('Criaturas - Base de Dados'!H222*'Sistema de Raridade e Evolução'!E4)*1000,2)</f>
        <v>60000</v>
      </c>
      <c r="G1324" s="8">
        <f>ROUND('Criaturas - Base de Dados'!I222*'Sistema de Raridade e Evolução'!E4,0)</f>
        <v>36</v>
      </c>
      <c r="H1324" s="8">
        <f>ROUND('Criaturas - Base de Dados'!J222*'Sistema de Raridade e Evolução'!E4,0)</f>
        <v>30</v>
      </c>
      <c r="I1324" s="8">
        <f>ROUND('Criaturas - Base de Dados'!K222*'Sistema de Raridade e Evolução'!E4,0)</f>
        <v>192</v>
      </c>
      <c r="J1324" s="8">
        <f>'Sistema de Raridade e Evolução'!D4</f>
        <v>16</v>
      </c>
      <c r="K1324" s="8" t="s">
        <v>10</v>
      </c>
      <c r="L1324" s="9">
        <f t="shared" si="20"/>
        <v>142857.14000000001</v>
      </c>
    </row>
    <row r="1325" spans="1:12" ht="14.25" hidden="1" customHeight="1" x14ac:dyDescent="0.3">
      <c r="A1325" s="8">
        <v>1324</v>
      </c>
      <c r="B1325" s="8" t="str">
        <f>'Criaturas - Base de Dados'!B222</f>
        <v>Profundezas Abissais</v>
      </c>
      <c r="C1325" s="8" t="str">
        <f>'Criaturas - Base de Dados'!C222</f>
        <v>Mar Profundo</v>
      </c>
      <c r="D1325" s="8" t="str">
        <f>'Criaturas - Base de Dados'!D222</f>
        <v>Kraken das Trincheiras</v>
      </c>
      <c r="E1325" s="8" t="str">
        <f>'Sistema de Raridade e Evolução'!B5</f>
        <v>Ouro</v>
      </c>
      <c r="F1325" s="9">
        <f>ROUND(('Criaturas - Base de Dados'!H222*'Sistema de Raridade e Evolução'!E5)*1000,2)</f>
        <v>180000</v>
      </c>
      <c r="G1325" s="8">
        <f>ROUND('Criaturas - Base de Dados'!I222*'Sistema de Raridade e Evolução'!E5,0)</f>
        <v>108</v>
      </c>
      <c r="H1325" s="8">
        <f>ROUND('Criaturas - Base de Dados'!J222*'Sistema de Raridade e Evolução'!E5,0)</f>
        <v>90</v>
      </c>
      <c r="I1325" s="8">
        <f>ROUND('Criaturas - Base de Dados'!K222*'Sistema de Raridade e Evolução'!E5,0)</f>
        <v>576</v>
      </c>
      <c r="J1325" s="8">
        <f>'Sistema de Raridade e Evolução'!D5</f>
        <v>31</v>
      </c>
      <c r="K1325" s="8" t="s">
        <v>11</v>
      </c>
      <c r="L1325" s="9">
        <f t="shared" si="20"/>
        <v>428571.43</v>
      </c>
    </row>
    <row r="1326" spans="1:12" ht="14.25" hidden="1" customHeight="1" x14ac:dyDescent="0.3">
      <c r="A1326" s="8">
        <v>1325</v>
      </c>
      <c r="B1326" s="8" t="str">
        <f>'Criaturas - Base de Dados'!B222</f>
        <v>Profundezas Abissais</v>
      </c>
      <c r="C1326" s="8" t="str">
        <f>'Criaturas - Base de Dados'!C222</f>
        <v>Mar Profundo</v>
      </c>
      <c r="D1326" s="8" t="str">
        <f>'Criaturas - Base de Dados'!D222</f>
        <v>Kraken das Trincheiras</v>
      </c>
      <c r="E1326" s="8" t="str">
        <f>'Sistema de Raridade e Evolução'!B6</f>
        <v>Platina</v>
      </c>
      <c r="F1326" s="9">
        <f>ROUND(('Criaturas - Base de Dados'!H222*'Sistema de Raridade e Evolução'!E6)*1000,2)</f>
        <v>500000</v>
      </c>
      <c r="G1326" s="8">
        <f>ROUND('Criaturas - Base de Dados'!I222*'Sistema de Raridade e Evolução'!E6,0)</f>
        <v>300</v>
      </c>
      <c r="H1326" s="8">
        <f>ROUND('Criaturas - Base de Dados'!J222*'Sistema de Raridade e Evolução'!E6,0)</f>
        <v>250</v>
      </c>
      <c r="I1326" s="8">
        <f>ROUND('Criaturas - Base de Dados'!K222*'Sistema de Raridade e Evolução'!E6,0)</f>
        <v>1600</v>
      </c>
      <c r="J1326" s="8">
        <f>'Sistema de Raridade e Evolução'!D6</f>
        <v>56</v>
      </c>
      <c r="K1326" s="8" t="s">
        <v>12</v>
      </c>
      <c r="L1326" s="9">
        <f t="shared" si="20"/>
        <v>1190476.19</v>
      </c>
    </row>
    <row r="1327" spans="1:12" ht="14.25" hidden="1" customHeight="1" x14ac:dyDescent="0.3">
      <c r="A1327" s="8">
        <v>1326</v>
      </c>
      <c r="B1327" s="8" t="str">
        <f>'Criaturas - Base de Dados'!B222</f>
        <v>Profundezas Abissais</v>
      </c>
      <c r="C1327" s="8" t="str">
        <f>'Criaturas - Base de Dados'!C222</f>
        <v>Mar Profundo</v>
      </c>
      <c r="D1327" s="8" t="str">
        <f>'Criaturas - Base de Dados'!D222</f>
        <v>Kraken das Trincheiras</v>
      </c>
      <c r="E1327" s="8" t="str">
        <f>'Sistema de Raridade e Evolução'!B7</f>
        <v>Lendário</v>
      </c>
      <c r="F1327" s="9">
        <f>ROUND(('Criaturas - Base de Dados'!H222*'Sistema de Raridade e Evolução'!E7)*1000,2)</f>
        <v>1500000</v>
      </c>
      <c r="G1327" s="8">
        <f>ROUND('Criaturas - Base de Dados'!I222*'Sistema de Raridade e Evolução'!E7,0)</f>
        <v>900</v>
      </c>
      <c r="H1327" s="8">
        <f>ROUND('Criaturas - Base de Dados'!J222*'Sistema de Raridade e Evolução'!E7,0)</f>
        <v>750</v>
      </c>
      <c r="I1327" s="8">
        <f>ROUND('Criaturas - Base de Dados'!K222*'Sistema de Raridade e Evolução'!E7,0)</f>
        <v>4800</v>
      </c>
      <c r="J1327" s="8">
        <f>'Sistema de Raridade e Evolução'!D7</f>
        <v>91</v>
      </c>
      <c r="K1327" s="8" t="s">
        <v>925</v>
      </c>
      <c r="L1327" s="9">
        <f t="shared" si="20"/>
        <v>3571428.57</v>
      </c>
    </row>
    <row r="1328" spans="1:12" ht="14.25" customHeight="1" x14ac:dyDescent="0.3">
      <c r="A1328" s="8">
        <v>1327</v>
      </c>
      <c r="B1328" s="8" t="str">
        <f>'Criaturas - Base de Dados'!B223</f>
        <v>Profundezas Abissais</v>
      </c>
      <c r="C1328" s="8" t="str">
        <f>'Criaturas - Base de Dados'!C223</f>
        <v>Mar Profundo</v>
      </c>
      <c r="D1328" s="8" t="str">
        <f>'Criaturas - Base de Dados'!D223</f>
        <v>Cthon Abissal</v>
      </c>
      <c r="E1328" s="8" t="str">
        <f>'Sistema de Raridade e Evolução'!B2</f>
        <v>Default</v>
      </c>
      <c r="F1328" s="9" t="e">
        <f>ROUND(('Criaturas - Base de Dados'!H223*'Sistema de Raridade e Evolução'!E2)*1000,2)</f>
        <v>#VALUE!</v>
      </c>
      <c r="G1328" s="8" t="e">
        <f>ROUND('Criaturas - Base de Dados'!I223*'Sistema de Raridade e Evolução'!E2,0)</f>
        <v>#VALUE!</v>
      </c>
      <c r="H1328" s="8" t="e">
        <f>ROUND('Criaturas - Base de Dados'!J223*'Sistema de Raridade e Evolução'!E2,0)</f>
        <v>#VALUE!</v>
      </c>
      <c r="I1328" s="8" t="e">
        <f>ROUND('Criaturas - Base de Dados'!K223*'Sistema de Raridade e Evolução'!E2,0)</f>
        <v>#VALUE!</v>
      </c>
      <c r="J1328" s="8">
        <f>'Sistema de Raridade e Evolução'!D2</f>
        <v>1</v>
      </c>
      <c r="K1328" s="8" t="s">
        <v>8</v>
      </c>
      <c r="L1328" s="9" t="e">
        <f t="shared" si="20"/>
        <v>#VALUE!</v>
      </c>
    </row>
    <row r="1329" spans="1:12" ht="14.25" hidden="1" customHeight="1" x14ac:dyDescent="0.3">
      <c r="A1329" s="8">
        <v>1328</v>
      </c>
      <c r="B1329" s="8" t="str">
        <f>'Criaturas - Base de Dados'!B223</f>
        <v>Profundezas Abissais</v>
      </c>
      <c r="C1329" s="8" t="str">
        <f>'Criaturas - Base de Dados'!C223</f>
        <v>Mar Profundo</v>
      </c>
      <c r="D1329" s="8" t="str">
        <f>'Criaturas - Base de Dados'!D223</f>
        <v>Cthon Abissal</v>
      </c>
      <c r="E1329" s="8" t="str">
        <f>'Sistema de Raridade e Evolução'!B3</f>
        <v>Bronze</v>
      </c>
      <c r="F1329" s="9">
        <f>ROUND(('Criaturas - Base de Dados'!H223*'Sistema de Raridade e Evolução'!E3)*1000,2)</f>
        <v>12000</v>
      </c>
      <c r="G1329" s="8">
        <f>ROUND('Criaturas - Base de Dados'!I223*'Sistema de Raridade e Evolução'!E3,0)</f>
        <v>7</v>
      </c>
      <c r="H1329" s="8">
        <f>ROUND('Criaturas - Base de Dados'!J223*'Sistema de Raridade e Evolução'!E3,0)</f>
        <v>6</v>
      </c>
      <c r="I1329" s="8">
        <f>ROUND('Criaturas - Base de Dados'!K223*'Sistema de Raridade e Evolução'!E3,0)</f>
        <v>38</v>
      </c>
      <c r="J1329" s="8">
        <f>'Sistema de Raridade e Evolução'!D3</f>
        <v>6</v>
      </c>
      <c r="K1329" s="8" t="s">
        <v>9</v>
      </c>
      <c r="L1329" s="9">
        <f t="shared" si="20"/>
        <v>28571.43</v>
      </c>
    </row>
    <row r="1330" spans="1:12" ht="14.25" hidden="1" customHeight="1" x14ac:dyDescent="0.3">
      <c r="A1330" s="8">
        <v>1329</v>
      </c>
      <c r="B1330" s="8" t="str">
        <f>'Criaturas - Base de Dados'!B223</f>
        <v>Profundezas Abissais</v>
      </c>
      <c r="C1330" s="8" t="str">
        <f>'Criaturas - Base de Dados'!C223</f>
        <v>Mar Profundo</v>
      </c>
      <c r="D1330" s="8" t="str">
        <f>'Criaturas - Base de Dados'!D223</f>
        <v>Cthon Abissal</v>
      </c>
      <c r="E1330" s="8" t="str">
        <f>'Sistema de Raridade e Evolução'!B4</f>
        <v>Prata</v>
      </c>
      <c r="F1330" s="9">
        <f>ROUND(('Criaturas - Base de Dados'!H223*'Sistema de Raridade e Evolução'!E4)*1000,2)</f>
        <v>72000</v>
      </c>
      <c r="G1330" s="8">
        <f>ROUND('Criaturas - Base de Dados'!I223*'Sistema de Raridade e Evolução'!E4,0)</f>
        <v>42</v>
      </c>
      <c r="H1330" s="8">
        <f>ROUND('Criaturas - Base de Dados'!J223*'Sistema de Raridade e Evolução'!E4,0)</f>
        <v>36</v>
      </c>
      <c r="I1330" s="8">
        <f>ROUND('Criaturas - Base de Dados'!K223*'Sistema de Raridade e Evolução'!E4,0)</f>
        <v>228</v>
      </c>
      <c r="J1330" s="8">
        <f>'Sistema de Raridade e Evolução'!D4</f>
        <v>16</v>
      </c>
      <c r="K1330" s="8" t="s">
        <v>10</v>
      </c>
      <c r="L1330" s="9">
        <f t="shared" si="20"/>
        <v>171428.57</v>
      </c>
    </row>
    <row r="1331" spans="1:12" ht="14.25" hidden="1" customHeight="1" x14ac:dyDescent="0.3">
      <c r="A1331" s="8">
        <v>1330</v>
      </c>
      <c r="B1331" s="8" t="str">
        <f>'Criaturas - Base de Dados'!B223</f>
        <v>Profundezas Abissais</v>
      </c>
      <c r="C1331" s="8" t="str">
        <f>'Criaturas - Base de Dados'!C223</f>
        <v>Mar Profundo</v>
      </c>
      <c r="D1331" s="8" t="str">
        <f>'Criaturas - Base de Dados'!D223</f>
        <v>Cthon Abissal</v>
      </c>
      <c r="E1331" s="8" t="str">
        <f>'Sistema de Raridade e Evolução'!B5</f>
        <v>Ouro</v>
      </c>
      <c r="F1331" s="9">
        <f>ROUND(('Criaturas - Base de Dados'!H223*'Sistema de Raridade e Evolução'!E5)*1000,2)</f>
        <v>216000</v>
      </c>
      <c r="G1331" s="8">
        <f>ROUND('Criaturas - Base de Dados'!I223*'Sistema de Raridade e Evolução'!E5,0)</f>
        <v>126</v>
      </c>
      <c r="H1331" s="8">
        <f>ROUND('Criaturas - Base de Dados'!J223*'Sistema de Raridade e Evolução'!E5,0)</f>
        <v>108</v>
      </c>
      <c r="I1331" s="8">
        <f>ROUND('Criaturas - Base de Dados'!K223*'Sistema de Raridade e Evolução'!E5,0)</f>
        <v>684</v>
      </c>
      <c r="J1331" s="8">
        <f>'Sistema de Raridade e Evolução'!D5</f>
        <v>31</v>
      </c>
      <c r="K1331" s="8" t="s">
        <v>11</v>
      </c>
      <c r="L1331" s="9">
        <f t="shared" si="20"/>
        <v>514285.71</v>
      </c>
    </row>
    <row r="1332" spans="1:12" ht="14.25" hidden="1" customHeight="1" x14ac:dyDescent="0.3">
      <c r="A1332" s="8">
        <v>1331</v>
      </c>
      <c r="B1332" s="8" t="str">
        <f>'Criaturas - Base de Dados'!B223</f>
        <v>Profundezas Abissais</v>
      </c>
      <c r="C1332" s="8" t="str">
        <f>'Criaturas - Base de Dados'!C223</f>
        <v>Mar Profundo</v>
      </c>
      <c r="D1332" s="8" t="str">
        <f>'Criaturas - Base de Dados'!D223</f>
        <v>Cthon Abissal</v>
      </c>
      <c r="E1332" s="8" t="str">
        <f>'Sistema de Raridade e Evolução'!B6</f>
        <v>Platina</v>
      </c>
      <c r="F1332" s="9">
        <f>ROUND(('Criaturas - Base de Dados'!H223*'Sistema de Raridade e Evolução'!E6)*1000,2)</f>
        <v>600000</v>
      </c>
      <c r="G1332" s="8">
        <f>ROUND('Criaturas - Base de Dados'!I223*'Sistema de Raridade e Evolução'!E6,0)</f>
        <v>350</v>
      </c>
      <c r="H1332" s="8">
        <f>ROUND('Criaturas - Base de Dados'!J223*'Sistema de Raridade e Evolução'!E6,0)</f>
        <v>300</v>
      </c>
      <c r="I1332" s="8">
        <f>ROUND('Criaturas - Base de Dados'!K223*'Sistema de Raridade e Evolução'!E6,0)</f>
        <v>1900</v>
      </c>
      <c r="J1332" s="8">
        <f>'Sistema de Raridade e Evolução'!D6</f>
        <v>56</v>
      </c>
      <c r="K1332" s="8" t="s">
        <v>12</v>
      </c>
      <c r="L1332" s="9">
        <f t="shared" si="20"/>
        <v>1428571.43</v>
      </c>
    </row>
    <row r="1333" spans="1:12" ht="14.25" hidden="1" customHeight="1" x14ac:dyDescent="0.3">
      <c r="A1333" s="8">
        <v>1332</v>
      </c>
      <c r="B1333" s="8" t="str">
        <f>'Criaturas - Base de Dados'!B223</f>
        <v>Profundezas Abissais</v>
      </c>
      <c r="C1333" s="8" t="str">
        <f>'Criaturas - Base de Dados'!C223</f>
        <v>Mar Profundo</v>
      </c>
      <c r="D1333" s="8" t="str">
        <f>'Criaturas - Base de Dados'!D223</f>
        <v>Cthon Abissal</v>
      </c>
      <c r="E1333" s="8" t="str">
        <f>'Sistema de Raridade e Evolução'!B7</f>
        <v>Lendário</v>
      </c>
      <c r="F1333" s="9">
        <f>ROUND(('Criaturas - Base de Dados'!H223*'Sistema de Raridade e Evolução'!E7)*1000,2)</f>
        <v>1800000</v>
      </c>
      <c r="G1333" s="8">
        <f>ROUND('Criaturas - Base de Dados'!I223*'Sistema de Raridade e Evolução'!E7,0)</f>
        <v>1050</v>
      </c>
      <c r="H1333" s="8">
        <f>ROUND('Criaturas - Base de Dados'!J223*'Sistema de Raridade e Evolução'!E7,0)</f>
        <v>900</v>
      </c>
      <c r="I1333" s="8">
        <f>ROUND('Criaturas - Base de Dados'!K223*'Sistema de Raridade e Evolução'!E7,0)</f>
        <v>5700</v>
      </c>
      <c r="J1333" s="8">
        <f>'Sistema de Raridade e Evolução'!D7</f>
        <v>91</v>
      </c>
      <c r="K1333" s="8" t="s">
        <v>925</v>
      </c>
      <c r="L1333" s="9">
        <f t="shared" si="20"/>
        <v>4285714.29</v>
      </c>
    </row>
    <row r="1334" spans="1:12" ht="14.25" customHeight="1" x14ac:dyDescent="0.3">
      <c r="A1334" s="8">
        <v>1333</v>
      </c>
      <c r="B1334" s="8" t="str">
        <f>'Criaturas - Base de Dados'!B224</f>
        <v>Profundezas Abissais</v>
      </c>
      <c r="C1334" s="8" t="str">
        <f>'Criaturas - Base de Dados'!C224</f>
        <v>Mar Profundo</v>
      </c>
      <c r="D1334" s="8" t="str">
        <f>'Criaturas - Base de Dados'!D224</f>
        <v>Leviatã Ancestral</v>
      </c>
      <c r="E1334" s="8" t="str">
        <f>'Sistema de Raridade e Evolução'!B2</f>
        <v>Default</v>
      </c>
      <c r="F1334" s="9" t="e">
        <f>ROUND(('Criaturas - Base de Dados'!H224*'Sistema de Raridade e Evolução'!E2)*1000,2)</f>
        <v>#VALUE!</v>
      </c>
      <c r="G1334" s="8" t="e">
        <f>ROUND('Criaturas - Base de Dados'!I224*'Sistema de Raridade e Evolução'!E2,0)</f>
        <v>#VALUE!</v>
      </c>
      <c r="H1334" s="8" t="e">
        <f>ROUND('Criaturas - Base de Dados'!J224*'Sistema de Raridade e Evolução'!E2,0)</f>
        <v>#VALUE!</v>
      </c>
      <c r="I1334" s="8" t="e">
        <f>ROUND('Criaturas - Base de Dados'!K224*'Sistema de Raridade e Evolução'!E2,0)</f>
        <v>#VALUE!</v>
      </c>
      <c r="J1334" s="8">
        <f>'Sistema de Raridade e Evolução'!D2</f>
        <v>1</v>
      </c>
      <c r="K1334" s="8" t="s">
        <v>8</v>
      </c>
      <c r="L1334" s="9" t="e">
        <f t="shared" si="20"/>
        <v>#VALUE!</v>
      </c>
    </row>
    <row r="1335" spans="1:12" ht="14.25" hidden="1" customHeight="1" x14ac:dyDescent="0.3">
      <c r="A1335" s="8">
        <v>1334</v>
      </c>
      <c r="B1335" s="8" t="str">
        <f>'Criaturas - Base de Dados'!B224</f>
        <v>Profundezas Abissais</v>
      </c>
      <c r="C1335" s="8" t="str">
        <f>'Criaturas - Base de Dados'!C224</f>
        <v>Mar Profundo</v>
      </c>
      <c r="D1335" s="8" t="str">
        <f>'Criaturas - Base de Dados'!D224</f>
        <v>Leviatã Ancestral</v>
      </c>
      <c r="E1335" s="8" t="str">
        <f>'Sistema de Raridade e Evolução'!B3</f>
        <v>Bronze</v>
      </c>
      <c r="F1335" s="9">
        <f>ROUND(('Criaturas - Base de Dados'!H224*'Sistema de Raridade e Evolução'!E3)*1000,2)</f>
        <v>14000</v>
      </c>
      <c r="G1335" s="8">
        <f>ROUND('Criaturas - Base de Dados'!I224*'Sistema de Raridade e Evolução'!E3,0)</f>
        <v>8</v>
      </c>
      <c r="H1335" s="8">
        <f>ROUND('Criaturas - Base de Dados'!J224*'Sistema de Raridade e Evolução'!E3,0)</f>
        <v>7</v>
      </c>
      <c r="I1335" s="8">
        <f>ROUND('Criaturas - Base de Dados'!K224*'Sistema de Raridade e Evolução'!E3,0)</f>
        <v>45</v>
      </c>
      <c r="J1335" s="8">
        <f>'Sistema de Raridade e Evolução'!D3</f>
        <v>6</v>
      </c>
      <c r="K1335" s="8" t="s">
        <v>9</v>
      </c>
      <c r="L1335" s="9">
        <f t="shared" si="20"/>
        <v>33333.33</v>
      </c>
    </row>
    <row r="1336" spans="1:12" ht="14.25" hidden="1" customHeight="1" x14ac:dyDescent="0.3">
      <c r="A1336" s="8">
        <v>1335</v>
      </c>
      <c r="B1336" s="8" t="str">
        <f>'Criaturas - Base de Dados'!B224</f>
        <v>Profundezas Abissais</v>
      </c>
      <c r="C1336" s="8" t="str">
        <f>'Criaturas - Base de Dados'!C224</f>
        <v>Mar Profundo</v>
      </c>
      <c r="D1336" s="8" t="str">
        <f>'Criaturas - Base de Dados'!D224</f>
        <v>Leviatã Ancestral</v>
      </c>
      <c r="E1336" s="8" t="str">
        <f>'Sistema de Raridade e Evolução'!B4</f>
        <v>Prata</v>
      </c>
      <c r="F1336" s="9">
        <f>ROUND(('Criaturas - Base de Dados'!H224*'Sistema de Raridade e Evolução'!E4)*1000,2)</f>
        <v>84000</v>
      </c>
      <c r="G1336" s="8">
        <f>ROUND('Criaturas - Base de Dados'!I224*'Sistema de Raridade e Evolução'!E4,0)</f>
        <v>48</v>
      </c>
      <c r="H1336" s="8">
        <f>ROUND('Criaturas - Base de Dados'!J224*'Sistema de Raridade e Evolução'!E4,0)</f>
        <v>42</v>
      </c>
      <c r="I1336" s="8">
        <f>ROUND('Criaturas - Base de Dados'!K224*'Sistema de Raridade e Evolução'!E4,0)</f>
        <v>270</v>
      </c>
      <c r="J1336" s="8">
        <f>'Sistema de Raridade e Evolução'!D4</f>
        <v>16</v>
      </c>
      <c r="K1336" s="8" t="s">
        <v>10</v>
      </c>
      <c r="L1336" s="9">
        <f t="shared" si="20"/>
        <v>200000</v>
      </c>
    </row>
    <row r="1337" spans="1:12" ht="14.25" hidden="1" customHeight="1" x14ac:dyDescent="0.3">
      <c r="A1337" s="8">
        <v>1336</v>
      </c>
      <c r="B1337" s="8" t="str">
        <f>'Criaturas - Base de Dados'!B224</f>
        <v>Profundezas Abissais</v>
      </c>
      <c r="C1337" s="8" t="str">
        <f>'Criaturas - Base de Dados'!C224</f>
        <v>Mar Profundo</v>
      </c>
      <c r="D1337" s="8" t="str">
        <f>'Criaturas - Base de Dados'!D224</f>
        <v>Leviatã Ancestral</v>
      </c>
      <c r="E1337" s="8" t="str">
        <f>'Sistema de Raridade e Evolução'!B5</f>
        <v>Ouro</v>
      </c>
      <c r="F1337" s="9">
        <f>ROUND(('Criaturas - Base de Dados'!H224*'Sistema de Raridade e Evolução'!E5)*1000,2)</f>
        <v>252000</v>
      </c>
      <c r="G1337" s="8">
        <f>ROUND('Criaturas - Base de Dados'!I224*'Sistema de Raridade e Evolução'!E5,0)</f>
        <v>144</v>
      </c>
      <c r="H1337" s="8">
        <f>ROUND('Criaturas - Base de Dados'!J224*'Sistema de Raridade e Evolução'!E5,0)</f>
        <v>126</v>
      </c>
      <c r="I1337" s="8">
        <f>ROUND('Criaturas - Base de Dados'!K224*'Sistema de Raridade e Evolução'!E5,0)</f>
        <v>810</v>
      </c>
      <c r="J1337" s="8">
        <f>'Sistema de Raridade e Evolução'!D5</f>
        <v>31</v>
      </c>
      <c r="K1337" s="8" t="s">
        <v>11</v>
      </c>
      <c r="L1337" s="9">
        <f t="shared" si="20"/>
        <v>600000</v>
      </c>
    </row>
    <row r="1338" spans="1:12" ht="14.25" hidden="1" customHeight="1" x14ac:dyDescent="0.3">
      <c r="A1338" s="8">
        <v>1337</v>
      </c>
      <c r="B1338" s="8" t="str">
        <f>'Criaturas - Base de Dados'!B224</f>
        <v>Profundezas Abissais</v>
      </c>
      <c r="C1338" s="8" t="str">
        <f>'Criaturas - Base de Dados'!C224</f>
        <v>Mar Profundo</v>
      </c>
      <c r="D1338" s="8" t="str">
        <f>'Criaturas - Base de Dados'!D224</f>
        <v>Leviatã Ancestral</v>
      </c>
      <c r="E1338" s="8" t="str">
        <f>'Sistema de Raridade e Evolução'!B6</f>
        <v>Platina</v>
      </c>
      <c r="F1338" s="9">
        <f>ROUND(('Criaturas - Base de Dados'!H224*'Sistema de Raridade e Evolução'!E6)*1000,2)</f>
        <v>700000</v>
      </c>
      <c r="G1338" s="8">
        <f>ROUND('Criaturas - Base de Dados'!I224*'Sistema de Raridade e Evolução'!E6,0)</f>
        <v>400</v>
      </c>
      <c r="H1338" s="8">
        <f>ROUND('Criaturas - Base de Dados'!J224*'Sistema de Raridade e Evolução'!E6,0)</f>
        <v>350</v>
      </c>
      <c r="I1338" s="8">
        <f>ROUND('Criaturas - Base de Dados'!K224*'Sistema de Raridade e Evolução'!E6,0)</f>
        <v>2250</v>
      </c>
      <c r="J1338" s="8">
        <f>'Sistema de Raridade e Evolução'!D6</f>
        <v>56</v>
      </c>
      <c r="K1338" s="8" t="s">
        <v>12</v>
      </c>
      <c r="L1338" s="9">
        <f t="shared" si="20"/>
        <v>1666666.67</v>
      </c>
    </row>
    <row r="1339" spans="1:12" ht="14.25" hidden="1" customHeight="1" x14ac:dyDescent="0.3">
      <c r="A1339" s="8">
        <v>1338</v>
      </c>
      <c r="B1339" s="8" t="str">
        <f>'Criaturas - Base de Dados'!B224</f>
        <v>Profundezas Abissais</v>
      </c>
      <c r="C1339" s="8" t="str">
        <f>'Criaturas - Base de Dados'!C224</f>
        <v>Mar Profundo</v>
      </c>
      <c r="D1339" s="8" t="str">
        <f>'Criaturas - Base de Dados'!D224</f>
        <v>Leviatã Ancestral</v>
      </c>
      <c r="E1339" s="8" t="str">
        <f>'Sistema de Raridade e Evolução'!B7</f>
        <v>Lendário</v>
      </c>
      <c r="F1339" s="9">
        <f>ROUND(('Criaturas - Base de Dados'!H224*'Sistema de Raridade e Evolução'!E7)*1000,2)</f>
        <v>2100000</v>
      </c>
      <c r="G1339" s="8">
        <f>ROUND('Criaturas - Base de Dados'!I224*'Sistema de Raridade e Evolução'!E7,0)</f>
        <v>1200</v>
      </c>
      <c r="H1339" s="8">
        <f>ROUND('Criaturas - Base de Dados'!J224*'Sistema de Raridade e Evolução'!E7,0)</f>
        <v>1050</v>
      </c>
      <c r="I1339" s="8">
        <f>ROUND('Criaturas - Base de Dados'!K224*'Sistema de Raridade e Evolução'!E7,0)</f>
        <v>6750</v>
      </c>
      <c r="J1339" s="8">
        <f>'Sistema de Raridade e Evolução'!D7</f>
        <v>91</v>
      </c>
      <c r="K1339" s="8" t="s">
        <v>925</v>
      </c>
      <c r="L1339" s="9">
        <f t="shared" si="20"/>
        <v>5000000</v>
      </c>
    </row>
    <row r="1340" spans="1:12" ht="14.25" customHeight="1" x14ac:dyDescent="0.3">
      <c r="A1340" s="8">
        <v>1339</v>
      </c>
      <c r="B1340" s="8" t="str">
        <f>'Criaturas - Base de Dados'!B225</f>
        <v>Profundezas Abissais</v>
      </c>
      <c r="C1340" s="8" t="str">
        <f>'Criaturas - Base de Dados'!C225</f>
        <v>Mar Profundo</v>
      </c>
      <c r="D1340" s="8" t="str">
        <f>'Criaturas - Base de Dados'!D225</f>
        <v>Serpente das Fossas</v>
      </c>
      <c r="E1340" s="8" t="str">
        <f>'Sistema de Raridade e Evolução'!B2</f>
        <v>Default</v>
      </c>
      <c r="F1340" s="9" t="e">
        <f>ROUND(('Criaturas - Base de Dados'!H225*'Sistema de Raridade e Evolução'!E2)*1000,2)</f>
        <v>#VALUE!</v>
      </c>
      <c r="G1340" s="8" t="e">
        <f>ROUND('Criaturas - Base de Dados'!I225*'Sistema de Raridade e Evolução'!E2,0)</f>
        <v>#VALUE!</v>
      </c>
      <c r="H1340" s="8" t="e">
        <f>ROUND('Criaturas - Base de Dados'!J225*'Sistema de Raridade e Evolução'!E2,0)</f>
        <v>#VALUE!</v>
      </c>
      <c r="I1340" s="8" t="e">
        <f>ROUND('Criaturas - Base de Dados'!K225*'Sistema de Raridade e Evolução'!E2,0)</f>
        <v>#VALUE!</v>
      </c>
      <c r="J1340" s="8">
        <f>'Sistema de Raridade e Evolução'!D2</f>
        <v>1</v>
      </c>
      <c r="K1340" s="8" t="s">
        <v>8</v>
      </c>
      <c r="L1340" s="9" t="e">
        <f t="shared" si="20"/>
        <v>#VALUE!</v>
      </c>
    </row>
    <row r="1341" spans="1:12" ht="14.25" hidden="1" customHeight="1" x14ac:dyDescent="0.3">
      <c r="A1341" s="8">
        <v>1340</v>
      </c>
      <c r="B1341" s="8" t="str">
        <f>'Criaturas - Base de Dados'!B225</f>
        <v>Profundezas Abissais</v>
      </c>
      <c r="C1341" s="8" t="str">
        <f>'Criaturas - Base de Dados'!C225</f>
        <v>Mar Profundo</v>
      </c>
      <c r="D1341" s="8" t="str">
        <f>'Criaturas - Base de Dados'!D225</f>
        <v>Serpente das Fossas</v>
      </c>
      <c r="E1341" s="8" t="str">
        <f>'Sistema de Raridade e Evolução'!B3</f>
        <v>Bronze</v>
      </c>
      <c r="F1341" s="9">
        <f>ROUND(('Criaturas - Base de Dados'!H225*'Sistema de Raridade e Evolução'!E3)*1000,2)</f>
        <v>16000</v>
      </c>
      <c r="G1341" s="8">
        <f>ROUND('Criaturas - Base de Dados'!I225*'Sistema de Raridade e Evolução'!E3,0)</f>
        <v>10</v>
      </c>
      <c r="H1341" s="8">
        <f>ROUND('Criaturas - Base de Dados'!J225*'Sistema de Raridade e Evolução'!E3,0)</f>
        <v>8</v>
      </c>
      <c r="I1341" s="8">
        <f>ROUND('Criaturas - Base de Dados'!K225*'Sistema de Raridade e Evolução'!E3,0)</f>
        <v>51</v>
      </c>
      <c r="J1341" s="8">
        <f>'Sistema de Raridade e Evolução'!D3</f>
        <v>6</v>
      </c>
      <c r="K1341" s="8" t="s">
        <v>9</v>
      </c>
      <c r="L1341" s="9">
        <f t="shared" si="20"/>
        <v>38095.24</v>
      </c>
    </row>
    <row r="1342" spans="1:12" ht="14.25" hidden="1" customHeight="1" x14ac:dyDescent="0.3">
      <c r="A1342" s="8">
        <v>1341</v>
      </c>
      <c r="B1342" s="8" t="str">
        <f>'Criaturas - Base de Dados'!B225</f>
        <v>Profundezas Abissais</v>
      </c>
      <c r="C1342" s="8" t="str">
        <f>'Criaturas - Base de Dados'!C225</f>
        <v>Mar Profundo</v>
      </c>
      <c r="D1342" s="8" t="str">
        <f>'Criaturas - Base de Dados'!D225</f>
        <v>Serpente das Fossas</v>
      </c>
      <c r="E1342" s="8" t="str">
        <f>'Sistema de Raridade e Evolução'!B4</f>
        <v>Prata</v>
      </c>
      <c r="F1342" s="9">
        <f>ROUND(('Criaturas - Base de Dados'!H225*'Sistema de Raridade e Evolução'!E4)*1000,2)</f>
        <v>96000</v>
      </c>
      <c r="G1342" s="8">
        <f>ROUND('Criaturas - Base de Dados'!I225*'Sistema de Raridade e Evolução'!E4,0)</f>
        <v>60</v>
      </c>
      <c r="H1342" s="8">
        <f>ROUND('Criaturas - Base de Dados'!J225*'Sistema de Raridade e Evolução'!E4,0)</f>
        <v>48</v>
      </c>
      <c r="I1342" s="8">
        <f>ROUND('Criaturas - Base de Dados'!K225*'Sistema de Raridade e Evolução'!E4,0)</f>
        <v>306</v>
      </c>
      <c r="J1342" s="8">
        <f>'Sistema de Raridade e Evolução'!D4</f>
        <v>16</v>
      </c>
      <c r="K1342" s="8" t="s">
        <v>10</v>
      </c>
      <c r="L1342" s="9">
        <f t="shared" si="20"/>
        <v>228571.43</v>
      </c>
    </row>
    <row r="1343" spans="1:12" ht="14.25" hidden="1" customHeight="1" x14ac:dyDescent="0.3">
      <c r="A1343" s="8">
        <v>1342</v>
      </c>
      <c r="B1343" s="8" t="str">
        <f>'Criaturas - Base de Dados'!B225</f>
        <v>Profundezas Abissais</v>
      </c>
      <c r="C1343" s="8" t="str">
        <f>'Criaturas - Base de Dados'!C225</f>
        <v>Mar Profundo</v>
      </c>
      <c r="D1343" s="8" t="str">
        <f>'Criaturas - Base de Dados'!D225</f>
        <v>Serpente das Fossas</v>
      </c>
      <c r="E1343" s="8" t="str">
        <f>'Sistema de Raridade e Evolução'!B5</f>
        <v>Ouro</v>
      </c>
      <c r="F1343" s="9">
        <f>ROUND(('Criaturas - Base de Dados'!H225*'Sistema de Raridade e Evolução'!E5)*1000,2)</f>
        <v>288000</v>
      </c>
      <c r="G1343" s="8">
        <f>ROUND('Criaturas - Base de Dados'!I225*'Sistema de Raridade e Evolução'!E5,0)</f>
        <v>180</v>
      </c>
      <c r="H1343" s="8">
        <f>ROUND('Criaturas - Base de Dados'!J225*'Sistema de Raridade e Evolução'!E5,0)</f>
        <v>144</v>
      </c>
      <c r="I1343" s="8">
        <f>ROUND('Criaturas - Base de Dados'!K225*'Sistema de Raridade e Evolução'!E5,0)</f>
        <v>918</v>
      </c>
      <c r="J1343" s="8">
        <f>'Sistema de Raridade e Evolução'!D5</f>
        <v>31</v>
      </c>
      <c r="K1343" s="8" t="s">
        <v>11</v>
      </c>
      <c r="L1343" s="9">
        <f t="shared" si="20"/>
        <v>685714.29</v>
      </c>
    </row>
    <row r="1344" spans="1:12" ht="14.25" hidden="1" customHeight="1" x14ac:dyDescent="0.3">
      <c r="A1344" s="8">
        <v>1343</v>
      </c>
      <c r="B1344" s="8" t="str">
        <f>'Criaturas - Base de Dados'!B225</f>
        <v>Profundezas Abissais</v>
      </c>
      <c r="C1344" s="8" t="str">
        <f>'Criaturas - Base de Dados'!C225</f>
        <v>Mar Profundo</v>
      </c>
      <c r="D1344" s="8" t="str">
        <f>'Criaturas - Base de Dados'!D225</f>
        <v>Serpente das Fossas</v>
      </c>
      <c r="E1344" s="8" t="str">
        <f>'Sistema de Raridade e Evolução'!B6</f>
        <v>Platina</v>
      </c>
      <c r="F1344" s="9">
        <f>ROUND(('Criaturas - Base de Dados'!H225*'Sistema de Raridade e Evolução'!E6)*1000,2)</f>
        <v>800000</v>
      </c>
      <c r="G1344" s="8">
        <f>ROUND('Criaturas - Base de Dados'!I225*'Sistema de Raridade e Evolução'!E6,0)</f>
        <v>500</v>
      </c>
      <c r="H1344" s="8">
        <f>ROUND('Criaturas - Base de Dados'!J225*'Sistema de Raridade e Evolução'!E6,0)</f>
        <v>400</v>
      </c>
      <c r="I1344" s="8">
        <f>ROUND('Criaturas - Base de Dados'!K225*'Sistema de Raridade e Evolução'!E6,0)</f>
        <v>2550</v>
      </c>
      <c r="J1344" s="8">
        <f>'Sistema de Raridade e Evolução'!D6</f>
        <v>56</v>
      </c>
      <c r="K1344" s="8" t="s">
        <v>12</v>
      </c>
      <c r="L1344" s="9">
        <f t="shared" si="20"/>
        <v>1904761.9</v>
      </c>
    </row>
    <row r="1345" spans="1:12" ht="14.25" hidden="1" customHeight="1" x14ac:dyDescent="0.3">
      <c r="A1345" s="8">
        <v>1344</v>
      </c>
      <c r="B1345" s="8" t="str">
        <f>'Criaturas - Base de Dados'!B225</f>
        <v>Profundezas Abissais</v>
      </c>
      <c r="C1345" s="8" t="str">
        <f>'Criaturas - Base de Dados'!C225</f>
        <v>Mar Profundo</v>
      </c>
      <c r="D1345" s="8" t="str">
        <f>'Criaturas - Base de Dados'!D225</f>
        <v>Serpente das Fossas</v>
      </c>
      <c r="E1345" s="8" t="str">
        <f>'Sistema de Raridade e Evolução'!B7</f>
        <v>Lendário</v>
      </c>
      <c r="F1345" s="9">
        <f>ROUND(('Criaturas - Base de Dados'!H225*'Sistema de Raridade e Evolução'!E7)*1000,2)</f>
        <v>2400000</v>
      </c>
      <c r="G1345" s="8">
        <f>ROUND('Criaturas - Base de Dados'!I225*'Sistema de Raridade e Evolução'!E7,0)</f>
        <v>1500</v>
      </c>
      <c r="H1345" s="8">
        <f>ROUND('Criaturas - Base de Dados'!J225*'Sistema de Raridade e Evolução'!E7,0)</f>
        <v>1200</v>
      </c>
      <c r="I1345" s="8">
        <f>ROUND('Criaturas - Base de Dados'!K225*'Sistema de Raridade e Evolução'!E7,0)</f>
        <v>7650</v>
      </c>
      <c r="J1345" s="8">
        <f>'Sistema de Raridade e Evolução'!D7</f>
        <v>91</v>
      </c>
      <c r="K1345" s="8" t="s">
        <v>925</v>
      </c>
      <c r="L1345" s="9">
        <f t="shared" si="20"/>
        <v>5714285.71</v>
      </c>
    </row>
    <row r="1346" spans="1:12" ht="14.25" customHeight="1" x14ac:dyDescent="0.3">
      <c r="A1346" s="8">
        <v>1345</v>
      </c>
      <c r="B1346" s="8" t="str">
        <f>'Criaturas - Base de Dados'!B226</f>
        <v>Profundezas Abissais</v>
      </c>
      <c r="C1346" s="8" t="str">
        <f>'Criaturas - Base de Dados'!C226</f>
        <v>Mar Profundo</v>
      </c>
      <c r="D1346" s="8" t="str">
        <f>'Criaturas - Base de Dados'!D226</f>
        <v>Behemoth das Profundezas</v>
      </c>
      <c r="E1346" s="8" t="str">
        <f>'Sistema de Raridade e Evolução'!B2</f>
        <v>Default</v>
      </c>
      <c r="F1346" s="9" t="e">
        <f>ROUND(('Criaturas - Base de Dados'!H226*'Sistema de Raridade e Evolução'!E2)*1000,2)</f>
        <v>#VALUE!</v>
      </c>
      <c r="G1346" s="8" t="e">
        <f>ROUND('Criaturas - Base de Dados'!I226*'Sistema de Raridade e Evolução'!E2,0)</f>
        <v>#VALUE!</v>
      </c>
      <c r="H1346" s="8" t="e">
        <f>ROUND('Criaturas - Base de Dados'!J226*'Sistema de Raridade e Evolução'!E2,0)</f>
        <v>#VALUE!</v>
      </c>
      <c r="I1346" s="8" t="e">
        <f>ROUND('Criaturas - Base de Dados'!K226*'Sistema de Raridade e Evolução'!E2,0)</f>
        <v>#VALUE!</v>
      </c>
      <c r="J1346" s="8">
        <f>'Sistema de Raridade e Evolução'!D2</f>
        <v>1</v>
      </c>
      <c r="K1346" s="8" t="s">
        <v>8</v>
      </c>
      <c r="L1346" s="9" t="e">
        <f t="shared" ref="L1346:L1409" si="21">ROUND(F1346*(2.5/1.05),2)</f>
        <v>#VALUE!</v>
      </c>
    </row>
    <row r="1347" spans="1:12" ht="14.25" hidden="1" customHeight="1" x14ac:dyDescent="0.3">
      <c r="A1347" s="8">
        <v>1346</v>
      </c>
      <c r="B1347" s="8" t="str">
        <f>'Criaturas - Base de Dados'!B226</f>
        <v>Profundezas Abissais</v>
      </c>
      <c r="C1347" s="8" t="str">
        <f>'Criaturas - Base de Dados'!C226</f>
        <v>Mar Profundo</v>
      </c>
      <c r="D1347" s="8" t="str">
        <f>'Criaturas - Base de Dados'!D226</f>
        <v>Behemoth das Profundezas</v>
      </c>
      <c r="E1347" s="8" t="str">
        <f>'Sistema de Raridade e Evolução'!B3</f>
        <v>Bronze</v>
      </c>
      <c r="F1347" s="9">
        <f>ROUND(('Criaturas - Base de Dados'!H226*'Sistema de Raridade e Evolução'!E3)*1000,2)</f>
        <v>16000</v>
      </c>
      <c r="G1347" s="8">
        <f>ROUND('Criaturas - Base de Dados'!I226*'Sistema de Raridade e Evolução'!E3,0)</f>
        <v>10</v>
      </c>
      <c r="H1347" s="8">
        <f>ROUND('Criaturas - Base de Dados'!J226*'Sistema de Raridade e Evolução'!E3,0)</f>
        <v>8</v>
      </c>
      <c r="I1347" s="8">
        <f>ROUND('Criaturas - Base de Dados'!K226*'Sistema de Raridade e Evolução'!E3,0)</f>
        <v>51</v>
      </c>
      <c r="J1347" s="8">
        <f>'Sistema de Raridade e Evolução'!D3</f>
        <v>6</v>
      </c>
      <c r="K1347" s="8" t="s">
        <v>9</v>
      </c>
      <c r="L1347" s="9">
        <f t="shared" si="21"/>
        <v>38095.24</v>
      </c>
    </row>
    <row r="1348" spans="1:12" ht="14.25" hidden="1" customHeight="1" x14ac:dyDescent="0.3">
      <c r="A1348" s="8">
        <v>1347</v>
      </c>
      <c r="B1348" s="8" t="str">
        <f>'Criaturas - Base de Dados'!B226</f>
        <v>Profundezas Abissais</v>
      </c>
      <c r="C1348" s="8" t="str">
        <f>'Criaturas - Base de Dados'!C226</f>
        <v>Mar Profundo</v>
      </c>
      <c r="D1348" s="8" t="str">
        <f>'Criaturas - Base de Dados'!D226</f>
        <v>Behemoth das Profundezas</v>
      </c>
      <c r="E1348" s="8" t="str">
        <f>'Sistema de Raridade e Evolução'!B4</f>
        <v>Prata</v>
      </c>
      <c r="F1348" s="9">
        <f>ROUND(('Criaturas - Base de Dados'!H226*'Sistema de Raridade e Evolução'!E4)*1000,2)</f>
        <v>96000</v>
      </c>
      <c r="G1348" s="8">
        <f>ROUND('Criaturas - Base de Dados'!I226*'Sistema de Raridade e Evolução'!E4,0)</f>
        <v>60</v>
      </c>
      <c r="H1348" s="8">
        <f>ROUND('Criaturas - Base de Dados'!J226*'Sistema de Raridade e Evolução'!E4,0)</f>
        <v>48</v>
      </c>
      <c r="I1348" s="8">
        <f>ROUND('Criaturas - Base de Dados'!K226*'Sistema de Raridade e Evolução'!E4,0)</f>
        <v>306</v>
      </c>
      <c r="J1348" s="8">
        <f>'Sistema de Raridade e Evolução'!D4</f>
        <v>16</v>
      </c>
      <c r="K1348" s="8" t="s">
        <v>10</v>
      </c>
      <c r="L1348" s="9">
        <f t="shared" si="21"/>
        <v>228571.43</v>
      </c>
    </row>
    <row r="1349" spans="1:12" ht="14.25" hidden="1" customHeight="1" x14ac:dyDescent="0.3">
      <c r="A1349" s="8">
        <v>1348</v>
      </c>
      <c r="B1349" s="8" t="str">
        <f>'Criaturas - Base de Dados'!B226</f>
        <v>Profundezas Abissais</v>
      </c>
      <c r="C1349" s="8" t="str">
        <f>'Criaturas - Base de Dados'!C226</f>
        <v>Mar Profundo</v>
      </c>
      <c r="D1349" s="8" t="str">
        <f>'Criaturas - Base de Dados'!D226</f>
        <v>Behemoth das Profundezas</v>
      </c>
      <c r="E1349" s="8" t="str">
        <f>'Sistema de Raridade e Evolução'!B5</f>
        <v>Ouro</v>
      </c>
      <c r="F1349" s="9">
        <f>ROUND(('Criaturas - Base de Dados'!H226*'Sistema de Raridade e Evolução'!E5)*1000,2)</f>
        <v>288000</v>
      </c>
      <c r="G1349" s="8">
        <f>ROUND('Criaturas - Base de Dados'!I226*'Sistema de Raridade e Evolução'!E5,0)</f>
        <v>180</v>
      </c>
      <c r="H1349" s="8">
        <f>ROUND('Criaturas - Base de Dados'!J226*'Sistema de Raridade e Evolução'!E5,0)</f>
        <v>144</v>
      </c>
      <c r="I1349" s="8">
        <f>ROUND('Criaturas - Base de Dados'!K226*'Sistema de Raridade e Evolução'!E5,0)</f>
        <v>918</v>
      </c>
      <c r="J1349" s="8">
        <f>'Sistema de Raridade e Evolução'!D5</f>
        <v>31</v>
      </c>
      <c r="K1349" s="8" t="s">
        <v>11</v>
      </c>
      <c r="L1349" s="9">
        <f t="shared" si="21"/>
        <v>685714.29</v>
      </c>
    </row>
    <row r="1350" spans="1:12" ht="14.25" hidden="1" customHeight="1" x14ac:dyDescent="0.3">
      <c r="A1350" s="8">
        <v>1349</v>
      </c>
      <c r="B1350" s="8" t="str">
        <f>'Criaturas - Base de Dados'!B226</f>
        <v>Profundezas Abissais</v>
      </c>
      <c r="C1350" s="8" t="str">
        <f>'Criaturas - Base de Dados'!C226</f>
        <v>Mar Profundo</v>
      </c>
      <c r="D1350" s="8" t="str">
        <f>'Criaturas - Base de Dados'!D226</f>
        <v>Behemoth das Profundezas</v>
      </c>
      <c r="E1350" s="8" t="str">
        <f>'Sistema de Raridade e Evolução'!B6</f>
        <v>Platina</v>
      </c>
      <c r="F1350" s="9">
        <f>ROUND(('Criaturas - Base de Dados'!H226*'Sistema de Raridade e Evolução'!E6)*1000,2)</f>
        <v>800000</v>
      </c>
      <c r="G1350" s="8">
        <f>ROUND('Criaturas - Base de Dados'!I226*'Sistema de Raridade e Evolução'!E6,0)</f>
        <v>500</v>
      </c>
      <c r="H1350" s="8">
        <f>ROUND('Criaturas - Base de Dados'!J226*'Sistema de Raridade e Evolução'!E6,0)</f>
        <v>400</v>
      </c>
      <c r="I1350" s="8">
        <f>ROUND('Criaturas - Base de Dados'!K226*'Sistema de Raridade e Evolução'!E6,0)</f>
        <v>2550</v>
      </c>
      <c r="J1350" s="8">
        <f>'Sistema de Raridade e Evolução'!D6</f>
        <v>56</v>
      </c>
      <c r="K1350" s="8" t="s">
        <v>12</v>
      </c>
      <c r="L1350" s="9">
        <f t="shared" si="21"/>
        <v>1904761.9</v>
      </c>
    </row>
    <row r="1351" spans="1:12" ht="14.25" hidden="1" customHeight="1" x14ac:dyDescent="0.3">
      <c r="A1351" s="8">
        <v>1350</v>
      </c>
      <c r="B1351" s="8" t="str">
        <f>'Criaturas - Base de Dados'!B226</f>
        <v>Profundezas Abissais</v>
      </c>
      <c r="C1351" s="8" t="str">
        <f>'Criaturas - Base de Dados'!C226</f>
        <v>Mar Profundo</v>
      </c>
      <c r="D1351" s="8" t="str">
        <f>'Criaturas - Base de Dados'!D226</f>
        <v>Behemoth das Profundezas</v>
      </c>
      <c r="E1351" s="8" t="str">
        <f>'Sistema de Raridade e Evolução'!B7</f>
        <v>Lendário</v>
      </c>
      <c r="F1351" s="9">
        <f>ROUND(('Criaturas - Base de Dados'!H226*'Sistema de Raridade e Evolução'!E7)*1000,2)</f>
        <v>2400000</v>
      </c>
      <c r="G1351" s="8">
        <f>ROUND('Criaturas - Base de Dados'!I226*'Sistema de Raridade e Evolução'!E7,0)</f>
        <v>1500</v>
      </c>
      <c r="H1351" s="8">
        <f>ROUND('Criaturas - Base de Dados'!J226*'Sistema de Raridade e Evolução'!E7,0)</f>
        <v>1200</v>
      </c>
      <c r="I1351" s="8">
        <f>ROUND('Criaturas - Base de Dados'!K226*'Sistema de Raridade e Evolução'!E7,0)</f>
        <v>7650</v>
      </c>
      <c r="J1351" s="8">
        <f>'Sistema de Raridade e Evolução'!D7</f>
        <v>91</v>
      </c>
      <c r="K1351" s="8" t="s">
        <v>925</v>
      </c>
      <c r="L1351" s="9">
        <f t="shared" si="21"/>
        <v>5714285.71</v>
      </c>
    </row>
    <row r="1352" spans="1:12" ht="14.25" customHeight="1" x14ac:dyDescent="0.3">
      <c r="A1352" s="8">
        <v>1351</v>
      </c>
      <c r="B1352" s="8" t="str">
        <f>'Criaturas - Base de Dados'!B227</f>
        <v>Profundezas Abissais</v>
      </c>
      <c r="C1352" s="8" t="str">
        <f>'Criaturas - Base de Dados'!C227</f>
        <v>Mar Profundo</v>
      </c>
      <c r="D1352" s="8" t="str">
        <f>'Criaturas - Base de Dados'!D227</f>
        <v>Peixe-Abissal Ancestral</v>
      </c>
      <c r="E1352" s="8" t="str">
        <f>'Sistema de Raridade e Evolução'!B2</f>
        <v>Default</v>
      </c>
      <c r="F1352" s="9" t="e">
        <f>ROUND(('Criaturas - Base de Dados'!H227*'Sistema de Raridade e Evolução'!E2)*1000,2)</f>
        <v>#VALUE!</v>
      </c>
      <c r="G1352" s="8" t="e">
        <f>ROUND('Criaturas - Base de Dados'!I227*'Sistema de Raridade e Evolução'!E2,0)</f>
        <v>#VALUE!</v>
      </c>
      <c r="H1352" s="8" t="e">
        <f>ROUND('Criaturas - Base de Dados'!J227*'Sistema de Raridade e Evolução'!E2,0)</f>
        <v>#VALUE!</v>
      </c>
      <c r="I1352" s="8" t="e">
        <f>ROUND('Criaturas - Base de Dados'!K227*'Sistema de Raridade e Evolução'!E2,0)</f>
        <v>#VALUE!</v>
      </c>
      <c r="J1352" s="8">
        <f>'Sistema de Raridade e Evolução'!D2</f>
        <v>1</v>
      </c>
      <c r="K1352" s="8" t="s">
        <v>8</v>
      </c>
      <c r="L1352" s="9" t="e">
        <f t="shared" si="21"/>
        <v>#VALUE!</v>
      </c>
    </row>
    <row r="1353" spans="1:12" ht="14.25" hidden="1" customHeight="1" x14ac:dyDescent="0.3">
      <c r="A1353" s="8">
        <v>1352</v>
      </c>
      <c r="B1353" s="8" t="str">
        <f>'Criaturas - Base de Dados'!B227</f>
        <v>Profundezas Abissais</v>
      </c>
      <c r="C1353" s="8" t="str">
        <f>'Criaturas - Base de Dados'!C227</f>
        <v>Mar Profundo</v>
      </c>
      <c r="D1353" s="8" t="str">
        <f>'Criaturas - Base de Dados'!D227</f>
        <v>Peixe-Abissal Ancestral</v>
      </c>
      <c r="E1353" s="8" t="str">
        <f>'Sistema de Raridade e Evolução'!B3</f>
        <v>Bronze</v>
      </c>
      <c r="F1353" s="9">
        <f>ROUND(('Criaturas - Base de Dados'!H227*'Sistema de Raridade e Evolução'!E3)*1000,2)</f>
        <v>18000</v>
      </c>
      <c r="G1353" s="8">
        <f>ROUND('Criaturas - Base de Dados'!I227*'Sistema de Raridade e Evolução'!E3,0)</f>
        <v>11</v>
      </c>
      <c r="H1353" s="8">
        <f>ROUND('Criaturas - Base de Dados'!J227*'Sistema de Raridade e Evolução'!E3,0)</f>
        <v>9</v>
      </c>
      <c r="I1353" s="8">
        <f>ROUND('Criaturas - Base de Dados'!K227*'Sistema de Raridade e Evolução'!E3,0)</f>
        <v>58</v>
      </c>
      <c r="J1353" s="8">
        <f>'Sistema de Raridade e Evolução'!D3</f>
        <v>6</v>
      </c>
      <c r="K1353" s="8" t="s">
        <v>9</v>
      </c>
      <c r="L1353" s="9">
        <f t="shared" si="21"/>
        <v>42857.14</v>
      </c>
    </row>
    <row r="1354" spans="1:12" ht="14.25" hidden="1" customHeight="1" x14ac:dyDescent="0.3">
      <c r="A1354" s="8">
        <v>1353</v>
      </c>
      <c r="B1354" s="8" t="str">
        <f>'Criaturas - Base de Dados'!B227</f>
        <v>Profundezas Abissais</v>
      </c>
      <c r="C1354" s="8" t="str">
        <f>'Criaturas - Base de Dados'!C227</f>
        <v>Mar Profundo</v>
      </c>
      <c r="D1354" s="8" t="str">
        <f>'Criaturas - Base de Dados'!D227</f>
        <v>Peixe-Abissal Ancestral</v>
      </c>
      <c r="E1354" s="8" t="str">
        <f>'Sistema de Raridade e Evolução'!B4</f>
        <v>Prata</v>
      </c>
      <c r="F1354" s="9">
        <f>ROUND(('Criaturas - Base de Dados'!H227*'Sistema de Raridade e Evolução'!E4)*1000,2)</f>
        <v>108000</v>
      </c>
      <c r="G1354" s="8">
        <f>ROUND('Criaturas - Base de Dados'!I227*'Sistema de Raridade e Evolução'!E4,0)</f>
        <v>66</v>
      </c>
      <c r="H1354" s="8">
        <f>ROUND('Criaturas - Base de Dados'!J227*'Sistema de Raridade e Evolução'!E4,0)</f>
        <v>54</v>
      </c>
      <c r="I1354" s="8">
        <f>ROUND('Criaturas - Base de Dados'!K227*'Sistema de Raridade e Evolução'!E4,0)</f>
        <v>348</v>
      </c>
      <c r="J1354" s="8">
        <f>'Sistema de Raridade e Evolução'!D4</f>
        <v>16</v>
      </c>
      <c r="K1354" s="8" t="s">
        <v>10</v>
      </c>
      <c r="L1354" s="9">
        <f t="shared" si="21"/>
        <v>257142.86</v>
      </c>
    </row>
    <row r="1355" spans="1:12" ht="14.25" hidden="1" customHeight="1" x14ac:dyDescent="0.3">
      <c r="A1355" s="8">
        <v>1354</v>
      </c>
      <c r="B1355" s="8" t="str">
        <f>'Criaturas - Base de Dados'!B227</f>
        <v>Profundezas Abissais</v>
      </c>
      <c r="C1355" s="8" t="str">
        <f>'Criaturas - Base de Dados'!C227</f>
        <v>Mar Profundo</v>
      </c>
      <c r="D1355" s="8" t="str">
        <f>'Criaturas - Base de Dados'!D227</f>
        <v>Peixe-Abissal Ancestral</v>
      </c>
      <c r="E1355" s="8" t="str">
        <f>'Sistema de Raridade e Evolução'!B5</f>
        <v>Ouro</v>
      </c>
      <c r="F1355" s="9">
        <f>ROUND(('Criaturas - Base de Dados'!H227*'Sistema de Raridade e Evolução'!E5)*1000,2)</f>
        <v>324000</v>
      </c>
      <c r="G1355" s="8">
        <f>ROUND('Criaturas - Base de Dados'!I227*'Sistema de Raridade e Evolução'!E5,0)</f>
        <v>198</v>
      </c>
      <c r="H1355" s="8">
        <f>ROUND('Criaturas - Base de Dados'!J227*'Sistema de Raridade e Evolução'!E5,0)</f>
        <v>162</v>
      </c>
      <c r="I1355" s="8">
        <f>ROUND('Criaturas - Base de Dados'!K227*'Sistema de Raridade e Evolução'!E5,0)</f>
        <v>1044</v>
      </c>
      <c r="J1355" s="8">
        <f>'Sistema de Raridade e Evolução'!D5</f>
        <v>31</v>
      </c>
      <c r="K1355" s="8" t="s">
        <v>11</v>
      </c>
      <c r="L1355" s="9">
        <f t="shared" si="21"/>
        <v>771428.57</v>
      </c>
    </row>
    <row r="1356" spans="1:12" ht="14.25" hidden="1" customHeight="1" x14ac:dyDescent="0.3">
      <c r="A1356" s="8">
        <v>1355</v>
      </c>
      <c r="B1356" s="8" t="str">
        <f>'Criaturas - Base de Dados'!B227</f>
        <v>Profundezas Abissais</v>
      </c>
      <c r="C1356" s="8" t="str">
        <f>'Criaturas - Base de Dados'!C227</f>
        <v>Mar Profundo</v>
      </c>
      <c r="D1356" s="8" t="str">
        <f>'Criaturas - Base de Dados'!D227</f>
        <v>Peixe-Abissal Ancestral</v>
      </c>
      <c r="E1356" s="8" t="str">
        <f>'Sistema de Raridade e Evolução'!B6</f>
        <v>Platina</v>
      </c>
      <c r="F1356" s="9">
        <f>ROUND(('Criaturas - Base de Dados'!H227*'Sistema de Raridade e Evolução'!E6)*1000,2)</f>
        <v>900000</v>
      </c>
      <c r="G1356" s="8">
        <f>ROUND('Criaturas - Base de Dados'!I227*'Sistema de Raridade e Evolução'!E6,0)</f>
        <v>550</v>
      </c>
      <c r="H1356" s="8">
        <f>ROUND('Criaturas - Base de Dados'!J227*'Sistema de Raridade e Evolução'!E6,0)</f>
        <v>450</v>
      </c>
      <c r="I1356" s="8">
        <f>ROUND('Criaturas - Base de Dados'!K227*'Sistema de Raridade e Evolução'!E6,0)</f>
        <v>2900</v>
      </c>
      <c r="J1356" s="8">
        <f>'Sistema de Raridade e Evolução'!D6</f>
        <v>56</v>
      </c>
      <c r="K1356" s="8" t="s">
        <v>12</v>
      </c>
      <c r="L1356" s="9">
        <f t="shared" si="21"/>
        <v>2142857.14</v>
      </c>
    </row>
    <row r="1357" spans="1:12" ht="14.25" hidden="1" customHeight="1" x14ac:dyDescent="0.3">
      <c r="A1357" s="8">
        <v>1356</v>
      </c>
      <c r="B1357" s="8" t="str">
        <f>'Criaturas - Base de Dados'!B227</f>
        <v>Profundezas Abissais</v>
      </c>
      <c r="C1357" s="8" t="str">
        <f>'Criaturas - Base de Dados'!C227</f>
        <v>Mar Profundo</v>
      </c>
      <c r="D1357" s="8" t="str">
        <f>'Criaturas - Base de Dados'!D227</f>
        <v>Peixe-Abissal Ancestral</v>
      </c>
      <c r="E1357" s="8" t="str">
        <f>'Sistema de Raridade e Evolução'!B7</f>
        <v>Lendário</v>
      </c>
      <c r="F1357" s="9">
        <f>ROUND(('Criaturas - Base de Dados'!H227*'Sistema de Raridade e Evolução'!E7)*1000,2)</f>
        <v>2700000</v>
      </c>
      <c r="G1357" s="8">
        <f>ROUND('Criaturas - Base de Dados'!I227*'Sistema de Raridade e Evolução'!E7,0)</f>
        <v>1650</v>
      </c>
      <c r="H1357" s="8">
        <f>ROUND('Criaturas - Base de Dados'!J227*'Sistema de Raridade e Evolução'!E7,0)</f>
        <v>1350</v>
      </c>
      <c r="I1357" s="8">
        <f>ROUND('Criaturas - Base de Dados'!K227*'Sistema de Raridade e Evolução'!E7,0)</f>
        <v>8700</v>
      </c>
      <c r="J1357" s="8">
        <f>'Sistema de Raridade e Evolução'!D7</f>
        <v>91</v>
      </c>
      <c r="K1357" s="8" t="s">
        <v>925</v>
      </c>
      <c r="L1357" s="9">
        <f t="shared" si="21"/>
        <v>6428571.4299999997</v>
      </c>
    </row>
    <row r="1358" spans="1:12" ht="14.25" customHeight="1" x14ac:dyDescent="0.3">
      <c r="A1358" s="8">
        <v>1357</v>
      </c>
      <c r="B1358" s="8" t="str">
        <f>'Criaturas - Base de Dados'!B228</f>
        <v>Profundezas Abissais</v>
      </c>
      <c r="C1358" s="8" t="str">
        <f>'Criaturas - Base de Dados'!C228</f>
        <v>Mar Profundo</v>
      </c>
      <c r="D1358" s="8" t="str">
        <f>'Criaturas - Base de Dados'!D228</f>
        <v>Medusa das Profundezas</v>
      </c>
      <c r="E1358" s="8" t="str">
        <f>'Sistema de Raridade e Evolução'!B2</f>
        <v>Default</v>
      </c>
      <c r="F1358" s="9" t="e">
        <f>ROUND(('Criaturas - Base de Dados'!H228*'Sistema de Raridade e Evolução'!E2)*1000,2)</f>
        <v>#VALUE!</v>
      </c>
      <c r="G1358" s="8" t="e">
        <f>ROUND('Criaturas - Base de Dados'!I228*'Sistema de Raridade e Evolução'!E2,0)</f>
        <v>#VALUE!</v>
      </c>
      <c r="H1358" s="8" t="e">
        <f>ROUND('Criaturas - Base de Dados'!J228*'Sistema de Raridade e Evolução'!E2,0)</f>
        <v>#VALUE!</v>
      </c>
      <c r="I1358" s="8" t="e">
        <f>ROUND('Criaturas - Base de Dados'!K228*'Sistema de Raridade e Evolução'!E2,0)</f>
        <v>#VALUE!</v>
      </c>
      <c r="J1358" s="8">
        <f>'Sistema de Raridade e Evolução'!D2</f>
        <v>1</v>
      </c>
      <c r="K1358" s="8" t="s">
        <v>8</v>
      </c>
      <c r="L1358" s="9" t="e">
        <f t="shared" si="21"/>
        <v>#VALUE!</v>
      </c>
    </row>
    <row r="1359" spans="1:12" ht="14.25" hidden="1" customHeight="1" x14ac:dyDescent="0.3">
      <c r="A1359" s="8">
        <v>1358</v>
      </c>
      <c r="B1359" s="8" t="str">
        <f>'Criaturas - Base de Dados'!B228</f>
        <v>Profundezas Abissais</v>
      </c>
      <c r="C1359" s="8" t="str">
        <f>'Criaturas - Base de Dados'!C228</f>
        <v>Mar Profundo</v>
      </c>
      <c r="D1359" s="8" t="str">
        <f>'Criaturas - Base de Dados'!D228</f>
        <v>Medusa das Profundezas</v>
      </c>
      <c r="E1359" s="8" t="str">
        <f>'Sistema de Raridade e Evolução'!B3</f>
        <v>Bronze</v>
      </c>
      <c r="F1359" s="9">
        <f>ROUND(('Criaturas - Base de Dados'!H228*'Sistema de Raridade e Evolução'!E3)*1000,2)</f>
        <v>20000</v>
      </c>
      <c r="G1359" s="8">
        <f>ROUND('Criaturas - Base de Dados'!I228*'Sistema de Raridade e Evolução'!E3,0)</f>
        <v>12</v>
      </c>
      <c r="H1359" s="8">
        <f>ROUND('Criaturas - Base de Dados'!J228*'Sistema de Raridade e Evolução'!E3,0)</f>
        <v>10</v>
      </c>
      <c r="I1359" s="8">
        <f>ROUND('Criaturas - Base de Dados'!K228*'Sistema de Raridade e Evolução'!E3,0)</f>
        <v>64</v>
      </c>
      <c r="J1359" s="8">
        <f>'Sistema de Raridade e Evolução'!D3</f>
        <v>6</v>
      </c>
      <c r="K1359" s="8" t="s">
        <v>9</v>
      </c>
      <c r="L1359" s="9">
        <f t="shared" si="21"/>
        <v>47619.05</v>
      </c>
    </row>
    <row r="1360" spans="1:12" ht="14.25" hidden="1" customHeight="1" x14ac:dyDescent="0.3">
      <c r="A1360" s="8">
        <v>1359</v>
      </c>
      <c r="B1360" s="8" t="str">
        <f>'Criaturas - Base de Dados'!B228</f>
        <v>Profundezas Abissais</v>
      </c>
      <c r="C1360" s="8" t="str">
        <f>'Criaturas - Base de Dados'!C228</f>
        <v>Mar Profundo</v>
      </c>
      <c r="D1360" s="8" t="str">
        <f>'Criaturas - Base de Dados'!D228</f>
        <v>Medusa das Profundezas</v>
      </c>
      <c r="E1360" s="8" t="str">
        <f>'Sistema de Raridade e Evolução'!B4</f>
        <v>Prata</v>
      </c>
      <c r="F1360" s="9">
        <f>ROUND(('Criaturas - Base de Dados'!H228*'Sistema de Raridade e Evolução'!E4)*1000,2)</f>
        <v>120000</v>
      </c>
      <c r="G1360" s="8">
        <f>ROUND('Criaturas - Base de Dados'!I228*'Sistema de Raridade e Evolução'!E4,0)</f>
        <v>72</v>
      </c>
      <c r="H1360" s="8">
        <f>ROUND('Criaturas - Base de Dados'!J228*'Sistema de Raridade e Evolução'!E4,0)</f>
        <v>60</v>
      </c>
      <c r="I1360" s="8">
        <f>ROUND('Criaturas - Base de Dados'!K228*'Sistema de Raridade e Evolução'!E4,0)</f>
        <v>384</v>
      </c>
      <c r="J1360" s="8">
        <f>'Sistema de Raridade e Evolução'!D4</f>
        <v>16</v>
      </c>
      <c r="K1360" s="8" t="s">
        <v>10</v>
      </c>
      <c r="L1360" s="9">
        <f t="shared" si="21"/>
        <v>285714.28999999998</v>
      </c>
    </row>
    <row r="1361" spans="1:12" ht="14.25" hidden="1" customHeight="1" x14ac:dyDescent="0.3">
      <c r="A1361" s="8">
        <v>1360</v>
      </c>
      <c r="B1361" s="8" t="str">
        <f>'Criaturas - Base de Dados'!B228</f>
        <v>Profundezas Abissais</v>
      </c>
      <c r="C1361" s="8" t="str">
        <f>'Criaturas - Base de Dados'!C228</f>
        <v>Mar Profundo</v>
      </c>
      <c r="D1361" s="8" t="str">
        <f>'Criaturas - Base de Dados'!D228</f>
        <v>Medusa das Profundezas</v>
      </c>
      <c r="E1361" s="8" t="str">
        <f>'Sistema de Raridade e Evolução'!B5</f>
        <v>Ouro</v>
      </c>
      <c r="F1361" s="9">
        <f>ROUND(('Criaturas - Base de Dados'!H228*'Sistema de Raridade e Evolução'!E5)*1000,2)</f>
        <v>360000</v>
      </c>
      <c r="G1361" s="8">
        <f>ROUND('Criaturas - Base de Dados'!I228*'Sistema de Raridade e Evolução'!E5,0)</f>
        <v>216</v>
      </c>
      <c r="H1361" s="8">
        <f>ROUND('Criaturas - Base de Dados'!J228*'Sistema de Raridade e Evolução'!E5,0)</f>
        <v>180</v>
      </c>
      <c r="I1361" s="8">
        <f>ROUND('Criaturas - Base de Dados'!K228*'Sistema de Raridade e Evolução'!E5,0)</f>
        <v>1152</v>
      </c>
      <c r="J1361" s="8">
        <f>'Sistema de Raridade e Evolução'!D5</f>
        <v>31</v>
      </c>
      <c r="K1361" s="8" t="s">
        <v>11</v>
      </c>
      <c r="L1361" s="9">
        <f t="shared" si="21"/>
        <v>857142.86</v>
      </c>
    </row>
    <row r="1362" spans="1:12" ht="14.25" hidden="1" customHeight="1" x14ac:dyDescent="0.3">
      <c r="A1362" s="8">
        <v>1361</v>
      </c>
      <c r="B1362" s="8" t="str">
        <f>'Criaturas - Base de Dados'!B228</f>
        <v>Profundezas Abissais</v>
      </c>
      <c r="C1362" s="8" t="str">
        <f>'Criaturas - Base de Dados'!C228</f>
        <v>Mar Profundo</v>
      </c>
      <c r="D1362" s="8" t="str">
        <f>'Criaturas - Base de Dados'!D228</f>
        <v>Medusa das Profundezas</v>
      </c>
      <c r="E1362" s="8" t="str">
        <f>'Sistema de Raridade e Evolução'!B6</f>
        <v>Platina</v>
      </c>
      <c r="F1362" s="9">
        <f>ROUND(('Criaturas - Base de Dados'!H228*'Sistema de Raridade e Evolução'!E6)*1000,2)</f>
        <v>1000000</v>
      </c>
      <c r="G1362" s="8">
        <f>ROUND('Criaturas - Base de Dados'!I228*'Sistema de Raridade e Evolução'!E6,0)</f>
        <v>600</v>
      </c>
      <c r="H1362" s="8">
        <f>ROUND('Criaturas - Base de Dados'!J228*'Sistema de Raridade e Evolução'!E6,0)</f>
        <v>500</v>
      </c>
      <c r="I1362" s="8">
        <f>ROUND('Criaturas - Base de Dados'!K228*'Sistema de Raridade e Evolução'!E6,0)</f>
        <v>3200</v>
      </c>
      <c r="J1362" s="8">
        <f>'Sistema de Raridade e Evolução'!D6</f>
        <v>56</v>
      </c>
      <c r="K1362" s="8" t="s">
        <v>12</v>
      </c>
      <c r="L1362" s="9">
        <f t="shared" si="21"/>
        <v>2380952.38</v>
      </c>
    </row>
    <row r="1363" spans="1:12" ht="14.25" hidden="1" customHeight="1" x14ac:dyDescent="0.3">
      <c r="A1363" s="8">
        <v>1362</v>
      </c>
      <c r="B1363" s="8" t="str">
        <f>'Criaturas - Base de Dados'!B228</f>
        <v>Profundezas Abissais</v>
      </c>
      <c r="C1363" s="8" t="str">
        <f>'Criaturas - Base de Dados'!C228</f>
        <v>Mar Profundo</v>
      </c>
      <c r="D1363" s="8" t="str">
        <f>'Criaturas - Base de Dados'!D228</f>
        <v>Medusa das Profundezas</v>
      </c>
      <c r="E1363" s="8" t="str">
        <f>'Sistema de Raridade e Evolução'!B7</f>
        <v>Lendário</v>
      </c>
      <c r="F1363" s="9">
        <f>ROUND(('Criaturas - Base de Dados'!H228*'Sistema de Raridade e Evolução'!E7)*1000,2)</f>
        <v>3000000</v>
      </c>
      <c r="G1363" s="8">
        <f>ROUND('Criaturas - Base de Dados'!I228*'Sistema de Raridade e Evolução'!E7,0)</f>
        <v>1800</v>
      </c>
      <c r="H1363" s="8">
        <f>ROUND('Criaturas - Base de Dados'!J228*'Sistema de Raridade e Evolução'!E7,0)</f>
        <v>1500</v>
      </c>
      <c r="I1363" s="8">
        <f>ROUND('Criaturas - Base de Dados'!K228*'Sistema de Raridade e Evolução'!E7,0)</f>
        <v>9600</v>
      </c>
      <c r="J1363" s="8">
        <f>'Sistema de Raridade e Evolução'!D7</f>
        <v>91</v>
      </c>
      <c r="K1363" s="8" t="s">
        <v>925</v>
      </c>
      <c r="L1363" s="9">
        <f t="shared" si="21"/>
        <v>7142857.1399999997</v>
      </c>
    </row>
    <row r="1364" spans="1:12" ht="14.25" customHeight="1" x14ac:dyDescent="0.3">
      <c r="A1364" s="8">
        <v>1363</v>
      </c>
      <c r="B1364" s="8" t="str">
        <f>'Criaturas - Base de Dados'!B229</f>
        <v>Profundezas Abissais</v>
      </c>
      <c r="C1364" s="8" t="str">
        <f>'Criaturas - Base de Dados'!C229</f>
        <v>Mar Profundo</v>
      </c>
      <c r="D1364" s="8" t="str">
        <f>'Criaturas - Base de Dados'!D229</f>
        <v>Kraken Filhote</v>
      </c>
      <c r="E1364" s="8" t="str">
        <f>'Sistema de Raridade e Evolução'!B2</f>
        <v>Default</v>
      </c>
      <c r="F1364" s="9" t="e">
        <f>ROUND(('Criaturas - Base de Dados'!H229*'Sistema de Raridade e Evolução'!E2)*1000,2)</f>
        <v>#VALUE!</v>
      </c>
      <c r="G1364" s="8" t="e">
        <f>ROUND('Criaturas - Base de Dados'!I229*'Sistema de Raridade e Evolução'!E2,0)</f>
        <v>#VALUE!</v>
      </c>
      <c r="H1364" s="8" t="e">
        <f>ROUND('Criaturas - Base de Dados'!J229*'Sistema de Raridade e Evolução'!E2,0)</f>
        <v>#VALUE!</v>
      </c>
      <c r="I1364" s="8" t="e">
        <f>ROUND('Criaturas - Base de Dados'!K229*'Sistema de Raridade e Evolução'!E2,0)</f>
        <v>#VALUE!</v>
      </c>
      <c r="J1364" s="8">
        <f>'Sistema de Raridade e Evolução'!D2</f>
        <v>1</v>
      </c>
      <c r="K1364" s="8" t="s">
        <v>8</v>
      </c>
      <c r="L1364" s="9" t="e">
        <f t="shared" si="21"/>
        <v>#VALUE!</v>
      </c>
    </row>
    <row r="1365" spans="1:12" ht="14.25" hidden="1" customHeight="1" x14ac:dyDescent="0.3">
      <c r="A1365" s="8">
        <v>1364</v>
      </c>
      <c r="B1365" s="8" t="str">
        <f>'Criaturas - Base de Dados'!B229</f>
        <v>Profundezas Abissais</v>
      </c>
      <c r="C1365" s="8" t="str">
        <f>'Criaturas - Base de Dados'!C229</f>
        <v>Mar Profundo</v>
      </c>
      <c r="D1365" s="8" t="str">
        <f>'Criaturas - Base de Dados'!D229</f>
        <v>Kraken Filhote</v>
      </c>
      <c r="E1365" s="8" t="str">
        <f>'Sistema de Raridade e Evolução'!B3</f>
        <v>Bronze</v>
      </c>
      <c r="F1365" s="9">
        <f>ROUND(('Criaturas - Base de Dados'!H229*'Sistema de Raridade e Evolução'!E3)*1000,2)</f>
        <v>22000</v>
      </c>
      <c r="G1365" s="8">
        <f>ROUND('Criaturas - Base de Dados'!I229*'Sistema de Raridade e Evolução'!E3,0)</f>
        <v>13</v>
      </c>
      <c r="H1365" s="8">
        <f>ROUND('Criaturas - Base de Dados'!J229*'Sistema de Raridade e Evolução'!E3,0)</f>
        <v>11</v>
      </c>
      <c r="I1365" s="8">
        <f>ROUND('Criaturas - Base de Dados'!K229*'Sistema de Raridade e Evolução'!E3,0)</f>
        <v>70</v>
      </c>
      <c r="J1365" s="8">
        <f>'Sistema de Raridade e Evolução'!D3</f>
        <v>6</v>
      </c>
      <c r="K1365" s="8" t="s">
        <v>9</v>
      </c>
      <c r="L1365" s="9">
        <f t="shared" si="21"/>
        <v>52380.95</v>
      </c>
    </row>
    <row r="1366" spans="1:12" ht="14.25" hidden="1" customHeight="1" x14ac:dyDescent="0.3">
      <c r="A1366" s="8">
        <v>1365</v>
      </c>
      <c r="B1366" s="8" t="str">
        <f>'Criaturas - Base de Dados'!B229</f>
        <v>Profundezas Abissais</v>
      </c>
      <c r="C1366" s="8" t="str">
        <f>'Criaturas - Base de Dados'!C229</f>
        <v>Mar Profundo</v>
      </c>
      <c r="D1366" s="8" t="str">
        <f>'Criaturas - Base de Dados'!D229</f>
        <v>Kraken Filhote</v>
      </c>
      <c r="E1366" s="8" t="str">
        <f>'Sistema de Raridade e Evolução'!B4</f>
        <v>Prata</v>
      </c>
      <c r="F1366" s="9">
        <f>ROUND(('Criaturas - Base de Dados'!H229*'Sistema de Raridade e Evolução'!E4)*1000,2)</f>
        <v>132000</v>
      </c>
      <c r="G1366" s="8">
        <f>ROUND('Criaturas - Base de Dados'!I229*'Sistema de Raridade e Evolução'!E4,0)</f>
        <v>78</v>
      </c>
      <c r="H1366" s="8">
        <f>ROUND('Criaturas - Base de Dados'!J229*'Sistema de Raridade e Evolução'!E4,0)</f>
        <v>66</v>
      </c>
      <c r="I1366" s="8">
        <f>ROUND('Criaturas - Base de Dados'!K229*'Sistema de Raridade e Evolução'!E4,0)</f>
        <v>420</v>
      </c>
      <c r="J1366" s="8">
        <f>'Sistema de Raridade e Evolução'!D4</f>
        <v>16</v>
      </c>
      <c r="K1366" s="8" t="s">
        <v>10</v>
      </c>
      <c r="L1366" s="9">
        <f t="shared" si="21"/>
        <v>314285.71000000002</v>
      </c>
    </row>
    <row r="1367" spans="1:12" ht="14.25" hidden="1" customHeight="1" x14ac:dyDescent="0.3">
      <c r="A1367" s="8">
        <v>1366</v>
      </c>
      <c r="B1367" s="8" t="str">
        <f>'Criaturas - Base de Dados'!B229</f>
        <v>Profundezas Abissais</v>
      </c>
      <c r="C1367" s="8" t="str">
        <f>'Criaturas - Base de Dados'!C229</f>
        <v>Mar Profundo</v>
      </c>
      <c r="D1367" s="8" t="str">
        <f>'Criaturas - Base de Dados'!D229</f>
        <v>Kraken Filhote</v>
      </c>
      <c r="E1367" s="8" t="str">
        <f>'Sistema de Raridade e Evolução'!B5</f>
        <v>Ouro</v>
      </c>
      <c r="F1367" s="9">
        <f>ROUND(('Criaturas - Base de Dados'!H229*'Sistema de Raridade e Evolução'!E5)*1000,2)</f>
        <v>396000</v>
      </c>
      <c r="G1367" s="8">
        <f>ROUND('Criaturas - Base de Dados'!I229*'Sistema de Raridade e Evolução'!E5,0)</f>
        <v>234</v>
      </c>
      <c r="H1367" s="8">
        <f>ROUND('Criaturas - Base de Dados'!J229*'Sistema de Raridade e Evolução'!E5,0)</f>
        <v>198</v>
      </c>
      <c r="I1367" s="8">
        <f>ROUND('Criaturas - Base de Dados'!K229*'Sistema de Raridade e Evolução'!E5,0)</f>
        <v>1260</v>
      </c>
      <c r="J1367" s="8">
        <f>'Sistema de Raridade e Evolução'!D5</f>
        <v>31</v>
      </c>
      <c r="K1367" s="8" t="s">
        <v>11</v>
      </c>
      <c r="L1367" s="9">
        <f t="shared" si="21"/>
        <v>942857.14</v>
      </c>
    </row>
    <row r="1368" spans="1:12" ht="14.25" hidden="1" customHeight="1" x14ac:dyDescent="0.3">
      <c r="A1368" s="8">
        <v>1367</v>
      </c>
      <c r="B1368" s="8" t="str">
        <f>'Criaturas - Base de Dados'!B229</f>
        <v>Profundezas Abissais</v>
      </c>
      <c r="C1368" s="8" t="str">
        <f>'Criaturas - Base de Dados'!C229</f>
        <v>Mar Profundo</v>
      </c>
      <c r="D1368" s="8" t="str">
        <f>'Criaturas - Base de Dados'!D229</f>
        <v>Kraken Filhote</v>
      </c>
      <c r="E1368" s="8" t="str">
        <f>'Sistema de Raridade e Evolução'!B6</f>
        <v>Platina</v>
      </c>
      <c r="F1368" s="9">
        <f>ROUND(('Criaturas - Base de Dados'!H229*'Sistema de Raridade e Evolução'!E6)*1000,2)</f>
        <v>1100000</v>
      </c>
      <c r="G1368" s="8">
        <f>ROUND('Criaturas - Base de Dados'!I229*'Sistema de Raridade e Evolução'!E6,0)</f>
        <v>650</v>
      </c>
      <c r="H1368" s="8">
        <f>ROUND('Criaturas - Base de Dados'!J229*'Sistema de Raridade e Evolução'!E6,0)</f>
        <v>550</v>
      </c>
      <c r="I1368" s="8">
        <f>ROUND('Criaturas - Base de Dados'!K229*'Sistema de Raridade e Evolução'!E6,0)</f>
        <v>3500</v>
      </c>
      <c r="J1368" s="8">
        <f>'Sistema de Raridade e Evolução'!D6</f>
        <v>56</v>
      </c>
      <c r="K1368" s="8" t="s">
        <v>12</v>
      </c>
      <c r="L1368" s="9">
        <f t="shared" si="21"/>
        <v>2619047.62</v>
      </c>
    </row>
    <row r="1369" spans="1:12" ht="14.25" hidden="1" customHeight="1" x14ac:dyDescent="0.3">
      <c r="A1369" s="8">
        <v>1368</v>
      </c>
      <c r="B1369" s="8" t="str">
        <f>'Criaturas - Base de Dados'!B229</f>
        <v>Profundezas Abissais</v>
      </c>
      <c r="C1369" s="8" t="str">
        <f>'Criaturas - Base de Dados'!C229</f>
        <v>Mar Profundo</v>
      </c>
      <c r="D1369" s="8" t="str">
        <f>'Criaturas - Base de Dados'!D229</f>
        <v>Kraken Filhote</v>
      </c>
      <c r="E1369" s="8" t="str">
        <f>'Sistema de Raridade e Evolução'!B7</f>
        <v>Lendário</v>
      </c>
      <c r="F1369" s="9">
        <f>ROUND(('Criaturas - Base de Dados'!H229*'Sistema de Raridade e Evolução'!E7)*1000,2)</f>
        <v>3300000</v>
      </c>
      <c r="G1369" s="8">
        <f>ROUND('Criaturas - Base de Dados'!I229*'Sistema de Raridade e Evolução'!E7,0)</f>
        <v>1950</v>
      </c>
      <c r="H1369" s="8">
        <f>ROUND('Criaturas - Base de Dados'!J229*'Sistema de Raridade e Evolução'!E7,0)</f>
        <v>1650</v>
      </c>
      <c r="I1369" s="8">
        <f>ROUND('Criaturas - Base de Dados'!K229*'Sistema de Raridade e Evolução'!E7,0)</f>
        <v>10500</v>
      </c>
      <c r="J1369" s="8">
        <f>'Sistema de Raridade e Evolução'!D7</f>
        <v>91</v>
      </c>
      <c r="K1369" s="8" t="s">
        <v>925</v>
      </c>
      <c r="L1369" s="9">
        <f t="shared" si="21"/>
        <v>7857142.8600000003</v>
      </c>
    </row>
    <row r="1370" spans="1:12" ht="14.25" customHeight="1" x14ac:dyDescent="0.3">
      <c r="A1370" s="8">
        <v>1369</v>
      </c>
      <c r="B1370" s="8" t="str">
        <f>'Criaturas - Base de Dados'!B230</f>
        <v>Profundezas Abissais</v>
      </c>
      <c r="C1370" s="8" t="str">
        <f>'Criaturas - Base de Dados'!C230</f>
        <v>Mar Profundo</v>
      </c>
      <c r="D1370" s="8" t="str">
        <f>'Criaturas - Base de Dados'!D230</f>
        <v>Horror das Trincheiras</v>
      </c>
      <c r="E1370" s="8" t="str">
        <f>'Sistema de Raridade e Evolução'!B2</f>
        <v>Default</v>
      </c>
      <c r="F1370" s="9" t="e">
        <f>ROUND(('Criaturas - Base de Dados'!H230*'Sistema de Raridade e Evolução'!E2)*1000,2)</f>
        <v>#VALUE!</v>
      </c>
      <c r="G1370" s="8" t="e">
        <f>ROUND('Criaturas - Base de Dados'!I230*'Sistema de Raridade e Evolução'!E2,0)</f>
        <v>#VALUE!</v>
      </c>
      <c r="H1370" s="8" t="e">
        <f>ROUND('Criaturas - Base de Dados'!J230*'Sistema de Raridade e Evolução'!E2,0)</f>
        <v>#VALUE!</v>
      </c>
      <c r="I1370" s="8" t="e">
        <f>ROUND('Criaturas - Base de Dados'!K230*'Sistema de Raridade e Evolução'!E2,0)</f>
        <v>#VALUE!</v>
      </c>
      <c r="J1370" s="8">
        <f>'Sistema de Raridade e Evolução'!D2</f>
        <v>1</v>
      </c>
      <c r="K1370" s="8" t="s">
        <v>8</v>
      </c>
      <c r="L1370" s="9" t="e">
        <f t="shared" si="21"/>
        <v>#VALUE!</v>
      </c>
    </row>
    <row r="1371" spans="1:12" ht="14.25" hidden="1" customHeight="1" x14ac:dyDescent="0.3">
      <c r="A1371" s="8">
        <v>1370</v>
      </c>
      <c r="B1371" s="8" t="str">
        <f>'Criaturas - Base de Dados'!B230</f>
        <v>Profundezas Abissais</v>
      </c>
      <c r="C1371" s="8" t="str">
        <f>'Criaturas - Base de Dados'!C230</f>
        <v>Mar Profundo</v>
      </c>
      <c r="D1371" s="8" t="str">
        <f>'Criaturas - Base de Dados'!D230</f>
        <v>Horror das Trincheiras</v>
      </c>
      <c r="E1371" s="8" t="str">
        <f>'Sistema de Raridade e Evolução'!B3</f>
        <v>Bronze</v>
      </c>
      <c r="F1371" s="9">
        <f>ROUND(('Criaturas - Base de Dados'!H230*'Sistema de Raridade e Evolução'!E3)*1000,2)</f>
        <v>24000</v>
      </c>
      <c r="G1371" s="8">
        <f>ROUND('Criaturas - Base de Dados'!I230*'Sistema de Raridade e Evolução'!E3,0)</f>
        <v>14</v>
      </c>
      <c r="H1371" s="8">
        <f>ROUND('Criaturas - Base de Dados'!J230*'Sistema de Raridade e Evolução'!E3,0)</f>
        <v>12</v>
      </c>
      <c r="I1371" s="8">
        <f>ROUND('Criaturas - Base de Dados'!K230*'Sistema de Raridade e Evolução'!E3,0)</f>
        <v>77</v>
      </c>
      <c r="J1371" s="8">
        <f>'Sistema de Raridade e Evolução'!D3</f>
        <v>6</v>
      </c>
      <c r="K1371" s="8" t="s">
        <v>9</v>
      </c>
      <c r="L1371" s="9">
        <f t="shared" si="21"/>
        <v>57142.86</v>
      </c>
    </row>
    <row r="1372" spans="1:12" ht="14.25" hidden="1" customHeight="1" x14ac:dyDescent="0.3">
      <c r="A1372" s="8">
        <v>1371</v>
      </c>
      <c r="B1372" s="8" t="str">
        <f>'Criaturas - Base de Dados'!B230</f>
        <v>Profundezas Abissais</v>
      </c>
      <c r="C1372" s="8" t="str">
        <f>'Criaturas - Base de Dados'!C230</f>
        <v>Mar Profundo</v>
      </c>
      <c r="D1372" s="8" t="str">
        <f>'Criaturas - Base de Dados'!D230</f>
        <v>Horror das Trincheiras</v>
      </c>
      <c r="E1372" s="8" t="str">
        <f>'Sistema de Raridade e Evolução'!B4</f>
        <v>Prata</v>
      </c>
      <c r="F1372" s="9">
        <f>ROUND(('Criaturas - Base de Dados'!H230*'Sistema de Raridade e Evolução'!E4)*1000,2)</f>
        <v>144000</v>
      </c>
      <c r="G1372" s="8">
        <f>ROUND('Criaturas - Base de Dados'!I230*'Sistema de Raridade e Evolução'!E4,0)</f>
        <v>84</v>
      </c>
      <c r="H1372" s="8">
        <f>ROUND('Criaturas - Base de Dados'!J230*'Sistema de Raridade e Evolução'!E4,0)</f>
        <v>72</v>
      </c>
      <c r="I1372" s="8">
        <f>ROUND('Criaturas - Base de Dados'!K230*'Sistema de Raridade e Evolução'!E4,0)</f>
        <v>462</v>
      </c>
      <c r="J1372" s="8">
        <f>'Sistema de Raridade e Evolução'!D4</f>
        <v>16</v>
      </c>
      <c r="K1372" s="8" t="s">
        <v>10</v>
      </c>
      <c r="L1372" s="9">
        <f t="shared" si="21"/>
        <v>342857.14</v>
      </c>
    </row>
    <row r="1373" spans="1:12" ht="14.25" hidden="1" customHeight="1" x14ac:dyDescent="0.3">
      <c r="A1373" s="8">
        <v>1372</v>
      </c>
      <c r="B1373" s="8" t="str">
        <f>'Criaturas - Base de Dados'!B230</f>
        <v>Profundezas Abissais</v>
      </c>
      <c r="C1373" s="8" t="str">
        <f>'Criaturas - Base de Dados'!C230</f>
        <v>Mar Profundo</v>
      </c>
      <c r="D1373" s="8" t="str">
        <f>'Criaturas - Base de Dados'!D230</f>
        <v>Horror das Trincheiras</v>
      </c>
      <c r="E1373" s="8" t="str">
        <f>'Sistema de Raridade e Evolução'!B5</f>
        <v>Ouro</v>
      </c>
      <c r="F1373" s="9">
        <f>ROUND(('Criaturas - Base de Dados'!H230*'Sistema de Raridade e Evolução'!E5)*1000,2)</f>
        <v>432000</v>
      </c>
      <c r="G1373" s="8">
        <f>ROUND('Criaturas - Base de Dados'!I230*'Sistema de Raridade e Evolução'!E5,0)</f>
        <v>252</v>
      </c>
      <c r="H1373" s="8">
        <f>ROUND('Criaturas - Base de Dados'!J230*'Sistema de Raridade e Evolução'!E5,0)</f>
        <v>216</v>
      </c>
      <c r="I1373" s="8">
        <f>ROUND('Criaturas - Base de Dados'!K230*'Sistema de Raridade e Evolução'!E5,0)</f>
        <v>1386</v>
      </c>
      <c r="J1373" s="8">
        <f>'Sistema de Raridade e Evolução'!D5</f>
        <v>31</v>
      </c>
      <c r="K1373" s="8" t="s">
        <v>11</v>
      </c>
      <c r="L1373" s="9">
        <f t="shared" si="21"/>
        <v>1028571.43</v>
      </c>
    </row>
    <row r="1374" spans="1:12" ht="14.25" hidden="1" customHeight="1" x14ac:dyDescent="0.3">
      <c r="A1374" s="8">
        <v>1373</v>
      </c>
      <c r="B1374" s="8" t="str">
        <f>'Criaturas - Base de Dados'!B230</f>
        <v>Profundezas Abissais</v>
      </c>
      <c r="C1374" s="8" t="str">
        <f>'Criaturas - Base de Dados'!C230</f>
        <v>Mar Profundo</v>
      </c>
      <c r="D1374" s="8" t="str">
        <f>'Criaturas - Base de Dados'!D230</f>
        <v>Horror das Trincheiras</v>
      </c>
      <c r="E1374" s="8" t="str">
        <f>'Sistema de Raridade e Evolução'!B6</f>
        <v>Platina</v>
      </c>
      <c r="F1374" s="9">
        <f>ROUND(('Criaturas - Base de Dados'!H230*'Sistema de Raridade e Evolução'!E6)*1000,2)</f>
        <v>1200000</v>
      </c>
      <c r="G1374" s="8">
        <f>ROUND('Criaturas - Base de Dados'!I230*'Sistema de Raridade e Evolução'!E6,0)</f>
        <v>700</v>
      </c>
      <c r="H1374" s="8">
        <f>ROUND('Criaturas - Base de Dados'!J230*'Sistema de Raridade e Evolução'!E6,0)</f>
        <v>600</v>
      </c>
      <c r="I1374" s="8">
        <f>ROUND('Criaturas - Base de Dados'!K230*'Sistema de Raridade e Evolução'!E6,0)</f>
        <v>3850</v>
      </c>
      <c r="J1374" s="8">
        <f>'Sistema de Raridade e Evolução'!D6</f>
        <v>56</v>
      </c>
      <c r="K1374" s="8" t="s">
        <v>12</v>
      </c>
      <c r="L1374" s="9">
        <f t="shared" si="21"/>
        <v>2857142.86</v>
      </c>
    </row>
    <row r="1375" spans="1:12" ht="14.25" hidden="1" customHeight="1" x14ac:dyDescent="0.3">
      <c r="A1375" s="8">
        <v>1374</v>
      </c>
      <c r="B1375" s="8" t="str">
        <f>'Criaturas - Base de Dados'!B230</f>
        <v>Profundezas Abissais</v>
      </c>
      <c r="C1375" s="8" t="str">
        <f>'Criaturas - Base de Dados'!C230</f>
        <v>Mar Profundo</v>
      </c>
      <c r="D1375" s="8" t="str">
        <f>'Criaturas - Base de Dados'!D230</f>
        <v>Horror das Trincheiras</v>
      </c>
      <c r="E1375" s="8" t="str">
        <f>'Sistema de Raridade e Evolução'!B7</f>
        <v>Lendário</v>
      </c>
      <c r="F1375" s="9">
        <f>ROUND(('Criaturas - Base de Dados'!H230*'Sistema de Raridade e Evolução'!E7)*1000,2)</f>
        <v>3600000</v>
      </c>
      <c r="G1375" s="8">
        <f>ROUND('Criaturas - Base de Dados'!I230*'Sistema de Raridade e Evolução'!E7,0)</f>
        <v>2100</v>
      </c>
      <c r="H1375" s="8">
        <f>ROUND('Criaturas - Base de Dados'!J230*'Sistema de Raridade e Evolução'!E7,0)</f>
        <v>1800</v>
      </c>
      <c r="I1375" s="8">
        <f>ROUND('Criaturas - Base de Dados'!K230*'Sistema de Raridade e Evolução'!E7,0)</f>
        <v>11550</v>
      </c>
      <c r="J1375" s="8">
        <f>'Sistema de Raridade e Evolução'!D7</f>
        <v>91</v>
      </c>
      <c r="K1375" s="8" t="s">
        <v>925</v>
      </c>
      <c r="L1375" s="9">
        <f t="shared" si="21"/>
        <v>8571428.5700000003</v>
      </c>
    </row>
    <row r="1376" spans="1:12" ht="14.25" customHeight="1" x14ac:dyDescent="0.3">
      <c r="A1376" s="8">
        <v>1375</v>
      </c>
      <c r="B1376" s="8" t="str">
        <f>'Criaturas - Base de Dados'!B231</f>
        <v>Profundezas Abissais</v>
      </c>
      <c r="C1376" s="8" t="str">
        <f>'Criaturas - Base de Dados'!C231</f>
        <v>Mar Profundo</v>
      </c>
      <c r="D1376" s="8" t="str">
        <f>'Criaturas - Base de Dados'!D231</f>
        <v>Serpente Ceto Ancestral</v>
      </c>
      <c r="E1376" s="8" t="str">
        <f>'Sistema de Raridade e Evolução'!B2</f>
        <v>Default</v>
      </c>
      <c r="F1376" s="9" t="e">
        <f>ROUND(('Criaturas - Base de Dados'!H231*'Sistema de Raridade e Evolução'!E2)*1000,2)</f>
        <v>#VALUE!</v>
      </c>
      <c r="G1376" s="8" t="e">
        <f>ROUND('Criaturas - Base de Dados'!I231*'Sistema de Raridade e Evolução'!E2,0)</f>
        <v>#VALUE!</v>
      </c>
      <c r="H1376" s="8" t="e">
        <f>ROUND('Criaturas - Base de Dados'!J231*'Sistema de Raridade e Evolução'!E2,0)</f>
        <v>#VALUE!</v>
      </c>
      <c r="I1376" s="8" t="e">
        <f>ROUND('Criaturas - Base de Dados'!K231*'Sistema de Raridade e Evolução'!E2,0)</f>
        <v>#VALUE!</v>
      </c>
      <c r="J1376" s="8">
        <f>'Sistema de Raridade e Evolução'!D2</f>
        <v>1</v>
      </c>
      <c r="K1376" s="8" t="s">
        <v>8</v>
      </c>
      <c r="L1376" s="9" t="e">
        <f t="shared" si="21"/>
        <v>#VALUE!</v>
      </c>
    </row>
    <row r="1377" spans="1:12" ht="14.25" hidden="1" customHeight="1" x14ac:dyDescent="0.3">
      <c r="A1377" s="8">
        <v>1376</v>
      </c>
      <c r="B1377" s="8" t="str">
        <f>'Criaturas - Base de Dados'!B231</f>
        <v>Profundezas Abissais</v>
      </c>
      <c r="C1377" s="8" t="str">
        <f>'Criaturas - Base de Dados'!C231</f>
        <v>Mar Profundo</v>
      </c>
      <c r="D1377" s="8" t="str">
        <f>'Criaturas - Base de Dados'!D231</f>
        <v>Serpente Ceto Ancestral</v>
      </c>
      <c r="E1377" s="8" t="str">
        <f>'Sistema de Raridade e Evolução'!B3</f>
        <v>Bronze</v>
      </c>
      <c r="F1377" s="9">
        <f>ROUND(('Criaturas - Base de Dados'!H231*'Sistema de Raridade e Evolução'!E3)*1000,2)</f>
        <v>26000</v>
      </c>
      <c r="G1377" s="8">
        <f>ROUND('Criaturas - Base de Dados'!I231*'Sistema de Raridade e Evolução'!E3,0)</f>
        <v>16</v>
      </c>
      <c r="H1377" s="8">
        <f>ROUND('Criaturas - Base de Dados'!J231*'Sistema de Raridade e Evolução'!E3,0)</f>
        <v>13</v>
      </c>
      <c r="I1377" s="8">
        <f>ROUND('Criaturas - Base de Dados'!K231*'Sistema de Raridade e Evolução'!E3,0)</f>
        <v>83</v>
      </c>
      <c r="J1377" s="8">
        <f>'Sistema de Raridade e Evolução'!D3</f>
        <v>6</v>
      </c>
      <c r="K1377" s="8" t="s">
        <v>9</v>
      </c>
      <c r="L1377" s="9">
        <f t="shared" si="21"/>
        <v>61904.76</v>
      </c>
    </row>
    <row r="1378" spans="1:12" ht="14.25" hidden="1" customHeight="1" x14ac:dyDescent="0.3">
      <c r="A1378" s="8">
        <v>1377</v>
      </c>
      <c r="B1378" s="8" t="str">
        <f>'Criaturas - Base de Dados'!B231</f>
        <v>Profundezas Abissais</v>
      </c>
      <c r="C1378" s="8" t="str">
        <f>'Criaturas - Base de Dados'!C231</f>
        <v>Mar Profundo</v>
      </c>
      <c r="D1378" s="8" t="str">
        <f>'Criaturas - Base de Dados'!D231</f>
        <v>Serpente Ceto Ancestral</v>
      </c>
      <c r="E1378" s="8" t="str">
        <f>'Sistema de Raridade e Evolução'!B4</f>
        <v>Prata</v>
      </c>
      <c r="F1378" s="9">
        <f>ROUND(('Criaturas - Base de Dados'!H231*'Sistema de Raridade e Evolução'!E4)*1000,2)</f>
        <v>156000</v>
      </c>
      <c r="G1378" s="8">
        <f>ROUND('Criaturas - Base de Dados'!I231*'Sistema de Raridade e Evolução'!E4,0)</f>
        <v>96</v>
      </c>
      <c r="H1378" s="8">
        <f>ROUND('Criaturas - Base de Dados'!J231*'Sistema de Raridade e Evolução'!E4,0)</f>
        <v>78</v>
      </c>
      <c r="I1378" s="8">
        <f>ROUND('Criaturas - Base de Dados'!K231*'Sistema de Raridade e Evolução'!E4,0)</f>
        <v>498</v>
      </c>
      <c r="J1378" s="8">
        <f>'Sistema de Raridade e Evolução'!D4</f>
        <v>16</v>
      </c>
      <c r="K1378" s="8" t="s">
        <v>10</v>
      </c>
      <c r="L1378" s="9">
        <f t="shared" si="21"/>
        <v>371428.57</v>
      </c>
    </row>
    <row r="1379" spans="1:12" ht="14.25" hidden="1" customHeight="1" x14ac:dyDescent="0.3">
      <c r="A1379" s="8">
        <v>1378</v>
      </c>
      <c r="B1379" s="8" t="str">
        <f>'Criaturas - Base de Dados'!B231</f>
        <v>Profundezas Abissais</v>
      </c>
      <c r="C1379" s="8" t="str">
        <f>'Criaturas - Base de Dados'!C231</f>
        <v>Mar Profundo</v>
      </c>
      <c r="D1379" s="8" t="str">
        <f>'Criaturas - Base de Dados'!D231</f>
        <v>Serpente Ceto Ancestral</v>
      </c>
      <c r="E1379" s="8" t="str">
        <f>'Sistema de Raridade e Evolução'!B5</f>
        <v>Ouro</v>
      </c>
      <c r="F1379" s="9">
        <f>ROUND(('Criaturas - Base de Dados'!H231*'Sistema de Raridade e Evolução'!E5)*1000,2)</f>
        <v>468000</v>
      </c>
      <c r="G1379" s="8">
        <f>ROUND('Criaturas - Base de Dados'!I231*'Sistema de Raridade e Evolução'!E5,0)</f>
        <v>288</v>
      </c>
      <c r="H1379" s="8">
        <f>ROUND('Criaturas - Base de Dados'!J231*'Sistema de Raridade e Evolução'!E5,0)</f>
        <v>234</v>
      </c>
      <c r="I1379" s="8">
        <f>ROUND('Criaturas - Base de Dados'!K231*'Sistema de Raridade e Evolução'!E5,0)</f>
        <v>1494</v>
      </c>
      <c r="J1379" s="8">
        <f>'Sistema de Raridade e Evolução'!D5</f>
        <v>31</v>
      </c>
      <c r="K1379" s="8" t="s">
        <v>11</v>
      </c>
      <c r="L1379" s="9">
        <f t="shared" si="21"/>
        <v>1114285.71</v>
      </c>
    </row>
    <row r="1380" spans="1:12" ht="14.25" hidden="1" customHeight="1" x14ac:dyDescent="0.3">
      <c r="A1380" s="8">
        <v>1379</v>
      </c>
      <c r="B1380" s="8" t="str">
        <f>'Criaturas - Base de Dados'!B231</f>
        <v>Profundezas Abissais</v>
      </c>
      <c r="C1380" s="8" t="str">
        <f>'Criaturas - Base de Dados'!C231</f>
        <v>Mar Profundo</v>
      </c>
      <c r="D1380" s="8" t="str">
        <f>'Criaturas - Base de Dados'!D231</f>
        <v>Serpente Ceto Ancestral</v>
      </c>
      <c r="E1380" s="8" t="str">
        <f>'Sistema de Raridade e Evolução'!B6</f>
        <v>Platina</v>
      </c>
      <c r="F1380" s="9">
        <f>ROUND(('Criaturas - Base de Dados'!H231*'Sistema de Raridade e Evolução'!E6)*1000,2)</f>
        <v>1300000</v>
      </c>
      <c r="G1380" s="8">
        <f>ROUND('Criaturas - Base de Dados'!I231*'Sistema de Raridade e Evolução'!E6,0)</f>
        <v>800</v>
      </c>
      <c r="H1380" s="8">
        <f>ROUND('Criaturas - Base de Dados'!J231*'Sistema de Raridade e Evolução'!E6,0)</f>
        <v>650</v>
      </c>
      <c r="I1380" s="8">
        <f>ROUND('Criaturas - Base de Dados'!K231*'Sistema de Raridade e Evolução'!E6,0)</f>
        <v>4150</v>
      </c>
      <c r="J1380" s="8">
        <f>'Sistema de Raridade e Evolução'!D6</f>
        <v>56</v>
      </c>
      <c r="K1380" s="8" t="s">
        <v>12</v>
      </c>
      <c r="L1380" s="9">
        <f t="shared" si="21"/>
        <v>3095238.1</v>
      </c>
    </row>
    <row r="1381" spans="1:12" ht="14.25" hidden="1" customHeight="1" x14ac:dyDescent="0.3">
      <c r="A1381" s="8">
        <v>1380</v>
      </c>
      <c r="B1381" s="8" t="str">
        <f>'Criaturas - Base de Dados'!B231</f>
        <v>Profundezas Abissais</v>
      </c>
      <c r="C1381" s="8" t="str">
        <f>'Criaturas - Base de Dados'!C231</f>
        <v>Mar Profundo</v>
      </c>
      <c r="D1381" s="8" t="str">
        <f>'Criaturas - Base de Dados'!D231</f>
        <v>Serpente Ceto Ancestral</v>
      </c>
      <c r="E1381" s="8" t="str">
        <f>'Sistema de Raridade e Evolução'!B7</f>
        <v>Lendário</v>
      </c>
      <c r="F1381" s="9">
        <f>ROUND(('Criaturas - Base de Dados'!H231*'Sistema de Raridade e Evolução'!E7)*1000,2)</f>
        <v>3900000</v>
      </c>
      <c r="G1381" s="8">
        <f>ROUND('Criaturas - Base de Dados'!I231*'Sistema de Raridade e Evolução'!E7,0)</f>
        <v>2400</v>
      </c>
      <c r="H1381" s="8">
        <f>ROUND('Criaturas - Base de Dados'!J231*'Sistema de Raridade e Evolução'!E7,0)</f>
        <v>1950</v>
      </c>
      <c r="I1381" s="8">
        <f>ROUND('Criaturas - Base de Dados'!K231*'Sistema de Raridade e Evolução'!E7,0)</f>
        <v>12450</v>
      </c>
      <c r="J1381" s="8">
        <f>'Sistema de Raridade e Evolução'!D7</f>
        <v>91</v>
      </c>
      <c r="K1381" s="8" t="s">
        <v>925</v>
      </c>
      <c r="L1381" s="9">
        <f t="shared" si="21"/>
        <v>9285714.2899999991</v>
      </c>
    </row>
    <row r="1382" spans="1:12" ht="14.25" customHeight="1" x14ac:dyDescent="0.3">
      <c r="A1382" s="8">
        <v>1381</v>
      </c>
      <c r="B1382" s="8" t="str">
        <f>'Criaturas - Base de Dados'!B232</f>
        <v>Profundezas Abissais</v>
      </c>
      <c r="C1382" s="8" t="str">
        <f>'Criaturas - Base de Dados'!C232</f>
        <v>Mar Profundo</v>
      </c>
      <c r="D1382" s="8" t="str">
        <f>'Criaturas - Base de Dados'!D232</f>
        <v>Devorador de Naufrágios</v>
      </c>
      <c r="E1382" s="8" t="str">
        <f>'Sistema de Raridade e Evolução'!B2</f>
        <v>Default</v>
      </c>
      <c r="F1382" s="9" t="e">
        <f>ROUND(('Criaturas - Base de Dados'!H232*'Sistema de Raridade e Evolução'!E2)*1000,2)</f>
        <v>#VALUE!</v>
      </c>
      <c r="G1382" s="8" t="e">
        <f>ROUND('Criaturas - Base de Dados'!I232*'Sistema de Raridade e Evolução'!E2,0)</f>
        <v>#VALUE!</v>
      </c>
      <c r="H1382" s="8" t="e">
        <f>ROUND('Criaturas - Base de Dados'!J232*'Sistema de Raridade e Evolução'!E2,0)</f>
        <v>#VALUE!</v>
      </c>
      <c r="I1382" s="8" t="e">
        <f>ROUND('Criaturas - Base de Dados'!K232*'Sistema de Raridade e Evolução'!E2,0)</f>
        <v>#VALUE!</v>
      </c>
      <c r="J1382" s="8">
        <f>'Sistema de Raridade e Evolução'!D2</f>
        <v>1</v>
      </c>
      <c r="K1382" s="8" t="s">
        <v>8</v>
      </c>
      <c r="L1382" s="9" t="e">
        <f t="shared" si="21"/>
        <v>#VALUE!</v>
      </c>
    </row>
    <row r="1383" spans="1:12" ht="14.25" hidden="1" customHeight="1" x14ac:dyDescent="0.3">
      <c r="A1383" s="8">
        <v>1382</v>
      </c>
      <c r="B1383" s="8" t="str">
        <f>'Criaturas - Base de Dados'!B232</f>
        <v>Profundezas Abissais</v>
      </c>
      <c r="C1383" s="8" t="str">
        <f>'Criaturas - Base de Dados'!C232</f>
        <v>Mar Profundo</v>
      </c>
      <c r="D1383" s="8" t="str">
        <f>'Criaturas - Base de Dados'!D232</f>
        <v>Devorador de Naufrágios</v>
      </c>
      <c r="E1383" s="8" t="str">
        <f>'Sistema de Raridade e Evolução'!B3</f>
        <v>Bronze</v>
      </c>
      <c r="F1383" s="9">
        <f>ROUND(('Criaturas - Base de Dados'!H232*'Sistema de Raridade e Evolução'!E3)*1000,2)</f>
        <v>28000</v>
      </c>
      <c r="G1383" s="8">
        <f>ROUND('Criaturas - Base de Dados'!I232*'Sistema de Raridade e Evolução'!E3,0)</f>
        <v>17</v>
      </c>
      <c r="H1383" s="8">
        <f>ROUND('Criaturas - Base de Dados'!J232*'Sistema de Raridade e Evolução'!E3,0)</f>
        <v>14</v>
      </c>
      <c r="I1383" s="8">
        <f>ROUND('Criaturas - Base de Dados'!K232*'Sistema de Raridade e Evolução'!E3,0)</f>
        <v>90</v>
      </c>
      <c r="J1383" s="8">
        <f>'Sistema de Raridade e Evolução'!D3</f>
        <v>6</v>
      </c>
      <c r="K1383" s="8" t="s">
        <v>9</v>
      </c>
      <c r="L1383" s="9">
        <f t="shared" si="21"/>
        <v>66666.67</v>
      </c>
    </row>
    <row r="1384" spans="1:12" ht="14.25" hidden="1" customHeight="1" x14ac:dyDescent="0.3">
      <c r="A1384" s="8">
        <v>1383</v>
      </c>
      <c r="B1384" s="8" t="str">
        <f>'Criaturas - Base de Dados'!B232</f>
        <v>Profundezas Abissais</v>
      </c>
      <c r="C1384" s="8" t="str">
        <f>'Criaturas - Base de Dados'!C232</f>
        <v>Mar Profundo</v>
      </c>
      <c r="D1384" s="8" t="str">
        <f>'Criaturas - Base de Dados'!D232</f>
        <v>Devorador de Naufrágios</v>
      </c>
      <c r="E1384" s="8" t="str">
        <f>'Sistema de Raridade e Evolução'!B4</f>
        <v>Prata</v>
      </c>
      <c r="F1384" s="9">
        <f>ROUND(('Criaturas - Base de Dados'!H232*'Sistema de Raridade e Evolução'!E4)*1000,2)</f>
        <v>168000</v>
      </c>
      <c r="G1384" s="8">
        <f>ROUND('Criaturas - Base de Dados'!I232*'Sistema de Raridade e Evolução'!E4,0)</f>
        <v>102</v>
      </c>
      <c r="H1384" s="8">
        <f>ROUND('Criaturas - Base de Dados'!J232*'Sistema de Raridade e Evolução'!E4,0)</f>
        <v>84</v>
      </c>
      <c r="I1384" s="8">
        <f>ROUND('Criaturas - Base de Dados'!K232*'Sistema de Raridade e Evolução'!E4,0)</f>
        <v>540</v>
      </c>
      <c r="J1384" s="8">
        <f>'Sistema de Raridade e Evolução'!D4</f>
        <v>16</v>
      </c>
      <c r="K1384" s="8" t="s">
        <v>10</v>
      </c>
      <c r="L1384" s="9">
        <f t="shared" si="21"/>
        <v>400000</v>
      </c>
    </row>
    <row r="1385" spans="1:12" ht="14.25" hidden="1" customHeight="1" x14ac:dyDescent="0.3">
      <c r="A1385" s="8">
        <v>1384</v>
      </c>
      <c r="B1385" s="8" t="str">
        <f>'Criaturas - Base de Dados'!B232</f>
        <v>Profundezas Abissais</v>
      </c>
      <c r="C1385" s="8" t="str">
        <f>'Criaturas - Base de Dados'!C232</f>
        <v>Mar Profundo</v>
      </c>
      <c r="D1385" s="8" t="str">
        <f>'Criaturas - Base de Dados'!D232</f>
        <v>Devorador de Naufrágios</v>
      </c>
      <c r="E1385" s="8" t="str">
        <f>'Sistema de Raridade e Evolução'!B5</f>
        <v>Ouro</v>
      </c>
      <c r="F1385" s="9">
        <f>ROUND(('Criaturas - Base de Dados'!H232*'Sistema de Raridade e Evolução'!E5)*1000,2)</f>
        <v>504000</v>
      </c>
      <c r="G1385" s="8">
        <f>ROUND('Criaturas - Base de Dados'!I232*'Sistema de Raridade e Evolução'!E5,0)</f>
        <v>306</v>
      </c>
      <c r="H1385" s="8">
        <f>ROUND('Criaturas - Base de Dados'!J232*'Sistema de Raridade e Evolução'!E5,0)</f>
        <v>252</v>
      </c>
      <c r="I1385" s="8">
        <f>ROUND('Criaturas - Base de Dados'!K232*'Sistema de Raridade e Evolução'!E5,0)</f>
        <v>1620</v>
      </c>
      <c r="J1385" s="8">
        <f>'Sistema de Raridade e Evolução'!D5</f>
        <v>31</v>
      </c>
      <c r="K1385" s="8" t="s">
        <v>11</v>
      </c>
      <c r="L1385" s="9">
        <f t="shared" si="21"/>
        <v>1200000</v>
      </c>
    </row>
    <row r="1386" spans="1:12" ht="14.25" hidden="1" customHeight="1" x14ac:dyDescent="0.3">
      <c r="A1386" s="8">
        <v>1385</v>
      </c>
      <c r="B1386" s="8" t="str">
        <f>'Criaturas - Base de Dados'!B232</f>
        <v>Profundezas Abissais</v>
      </c>
      <c r="C1386" s="8" t="str">
        <f>'Criaturas - Base de Dados'!C232</f>
        <v>Mar Profundo</v>
      </c>
      <c r="D1386" s="8" t="str">
        <f>'Criaturas - Base de Dados'!D232</f>
        <v>Devorador de Naufrágios</v>
      </c>
      <c r="E1386" s="8" t="str">
        <f>'Sistema de Raridade e Evolução'!B6</f>
        <v>Platina</v>
      </c>
      <c r="F1386" s="9">
        <f>ROUND(('Criaturas - Base de Dados'!H232*'Sistema de Raridade e Evolução'!E6)*1000,2)</f>
        <v>1400000</v>
      </c>
      <c r="G1386" s="8">
        <f>ROUND('Criaturas - Base de Dados'!I232*'Sistema de Raridade e Evolução'!E6,0)</f>
        <v>850</v>
      </c>
      <c r="H1386" s="8">
        <f>ROUND('Criaturas - Base de Dados'!J232*'Sistema de Raridade e Evolução'!E6,0)</f>
        <v>700</v>
      </c>
      <c r="I1386" s="8">
        <f>ROUND('Criaturas - Base de Dados'!K232*'Sistema de Raridade e Evolução'!E6,0)</f>
        <v>4500</v>
      </c>
      <c r="J1386" s="8">
        <f>'Sistema de Raridade e Evolução'!D6</f>
        <v>56</v>
      </c>
      <c r="K1386" s="8" t="s">
        <v>12</v>
      </c>
      <c r="L1386" s="9">
        <f t="shared" si="21"/>
        <v>3333333.33</v>
      </c>
    </row>
    <row r="1387" spans="1:12" ht="14.25" hidden="1" customHeight="1" x14ac:dyDescent="0.3">
      <c r="A1387" s="8">
        <v>1386</v>
      </c>
      <c r="B1387" s="8" t="str">
        <f>'Criaturas - Base de Dados'!B232</f>
        <v>Profundezas Abissais</v>
      </c>
      <c r="C1387" s="8" t="str">
        <f>'Criaturas - Base de Dados'!C232</f>
        <v>Mar Profundo</v>
      </c>
      <c r="D1387" s="8" t="str">
        <f>'Criaturas - Base de Dados'!D232</f>
        <v>Devorador de Naufrágios</v>
      </c>
      <c r="E1387" s="8" t="str">
        <f>'Sistema de Raridade e Evolução'!B7</f>
        <v>Lendário</v>
      </c>
      <c r="F1387" s="9">
        <f>ROUND(('Criaturas - Base de Dados'!H232*'Sistema de Raridade e Evolução'!E7)*1000,2)</f>
        <v>4200000</v>
      </c>
      <c r="G1387" s="8">
        <f>ROUND('Criaturas - Base de Dados'!I232*'Sistema de Raridade e Evolução'!E7,0)</f>
        <v>2550</v>
      </c>
      <c r="H1387" s="8">
        <f>ROUND('Criaturas - Base de Dados'!J232*'Sistema de Raridade e Evolução'!E7,0)</f>
        <v>2100</v>
      </c>
      <c r="I1387" s="8">
        <f>ROUND('Criaturas - Base de Dados'!K232*'Sistema de Raridade e Evolução'!E7,0)</f>
        <v>13500</v>
      </c>
      <c r="J1387" s="8">
        <f>'Sistema de Raridade e Evolução'!D7</f>
        <v>91</v>
      </c>
      <c r="K1387" s="8" t="s">
        <v>925</v>
      </c>
      <c r="L1387" s="9">
        <f t="shared" si="21"/>
        <v>10000000</v>
      </c>
    </row>
    <row r="1388" spans="1:12" ht="14.25" customHeight="1" x14ac:dyDescent="0.3">
      <c r="A1388" s="8">
        <v>1387</v>
      </c>
      <c r="B1388" s="8" t="str">
        <f>'Criaturas - Base de Dados'!B233</f>
        <v>Profundezas Abissais</v>
      </c>
      <c r="C1388" s="8" t="str">
        <f>'Criaturas - Base de Dados'!C233</f>
        <v>Mar Profundo</v>
      </c>
      <c r="D1388" s="8" t="str">
        <f>'Criaturas - Base de Dados'!D233</f>
        <v>Polvo Ancestral</v>
      </c>
      <c r="E1388" s="8" t="str">
        <f>'Sistema de Raridade e Evolução'!B2</f>
        <v>Default</v>
      </c>
      <c r="F1388" s="9" t="e">
        <f>ROUND(('Criaturas - Base de Dados'!H233*'Sistema de Raridade e Evolução'!E2)*1000,2)</f>
        <v>#VALUE!</v>
      </c>
      <c r="G1388" s="8" t="e">
        <f>ROUND('Criaturas - Base de Dados'!I233*'Sistema de Raridade e Evolução'!E2,0)</f>
        <v>#VALUE!</v>
      </c>
      <c r="H1388" s="8" t="e">
        <f>ROUND('Criaturas - Base de Dados'!J233*'Sistema de Raridade e Evolução'!E2,0)</f>
        <v>#VALUE!</v>
      </c>
      <c r="I1388" s="8" t="e">
        <f>ROUND('Criaturas - Base de Dados'!K233*'Sistema de Raridade e Evolução'!E2,0)</f>
        <v>#VALUE!</v>
      </c>
      <c r="J1388" s="8">
        <f>'Sistema de Raridade e Evolução'!D2</f>
        <v>1</v>
      </c>
      <c r="K1388" s="8" t="s">
        <v>8</v>
      </c>
      <c r="L1388" s="9" t="e">
        <f t="shared" si="21"/>
        <v>#VALUE!</v>
      </c>
    </row>
    <row r="1389" spans="1:12" ht="14.25" hidden="1" customHeight="1" x14ac:dyDescent="0.3">
      <c r="A1389" s="8">
        <v>1388</v>
      </c>
      <c r="B1389" s="8" t="str">
        <f>'Criaturas - Base de Dados'!B233</f>
        <v>Profundezas Abissais</v>
      </c>
      <c r="C1389" s="8" t="str">
        <f>'Criaturas - Base de Dados'!C233</f>
        <v>Mar Profundo</v>
      </c>
      <c r="D1389" s="8" t="str">
        <f>'Criaturas - Base de Dados'!D233</f>
        <v>Polvo Ancestral</v>
      </c>
      <c r="E1389" s="8" t="str">
        <f>'Sistema de Raridade e Evolução'!B3</f>
        <v>Bronze</v>
      </c>
      <c r="F1389" s="9">
        <f>ROUND(('Criaturas - Base de Dados'!H233*'Sistema de Raridade e Evolução'!E3)*1000,2)</f>
        <v>30000</v>
      </c>
      <c r="G1389" s="8">
        <f>ROUND('Criaturas - Base de Dados'!I233*'Sistema de Raridade e Evolução'!E3,0)</f>
        <v>18</v>
      </c>
      <c r="H1389" s="8">
        <f>ROUND('Criaturas - Base de Dados'!J233*'Sistema de Raridade e Evolução'!E3,0)</f>
        <v>15</v>
      </c>
      <c r="I1389" s="8">
        <f>ROUND('Criaturas - Base de Dados'!K233*'Sistema de Raridade e Evolução'!E3,0)</f>
        <v>96</v>
      </c>
      <c r="J1389" s="8">
        <f>'Sistema de Raridade e Evolução'!D3</f>
        <v>6</v>
      </c>
      <c r="K1389" s="8" t="s">
        <v>9</v>
      </c>
      <c r="L1389" s="9">
        <f t="shared" si="21"/>
        <v>71428.570000000007</v>
      </c>
    </row>
    <row r="1390" spans="1:12" ht="14.25" hidden="1" customHeight="1" x14ac:dyDescent="0.3">
      <c r="A1390" s="8">
        <v>1389</v>
      </c>
      <c r="B1390" s="8" t="str">
        <f>'Criaturas - Base de Dados'!B233</f>
        <v>Profundezas Abissais</v>
      </c>
      <c r="C1390" s="8" t="str">
        <f>'Criaturas - Base de Dados'!C233</f>
        <v>Mar Profundo</v>
      </c>
      <c r="D1390" s="8" t="str">
        <f>'Criaturas - Base de Dados'!D233</f>
        <v>Polvo Ancestral</v>
      </c>
      <c r="E1390" s="8" t="str">
        <f>'Sistema de Raridade e Evolução'!B4</f>
        <v>Prata</v>
      </c>
      <c r="F1390" s="9">
        <f>ROUND(('Criaturas - Base de Dados'!H233*'Sistema de Raridade e Evolução'!E4)*1000,2)</f>
        <v>180000</v>
      </c>
      <c r="G1390" s="8">
        <f>ROUND('Criaturas - Base de Dados'!I233*'Sistema de Raridade e Evolução'!E4,0)</f>
        <v>108</v>
      </c>
      <c r="H1390" s="8">
        <f>ROUND('Criaturas - Base de Dados'!J233*'Sistema de Raridade e Evolução'!E4,0)</f>
        <v>90</v>
      </c>
      <c r="I1390" s="8">
        <f>ROUND('Criaturas - Base de Dados'!K233*'Sistema de Raridade e Evolução'!E4,0)</f>
        <v>576</v>
      </c>
      <c r="J1390" s="8">
        <f>'Sistema de Raridade e Evolução'!D4</f>
        <v>16</v>
      </c>
      <c r="K1390" s="8" t="s">
        <v>10</v>
      </c>
      <c r="L1390" s="9">
        <f t="shared" si="21"/>
        <v>428571.43</v>
      </c>
    </row>
    <row r="1391" spans="1:12" ht="14.25" hidden="1" customHeight="1" x14ac:dyDescent="0.3">
      <c r="A1391" s="8">
        <v>1390</v>
      </c>
      <c r="B1391" s="8" t="str">
        <f>'Criaturas - Base de Dados'!B233</f>
        <v>Profundezas Abissais</v>
      </c>
      <c r="C1391" s="8" t="str">
        <f>'Criaturas - Base de Dados'!C233</f>
        <v>Mar Profundo</v>
      </c>
      <c r="D1391" s="8" t="str">
        <f>'Criaturas - Base de Dados'!D233</f>
        <v>Polvo Ancestral</v>
      </c>
      <c r="E1391" s="8" t="str">
        <f>'Sistema de Raridade e Evolução'!B5</f>
        <v>Ouro</v>
      </c>
      <c r="F1391" s="9">
        <f>ROUND(('Criaturas - Base de Dados'!H233*'Sistema de Raridade e Evolução'!E5)*1000,2)</f>
        <v>540000</v>
      </c>
      <c r="G1391" s="8">
        <f>ROUND('Criaturas - Base de Dados'!I233*'Sistema de Raridade e Evolução'!E5,0)</f>
        <v>324</v>
      </c>
      <c r="H1391" s="8">
        <f>ROUND('Criaturas - Base de Dados'!J233*'Sistema de Raridade e Evolução'!E5,0)</f>
        <v>270</v>
      </c>
      <c r="I1391" s="8">
        <f>ROUND('Criaturas - Base de Dados'!K233*'Sistema de Raridade e Evolução'!E5,0)</f>
        <v>1728</v>
      </c>
      <c r="J1391" s="8">
        <f>'Sistema de Raridade e Evolução'!D5</f>
        <v>31</v>
      </c>
      <c r="K1391" s="8" t="s">
        <v>11</v>
      </c>
      <c r="L1391" s="9">
        <f t="shared" si="21"/>
        <v>1285714.29</v>
      </c>
    </row>
    <row r="1392" spans="1:12" ht="14.25" hidden="1" customHeight="1" x14ac:dyDescent="0.3">
      <c r="A1392" s="8">
        <v>1391</v>
      </c>
      <c r="B1392" s="8" t="str">
        <f>'Criaturas - Base de Dados'!B233</f>
        <v>Profundezas Abissais</v>
      </c>
      <c r="C1392" s="8" t="str">
        <f>'Criaturas - Base de Dados'!C233</f>
        <v>Mar Profundo</v>
      </c>
      <c r="D1392" s="8" t="str">
        <f>'Criaturas - Base de Dados'!D233</f>
        <v>Polvo Ancestral</v>
      </c>
      <c r="E1392" s="8" t="str">
        <f>'Sistema de Raridade e Evolução'!B6</f>
        <v>Platina</v>
      </c>
      <c r="F1392" s="9">
        <f>ROUND(('Criaturas - Base de Dados'!H233*'Sistema de Raridade e Evolução'!E6)*1000,2)</f>
        <v>1500000</v>
      </c>
      <c r="G1392" s="8">
        <f>ROUND('Criaturas - Base de Dados'!I233*'Sistema de Raridade e Evolução'!E6,0)</f>
        <v>900</v>
      </c>
      <c r="H1392" s="8">
        <f>ROUND('Criaturas - Base de Dados'!J233*'Sistema de Raridade e Evolução'!E6,0)</f>
        <v>750</v>
      </c>
      <c r="I1392" s="8">
        <f>ROUND('Criaturas - Base de Dados'!K233*'Sistema de Raridade e Evolução'!E6,0)</f>
        <v>4800</v>
      </c>
      <c r="J1392" s="8">
        <f>'Sistema de Raridade e Evolução'!D6</f>
        <v>56</v>
      </c>
      <c r="K1392" s="8" t="s">
        <v>12</v>
      </c>
      <c r="L1392" s="9">
        <f t="shared" si="21"/>
        <v>3571428.57</v>
      </c>
    </row>
    <row r="1393" spans="1:12" ht="14.25" hidden="1" customHeight="1" x14ac:dyDescent="0.3">
      <c r="A1393" s="8">
        <v>1392</v>
      </c>
      <c r="B1393" s="8" t="str">
        <f>'Criaturas - Base de Dados'!B233</f>
        <v>Profundezas Abissais</v>
      </c>
      <c r="C1393" s="8" t="str">
        <f>'Criaturas - Base de Dados'!C233</f>
        <v>Mar Profundo</v>
      </c>
      <c r="D1393" s="8" t="str">
        <f>'Criaturas - Base de Dados'!D233</f>
        <v>Polvo Ancestral</v>
      </c>
      <c r="E1393" s="8" t="str">
        <f>'Sistema de Raridade e Evolução'!B7</f>
        <v>Lendário</v>
      </c>
      <c r="F1393" s="9">
        <f>ROUND(('Criaturas - Base de Dados'!H233*'Sistema de Raridade e Evolução'!E7)*1000,2)</f>
        <v>4500000</v>
      </c>
      <c r="G1393" s="8">
        <f>ROUND('Criaturas - Base de Dados'!I233*'Sistema de Raridade e Evolução'!E7,0)</f>
        <v>2700</v>
      </c>
      <c r="H1393" s="8">
        <f>ROUND('Criaturas - Base de Dados'!J233*'Sistema de Raridade e Evolução'!E7,0)</f>
        <v>2250</v>
      </c>
      <c r="I1393" s="8">
        <f>ROUND('Criaturas - Base de Dados'!K233*'Sistema de Raridade e Evolução'!E7,0)</f>
        <v>14400</v>
      </c>
      <c r="J1393" s="8">
        <f>'Sistema de Raridade e Evolução'!D7</f>
        <v>91</v>
      </c>
      <c r="K1393" s="8" t="s">
        <v>925</v>
      </c>
      <c r="L1393" s="9">
        <f t="shared" si="21"/>
        <v>10714285.710000001</v>
      </c>
    </row>
    <row r="1394" spans="1:12" ht="14.25" customHeight="1" x14ac:dyDescent="0.3">
      <c r="A1394" s="8">
        <v>1393</v>
      </c>
      <c r="B1394" s="8" t="str">
        <f>'Criaturas - Base de Dados'!B234</f>
        <v>Profundezas Abissais</v>
      </c>
      <c r="C1394" s="8" t="str">
        <f>'Criaturas - Base de Dados'!C234</f>
        <v>Mar Profundo</v>
      </c>
      <c r="D1394" s="8" t="str">
        <f>'Criaturas - Base de Dados'!D234</f>
        <v>Sereia Abissal</v>
      </c>
      <c r="E1394" s="8" t="str">
        <f>'Sistema de Raridade e Evolução'!B2</f>
        <v>Default</v>
      </c>
      <c r="F1394" s="9" t="e">
        <f>ROUND(('Criaturas - Base de Dados'!H234*'Sistema de Raridade e Evolução'!E2)*1000,2)</f>
        <v>#VALUE!</v>
      </c>
      <c r="G1394" s="8" t="e">
        <f>ROUND('Criaturas - Base de Dados'!I234*'Sistema de Raridade e Evolução'!E2,0)</f>
        <v>#VALUE!</v>
      </c>
      <c r="H1394" s="8" t="e">
        <f>ROUND('Criaturas - Base de Dados'!J234*'Sistema de Raridade e Evolução'!E2,0)</f>
        <v>#VALUE!</v>
      </c>
      <c r="I1394" s="8" t="e">
        <f>ROUND('Criaturas - Base de Dados'!K234*'Sistema de Raridade e Evolução'!E2,0)</f>
        <v>#VALUE!</v>
      </c>
      <c r="J1394" s="8">
        <f>'Sistema de Raridade e Evolução'!D2</f>
        <v>1</v>
      </c>
      <c r="K1394" s="8" t="s">
        <v>8</v>
      </c>
      <c r="L1394" s="9" t="e">
        <f t="shared" si="21"/>
        <v>#VALUE!</v>
      </c>
    </row>
    <row r="1395" spans="1:12" ht="14.25" hidden="1" customHeight="1" x14ac:dyDescent="0.3">
      <c r="A1395" s="8">
        <v>1394</v>
      </c>
      <c r="B1395" s="8" t="str">
        <f>'Criaturas - Base de Dados'!B234</f>
        <v>Profundezas Abissais</v>
      </c>
      <c r="C1395" s="8" t="str">
        <f>'Criaturas - Base de Dados'!C234</f>
        <v>Mar Profundo</v>
      </c>
      <c r="D1395" s="8" t="str">
        <f>'Criaturas - Base de Dados'!D234</f>
        <v>Sereia Abissal</v>
      </c>
      <c r="E1395" s="8" t="str">
        <f>'Sistema de Raridade e Evolução'!B3</f>
        <v>Bronze</v>
      </c>
      <c r="F1395" s="9">
        <f>ROUND(('Criaturas - Base de Dados'!H234*'Sistema de Raridade e Evolução'!E3)*1000,2)</f>
        <v>34000</v>
      </c>
      <c r="G1395" s="8">
        <f>ROUND('Criaturas - Base de Dados'!I234*'Sistema de Raridade e Evolução'!E3,0)</f>
        <v>20</v>
      </c>
      <c r="H1395" s="8">
        <f>ROUND('Criaturas - Base de Dados'!J234*'Sistema de Raridade e Evolução'!E3,0)</f>
        <v>17</v>
      </c>
      <c r="I1395" s="8">
        <f>ROUND('Criaturas - Base de Dados'!K234*'Sistema de Raridade e Evolução'!E3,0)</f>
        <v>109</v>
      </c>
      <c r="J1395" s="8">
        <f>'Sistema de Raridade e Evolução'!D3</f>
        <v>6</v>
      </c>
      <c r="K1395" s="8" t="s">
        <v>9</v>
      </c>
      <c r="L1395" s="9">
        <f t="shared" si="21"/>
        <v>80952.38</v>
      </c>
    </row>
    <row r="1396" spans="1:12" ht="14.25" hidden="1" customHeight="1" x14ac:dyDescent="0.3">
      <c r="A1396" s="8">
        <v>1395</v>
      </c>
      <c r="B1396" s="8" t="str">
        <f>'Criaturas - Base de Dados'!B234</f>
        <v>Profundezas Abissais</v>
      </c>
      <c r="C1396" s="8" t="str">
        <f>'Criaturas - Base de Dados'!C234</f>
        <v>Mar Profundo</v>
      </c>
      <c r="D1396" s="8" t="str">
        <f>'Criaturas - Base de Dados'!D234</f>
        <v>Sereia Abissal</v>
      </c>
      <c r="E1396" s="8" t="str">
        <f>'Sistema de Raridade e Evolução'!B4</f>
        <v>Prata</v>
      </c>
      <c r="F1396" s="9">
        <f>ROUND(('Criaturas - Base de Dados'!H234*'Sistema de Raridade e Evolução'!E4)*1000,2)</f>
        <v>204000</v>
      </c>
      <c r="G1396" s="8">
        <f>ROUND('Criaturas - Base de Dados'!I234*'Sistema de Raridade e Evolução'!E4,0)</f>
        <v>120</v>
      </c>
      <c r="H1396" s="8">
        <f>ROUND('Criaturas - Base de Dados'!J234*'Sistema de Raridade e Evolução'!E4,0)</f>
        <v>102</v>
      </c>
      <c r="I1396" s="8">
        <f>ROUND('Criaturas - Base de Dados'!K234*'Sistema de Raridade e Evolução'!E4,0)</f>
        <v>654</v>
      </c>
      <c r="J1396" s="8">
        <f>'Sistema de Raridade e Evolução'!D4</f>
        <v>16</v>
      </c>
      <c r="K1396" s="8" t="s">
        <v>10</v>
      </c>
      <c r="L1396" s="9">
        <f t="shared" si="21"/>
        <v>485714.29</v>
      </c>
    </row>
    <row r="1397" spans="1:12" ht="14.25" hidden="1" customHeight="1" x14ac:dyDescent="0.3">
      <c r="A1397" s="8">
        <v>1396</v>
      </c>
      <c r="B1397" s="8" t="str">
        <f>'Criaturas - Base de Dados'!B234</f>
        <v>Profundezas Abissais</v>
      </c>
      <c r="C1397" s="8" t="str">
        <f>'Criaturas - Base de Dados'!C234</f>
        <v>Mar Profundo</v>
      </c>
      <c r="D1397" s="8" t="str">
        <f>'Criaturas - Base de Dados'!D234</f>
        <v>Sereia Abissal</v>
      </c>
      <c r="E1397" s="8" t="str">
        <f>'Sistema de Raridade e Evolução'!B5</f>
        <v>Ouro</v>
      </c>
      <c r="F1397" s="9">
        <f>ROUND(('Criaturas - Base de Dados'!H234*'Sistema de Raridade e Evolução'!E5)*1000,2)</f>
        <v>612000</v>
      </c>
      <c r="G1397" s="8">
        <f>ROUND('Criaturas - Base de Dados'!I234*'Sistema de Raridade e Evolução'!E5,0)</f>
        <v>360</v>
      </c>
      <c r="H1397" s="8">
        <f>ROUND('Criaturas - Base de Dados'!J234*'Sistema de Raridade e Evolução'!E5,0)</f>
        <v>306</v>
      </c>
      <c r="I1397" s="8">
        <f>ROUND('Criaturas - Base de Dados'!K234*'Sistema de Raridade e Evolução'!E5,0)</f>
        <v>1962</v>
      </c>
      <c r="J1397" s="8">
        <f>'Sistema de Raridade e Evolução'!D5</f>
        <v>31</v>
      </c>
      <c r="K1397" s="8" t="s">
        <v>11</v>
      </c>
      <c r="L1397" s="9">
        <f t="shared" si="21"/>
        <v>1457142.86</v>
      </c>
    </row>
    <row r="1398" spans="1:12" ht="14.25" hidden="1" customHeight="1" x14ac:dyDescent="0.3">
      <c r="A1398" s="8">
        <v>1397</v>
      </c>
      <c r="B1398" s="8" t="str">
        <f>'Criaturas - Base de Dados'!B234</f>
        <v>Profundezas Abissais</v>
      </c>
      <c r="C1398" s="8" t="str">
        <f>'Criaturas - Base de Dados'!C234</f>
        <v>Mar Profundo</v>
      </c>
      <c r="D1398" s="8" t="str">
        <f>'Criaturas - Base de Dados'!D234</f>
        <v>Sereia Abissal</v>
      </c>
      <c r="E1398" s="8" t="str">
        <f>'Sistema de Raridade e Evolução'!B6</f>
        <v>Platina</v>
      </c>
      <c r="F1398" s="9">
        <f>ROUND(('Criaturas - Base de Dados'!H234*'Sistema de Raridade e Evolução'!E6)*1000,2)</f>
        <v>1700000</v>
      </c>
      <c r="G1398" s="8">
        <f>ROUND('Criaturas - Base de Dados'!I234*'Sistema de Raridade e Evolução'!E6,0)</f>
        <v>1000</v>
      </c>
      <c r="H1398" s="8">
        <f>ROUND('Criaturas - Base de Dados'!J234*'Sistema de Raridade e Evolução'!E6,0)</f>
        <v>850</v>
      </c>
      <c r="I1398" s="8">
        <f>ROUND('Criaturas - Base de Dados'!K234*'Sistema de Raridade e Evolução'!E6,0)</f>
        <v>5450</v>
      </c>
      <c r="J1398" s="8">
        <f>'Sistema de Raridade e Evolução'!D6</f>
        <v>56</v>
      </c>
      <c r="K1398" s="8" t="s">
        <v>12</v>
      </c>
      <c r="L1398" s="9">
        <f t="shared" si="21"/>
        <v>4047619.05</v>
      </c>
    </row>
    <row r="1399" spans="1:12" ht="14.25" hidden="1" customHeight="1" x14ac:dyDescent="0.3">
      <c r="A1399" s="8">
        <v>1398</v>
      </c>
      <c r="B1399" s="8" t="str">
        <f>'Criaturas - Base de Dados'!B234</f>
        <v>Profundezas Abissais</v>
      </c>
      <c r="C1399" s="8" t="str">
        <f>'Criaturas - Base de Dados'!C234</f>
        <v>Mar Profundo</v>
      </c>
      <c r="D1399" s="8" t="str">
        <f>'Criaturas - Base de Dados'!D234</f>
        <v>Sereia Abissal</v>
      </c>
      <c r="E1399" s="8" t="str">
        <f>'Sistema de Raridade e Evolução'!B7</f>
        <v>Lendário</v>
      </c>
      <c r="F1399" s="9">
        <f>ROUND(('Criaturas - Base de Dados'!H234*'Sistema de Raridade e Evolução'!E7)*1000,2)</f>
        <v>5100000</v>
      </c>
      <c r="G1399" s="8">
        <f>ROUND('Criaturas - Base de Dados'!I234*'Sistema de Raridade e Evolução'!E7,0)</f>
        <v>3000</v>
      </c>
      <c r="H1399" s="8">
        <f>ROUND('Criaturas - Base de Dados'!J234*'Sistema de Raridade e Evolução'!E7,0)</f>
        <v>2550</v>
      </c>
      <c r="I1399" s="8">
        <f>ROUND('Criaturas - Base de Dados'!K234*'Sistema de Raridade e Evolução'!E7,0)</f>
        <v>16350</v>
      </c>
      <c r="J1399" s="8">
        <f>'Sistema de Raridade e Evolução'!D7</f>
        <v>91</v>
      </c>
      <c r="K1399" s="8" t="s">
        <v>925</v>
      </c>
      <c r="L1399" s="9">
        <f t="shared" si="21"/>
        <v>12142857.140000001</v>
      </c>
    </row>
    <row r="1400" spans="1:12" ht="14.25" customHeight="1" x14ac:dyDescent="0.3">
      <c r="A1400" s="8">
        <v>1399</v>
      </c>
      <c r="B1400" s="8" t="str">
        <f>'Criaturas - Base de Dados'!B235</f>
        <v>Profundezas Abissais</v>
      </c>
      <c r="C1400" s="8" t="str">
        <f>'Criaturas - Base de Dados'!C235</f>
        <v>Mar Profundo</v>
      </c>
      <c r="D1400" s="8" t="str">
        <f>'Criaturas - Base de Dados'!D235</f>
        <v>Wyrm das Fossas Marianas</v>
      </c>
      <c r="E1400" s="8" t="str">
        <f>'Sistema de Raridade e Evolução'!B2</f>
        <v>Default</v>
      </c>
      <c r="F1400" s="9" t="e">
        <f>ROUND(('Criaturas - Base de Dados'!H235*'Sistema de Raridade e Evolução'!E2)*1000,2)</f>
        <v>#VALUE!</v>
      </c>
      <c r="G1400" s="8" t="e">
        <f>ROUND('Criaturas - Base de Dados'!I235*'Sistema de Raridade e Evolução'!E2,0)</f>
        <v>#VALUE!</v>
      </c>
      <c r="H1400" s="8" t="e">
        <f>ROUND('Criaturas - Base de Dados'!J235*'Sistema de Raridade e Evolução'!E2,0)</f>
        <v>#VALUE!</v>
      </c>
      <c r="I1400" s="8" t="e">
        <f>ROUND('Criaturas - Base de Dados'!K235*'Sistema de Raridade e Evolução'!E2,0)</f>
        <v>#VALUE!</v>
      </c>
      <c r="J1400" s="8">
        <f>'Sistema de Raridade e Evolução'!D2</f>
        <v>1</v>
      </c>
      <c r="K1400" s="8" t="s">
        <v>8</v>
      </c>
      <c r="L1400" s="9" t="e">
        <f t="shared" si="21"/>
        <v>#VALUE!</v>
      </c>
    </row>
    <row r="1401" spans="1:12" ht="14.25" hidden="1" customHeight="1" x14ac:dyDescent="0.3">
      <c r="A1401" s="8">
        <v>1400</v>
      </c>
      <c r="B1401" s="8" t="str">
        <f>'Criaturas - Base de Dados'!B235</f>
        <v>Profundezas Abissais</v>
      </c>
      <c r="C1401" s="8" t="str">
        <f>'Criaturas - Base de Dados'!C235</f>
        <v>Mar Profundo</v>
      </c>
      <c r="D1401" s="8" t="str">
        <f>'Criaturas - Base de Dados'!D235</f>
        <v>Wyrm das Fossas Marianas</v>
      </c>
      <c r="E1401" s="8" t="str">
        <f>'Sistema de Raridade e Evolução'!B3</f>
        <v>Bronze</v>
      </c>
      <c r="F1401" s="9">
        <f>ROUND(('Criaturas - Base de Dados'!H235*'Sistema de Raridade e Evolução'!E3)*1000,2)</f>
        <v>36000</v>
      </c>
      <c r="G1401" s="8">
        <f>ROUND('Criaturas - Base de Dados'!I235*'Sistema de Raridade e Evolução'!E3,0)</f>
        <v>22</v>
      </c>
      <c r="H1401" s="8">
        <f>ROUND('Criaturas - Base de Dados'!J235*'Sistema de Raridade e Evolução'!E3,0)</f>
        <v>18</v>
      </c>
      <c r="I1401" s="8">
        <f>ROUND('Criaturas - Base de Dados'!K235*'Sistema de Raridade e Evolução'!E3,0)</f>
        <v>115</v>
      </c>
      <c r="J1401" s="8">
        <f>'Sistema de Raridade e Evolução'!D3</f>
        <v>6</v>
      </c>
      <c r="K1401" s="8" t="s">
        <v>9</v>
      </c>
      <c r="L1401" s="9">
        <f t="shared" si="21"/>
        <v>85714.29</v>
      </c>
    </row>
    <row r="1402" spans="1:12" ht="14.25" hidden="1" customHeight="1" x14ac:dyDescent="0.3">
      <c r="A1402" s="8">
        <v>1401</v>
      </c>
      <c r="B1402" s="8" t="str">
        <f>'Criaturas - Base de Dados'!B235</f>
        <v>Profundezas Abissais</v>
      </c>
      <c r="C1402" s="8" t="str">
        <f>'Criaturas - Base de Dados'!C235</f>
        <v>Mar Profundo</v>
      </c>
      <c r="D1402" s="8" t="str">
        <f>'Criaturas - Base de Dados'!D235</f>
        <v>Wyrm das Fossas Marianas</v>
      </c>
      <c r="E1402" s="8" t="str">
        <f>'Sistema de Raridade e Evolução'!B4</f>
        <v>Prata</v>
      </c>
      <c r="F1402" s="9">
        <f>ROUND(('Criaturas - Base de Dados'!H235*'Sistema de Raridade e Evolução'!E4)*1000,2)</f>
        <v>216000</v>
      </c>
      <c r="G1402" s="8">
        <f>ROUND('Criaturas - Base de Dados'!I235*'Sistema de Raridade e Evolução'!E4,0)</f>
        <v>132</v>
      </c>
      <c r="H1402" s="8">
        <f>ROUND('Criaturas - Base de Dados'!J235*'Sistema de Raridade e Evolução'!E4,0)</f>
        <v>108</v>
      </c>
      <c r="I1402" s="8">
        <f>ROUND('Criaturas - Base de Dados'!K235*'Sistema de Raridade e Evolução'!E4,0)</f>
        <v>690</v>
      </c>
      <c r="J1402" s="8">
        <f>'Sistema de Raridade e Evolução'!D4</f>
        <v>16</v>
      </c>
      <c r="K1402" s="8" t="s">
        <v>10</v>
      </c>
      <c r="L1402" s="9">
        <f t="shared" si="21"/>
        <v>514285.71</v>
      </c>
    </row>
    <row r="1403" spans="1:12" ht="14.25" hidden="1" customHeight="1" x14ac:dyDescent="0.3">
      <c r="A1403" s="8">
        <v>1402</v>
      </c>
      <c r="B1403" s="8" t="str">
        <f>'Criaturas - Base de Dados'!B235</f>
        <v>Profundezas Abissais</v>
      </c>
      <c r="C1403" s="8" t="str">
        <f>'Criaturas - Base de Dados'!C235</f>
        <v>Mar Profundo</v>
      </c>
      <c r="D1403" s="8" t="str">
        <f>'Criaturas - Base de Dados'!D235</f>
        <v>Wyrm das Fossas Marianas</v>
      </c>
      <c r="E1403" s="8" t="str">
        <f>'Sistema de Raridade e Evolução'!B5</f>
        <v>Ouro</v>
      </c>
      <c r="F1403" s="9">
        <f>ROUND(('Criaturas - Base de Dados'!H235*'Sistema de Raridade e Evolução'!E5)*1000,2)</f>
        <v>648000</v>
      </c>
      <c r="G1403" s="8">
        <f>ROUND('Criaturas - Base de Dados'!I235*'Sistema de Raridade e Evolução'!E5,0)</f>
        <v>396</v>
      </c>
      <c r="H1403" s="8">
        <f>ROUND('Criaturas - Base de Dados'!J235*'Sistema de Raridade e Evolução'!E5,0)</f>
        <v>324</v>
      </c>
      <c r="I1403" s="8">
        <f>ROUND('Criaturas - Base de Dados'!K235*'Sistema de Raridade e Evolução'!E5,0)</f>
        <v>2070</v>
      </c>
      <c r="J1403" s="8">
        <f>'Sistema de Raridade e Evolução'!D5</f>
        <v>31</v>
      </c>
      <c r="K1403" s="8" t="s">
        <v>11</v>
      </c>
      <c r="L1403" s="9">
        <f t="shared" si="21"/>
        <v>1542857.14</v>
      </c>
    </row>
    <row r="1404" spans="1:12" ht="14.25" hidden="1" customHeight="1" x14ac:dyDescent="0.3">
      <c r="A1404" s="8">
        <v>1403</v>
      </c>
      <c r="B1404" s="8" t="str">
        <f>'Criaturas - Base de Dados'!B235</f>
        <v>Profundezas Abissais</v>
      </c>
      <c r="C1404" s="8" t="str">
        <f>'Criaturas - Base de Dados'!C235</f>
        <v>Mar Profundo</v>
      </c>
      <c r="D1404" s="8" t="str">
        <f>'Criaturas - Base de Dados'!D235</f>
        <v>Wyrm das Fossas Marianas</v>
      </c>
      <c r="E1404" s="8" t="str">
        <f>'Sistema de Raridade e Evolução'!B6</f>
        <v>Platina</v>
      </c>
      <c r="F1404" s="9">
        <f>ROUND(('Criaturas - Base de Dados'!H235*'Sistema de Raridade e Evolução'!E6)*1000,2)</f>
        <v>1800000</v>
      </c>
      <c r="G1404" s="8">
        <f>ROUND('Criaturas - Base de Dados'!I235*'Sistema de Raridade e Evolução'!E6,0)</f>
        <v>1100</v>
      </c>
      <c r="H1404" s="8">
        <f>ROUND('Criaturas - Base de Dados'!J235*'Sistema de Raridade e Evolução'!E6,0)</f>
        <v>900</v>
      </c>
      <c r="I1404" s="8">
        <f>ROUND('Criaturas - Base de Dados'!K235*'Sistema de Raridade e Evolução'!E6,0)</f>
        <v>5750</v>
      </c>
      <c r="J1404" s="8">
        <f>'Sistema de Raridade e Evolução'!D6</f>
        <v>56</v>
      </c>
      <c r="K1404" s="8" t="s">
        <v>12</v>
      </c>
      <c r="L1404" s="9">
        <f t="shared" si="21"/>
        <v>4285714.29</v>
      </c>
    </row>
    <row r="1405" spans="1:12" ht="14.25" hidden="1" customHeight="1" x14ac:dyDescent="0.3">
      <c r="A1405" s="8">
        <v>1404</v>
      </c>
      <c r="B1405" s="8" t="str">
        <f>'Criaturas - Base de Dados'!B235</f>
        <v>Profundezas Abissais</v>
      </c>
      <c r="C1405" s="8" t="str">
        <f>'Criaturas - Base de Dados'!C235</f>
        <v>Mar Profundo</v>
      </c>
      <c r="D1405" s="8" t="str">
        <f>'Criaturas - Base de Dados'!D235</f>
        <v>Wyrm das Fossas Marianas</v>
      </c>
      <c r="E1405" s="8" t="str">
        <f>'Sistema de Raridade e Evolução'!B7</f>
        <v>Lendário</v>
      </c>
      <c r="F1405" s="9">
        <f>ROUND(('Criaturas - Base de Dados'!H235*'Sistema de Raridade e Evolução'!E7)*1000,2)</f>
        <v>5400000</v>
      </c>
      <c r="G1405" s="8">
        <f>ROUND('Criaturas - Base de Dados'!I235*'Sistema de Raridade e Evolução'!E7,0)</f>
        <v>3300</v>
      </c>
      <c r="H1405" s="8">
        <f>ROUND('Criaturas - Base de Dados'!J235*'Sistema de Raridade e Evolução'!E7,0)</f>
        <v>2700</v>
      </c>
      <c r="I1405" s="8">
        <f>ROUND('Criaturas - Base de Dados'!K235*'Sistema de Raridade e Evolução'!E7,0)</f>
        <v>17250</v>
      </c>
      <c r="J1405" s="8">
        <f>'Sistema de Raridade e Evolução'!D7</f>
        <v>91</v>
      </c>
      <c r="K1405" s="8" t="s">
        <v>925</v>
      </c>
      <c r="L1405" s="9">
        <f t="shared" si="21"/>
        <v>12857142.859999999</v>
      </c>
    </row>
    <row r="1406" spans="1:12" ht="14.25" customHeight="1" x14ac:dyDescent="0.3">
      <c r="A1406" s="8">
        <v>1405</v>
      </c>
      <c r="B1406" s="8" t="str">
        <f>'Criaturas - Base de Dados'!B236</f>
        <v>Profundezas Abissais</v>
      </c>
      <c r="C1406" s="8" t="str">
        <f>'Criaturas - Base de Dados'!C236</f>
        <v>Mar Profundo</v>
      </c>
      <c r="D1406" s="8" t="str">
        <f>'Criaturas - Base de Dados'!D236</f>
        <v>Titã Submerso</v>
      </c>
      <c r="E1406" s="8" t="str">
        <f>'Sistema de Raridade e Evolução'!B2</f>
        <v>Default</v>
      </c>
      <c r="F1406" s="9" t="e">
        <f>ROUND(('Criaturas - Base de Dados'!H236*'Sistema de Raridade e Evolução'!E2)*1000,2)</f>
        <v>#VALUE!</v>
      </c>
      <c r="G1406" s="8" t="e">
        <f>ROUND('Criaturas - Base de Dados'!I236*'Sistema de Raridade e Evolução'!E2,0)</f>
        <v>#VALUE!</v>
      </c>
      <c r="H1406" s="8" t="e">
        <f>ROUND('Criaturas - Base de Dados'!J236*'Sistema de Raridade e Evolução'!E2,0)</f>
        <v>#VALUE!</v>
      </c>
      <c r="I1406" s="8" t="e">
        <f>ROUND('Criaturas - Base de Dados'!K236*'Sistema de Raridade e Evolução'!E2,0)</f>
        <v>#VALUE!</v>
      </c>
      <c r="J1406" s="8">
        <f>'Sistema de Raridade e Evolução'!D2</f>
        <v>1</v>
      </c>
      <c r="K1406" s="8" t="s">
        <v>8</v>
      </c>
      <c r="L1406" s="9" t="e">
        <f t="shared" si="21"/>
        <v>#VALUE!</v>
      </c>
    </row>
    <row r="1407" spans="1:12" ht="14.25" hidden="1" customHeight="1" x14ac:dyDescent="0.3">
      <c r="A1407" s="8">
        <v>1406</v>
      </c>
      <c r="B1407" s="8" t="str">
        <f>'Criaturas - Base de Dados'!B236</f>
        <v>Profundezas Abissais</v>
      </c>
      <c r="C1407" s="8" t="str">
        <f>'Criaturas - Base de Dados'!C236</f>
        <v>Mar Profundo</v>
      </c>
      <c r="D1407" s="8" t="str">
        <f>'Criaturas - Base de Dados'!D236</f>
        <v>Titã Submerso</v>
      </c>
      <c r="E1407" s="8" t="str">
        <f>'Sistema de Raridade e Evolução'!B3</f>
        <v>Bronze</v>
      </c>
      <c r="F1407" s="9">
        <f>ROUND(('Criaturas - Base de Dados'!H236*'Sistema de Raridade e Evolução'!E3)*1000,2)</f>
        <v>38000</v>
      </c>
      <c r="G1407" s="8">
        <f>ROUND('Criaturas - Base de Dados'!I236*'Sistema de Raridade e Evolução'!E3,0)</f>
        <v>23</v>
      </c>
      <c r="H1407" s="8">
        <f>ROUND('Criaturas - Base de Dados'!J236*'Sistema de Raridade e Evolução'!E3,0)</f>
        <v>19</v>
      </c>
      <c r="I1407" s="8">
        <f>ROUND('Criaturas - Base de Dados'!K236*'Sistema de Raridade e Evolução'!E3,0)</f>
        <v>122</v>
      </c>
      <c r="J1407" s="8">
        <f>'Sistema de Raridade e Evolução'!D3</f>
        <v>6</v>
      </c>
      <c r="K1407" s="8" t="s">
        <v>9</v>
      </c>
      <c r="L1407" s="9">
        <f t="shared" si="21"/>
        <v>90476.19</v>
      </c>
    </row>
    <row r="1408" spans="1:12" ht="14.25" hidden="1" customHeight="1" x14ac:dyDescent="0.3">
      <c r="A1408" s="8">
        <v>1407</v>
      </c>
      <c r="B1408" s="8" t="str">
        <f>'Criaturas - Base de Dados'!B236</f>
        <v>Profundezas Abissais</v>
      </c>
      <c r="C1408" s="8" t="str">
        <f>'Criaturas - Base de Dados'!C236</f>
        <v>Mar Profundo</v>
      </c>
      <c r="D1408" s="8" t="str">
        <f>'Criaturas - Base de Dados'!D236</f>
        <v>Titã Submerso</v>
      </c>
      <c r="E1408" s="8" t="str">
        <f>'Sistema de Raridade e Evolução'!B4</f>
        <v>Prata</v>
      </c>
      <c r="F1408" s="9">
        <f>ROUND(('Criaturas - Base de Dados'!H236*'Sistema de Raridade e Evolução'!E4)*1000,2)</f>
        <v>228000</v>
      </c>
      <c r="G1408" s="8">
        <f>ROUND('Criaturas - Base de Dados'!I236*'Sistema de Raridade e Evolução'!E4,0)</f>
        <v>138</v>
      </c>
      <c r="H1408" s="8">
        <f>ROUND('Criaturas - Base de Dados'!J236*'Sistema de Raridade e Evolução'!E4,0)</f>
        <v>114</v>
      </c>
      <c r="I1408" s="8">
        <f>ROUND('Criaturas - Base de Dados'!K236*'Sistema de Raridade e Evolução'!E4,0)</f>
        <v>732</v>
      </c>
      <c r="J1408" s="8">
        <f>'Sistema de Raridade e Evolução'!D4</f>
        <v>16</v>
      </c>
      <c r="K1408" s="8" t="s">
        <v>10</v>
      </c>
      <c r="L1408" s="9">
        <f t="shared" si="21"/>
        <v>542857.14</v>
      </c>
    </row>
    <row r="1409" spans="1:12" ht="14.25" hidden="1" customHeight="1" x14ac:dyDescent="0.3">
      <c r="A1409" s="8">
        <v>1408</v>
      </c>
      <c r="B1409" s="8" t="str">
        <f>'Criaturas - Base de Dados'!B236</f>
        <v>Profundezas Abissais</v>
      </c>
      <c r="C1409" s="8" t="str">
        <f>'Criaturas - Base de Dados'!C236</f>
        <v>Mar Profundo</v>
      </c>
      <c r="D1409" s="8" t="str">
        <f>'Criaturas - Base de Dados'!D236</f>
        <v>Titã Submerso</v>
      </c>
      <c r="E1409" s="8" t="str">
        <f>'Sistema de Raridade e Evolução'!B5</f>
        <v>Ouro</v>
      </c>
      <c r="F1409" s="9">
        <f>ROUND(('Criaturas - Base de Dados'!H236*'Sistema de Raridade e Evolução'!E5)*1000,2)</f>
        <v>684000</v>
      </c>
      <c r="G1409" s="8">
        <f>ROUND('Criaturas - Base de Dados'!I236*'Sistema de Raridade e Evolução'!E5,0)</f>
        <v>414</v>
      </c>
      <c r="H1409" s="8">
        <f>ROUND('Criaturas - Base de Dados'!J236*'Sistema de Raridade e Evolução'!E5,0)</f>
        <v>342</v>
      </c>
      <c r="I1409" s="8">
        <f>ROUND('Criaturas - Base de Dados'!K236*'Sistema de Raridade e Evolução'!E5,0)</f>
        <v>2196</v>
      </c>
      <c r="J1409" s="8">
        <f>'Sistema de Raridade e Evolução'!D5</f>
        <v>31</v>
      </c>
      <c r="K1409" s="8" t="s">
        <v>11</v>
      </c>
      <c r="L1409" s="9">
        <f t="shared" si="21"/>
        <v>1628571.43</v>
      </c>
    </row>
    <row r="1410" spans="1:12" ht="14.25" hidden="1" customHeight="1" x14ac:dyDescent="0.3">
      <c r="A1410" s="8">
        <v>1409</v>
      </c>
      <c r="B1410" s="8" t="str">
        <f>'Criaturas - Base de Dados'!B236</f>
        <v>Profundezas Abissais</v>
      </c>
      <c r="C1410" s="8" t="str">
        <f>'Criaturas - Base de Dados'!C236</f>
        <v>Mar Profundo</v>
      </c>
      <c r="D1410" s="8" t="str">
        <f>'Criaturas - Base de Dados'!D236</f>
        <v>Titã Submerso</v>
      </c>
      <c r="E1410" s="8" t="str">
        <f>'Sistema de Raridade e Evolução'!B6</f>
        <v>Platina</v>
      </c>
      <c r="F1410" s="9">
        <f>ROUND(('Criaturas - Base de Dados'!H236*'Sistema de Raridade e Evolução'!E6)*1000,2)</f>
        <v>1900000</v>
      </c>
      <c r="G1410" s="8">
        <f>ROUND('Criaturas - Base de Dados'!I236*'Sistema de Raridade e Evolução'!E6,0)</f>
        <v>1150</v>
      </c>
      <c r="H1410" s="8">
        <f>ROUND('Criaturas - Base de Dados'!J236*'Sistema de Raridade e Evolução'!E6,0)</f>
        <v>950</v>
      </c>
      <c r="I1410" s="8">
        <f>ROUND('Criaturas - Base de Dados'!K236*'Sistema de Raridade e Evolução'!E6,0)</f>
        <v>6100</v>
      </c>
      <c r="J1410" s="8">
        <f>'Sistema de Raridade e Evolução'!D6</f>
        <v>56</v>
      </c>
      <c r="K1410" s="8" t="s">
        <v>12</v>
      </c>
      <c r="L1410" s="9">
        <f t="shared" ref="L1410:L1473" si="22">ROUND(F1410*(2.5/1.05),2)</f>
        <v>4523809.5199999996</v>
      </c>
    </row>
    <row r="1411" spans="1:12" ht="14.25" hidden="1" customHeight="1" x14ac:dyDescent="0.3">
      <c r="A1411" s="8">
        <v>1410</v>
      </c>
      <c r="B1411" s="8" t="str">
        <f>'Criaturas - Base de Dados'!B236</f>
        <v>Profundezas Abissais</v>
      </c>
      <c r="C1411" s="8" t="str">
        <f>'Criaturas - Base de Dados'!C236</f>
        <v>Mar Profundo</v>
      </c>
      <c r="D1411" s="8" t="str">
        <f>'Criaturas - Base de Dados'!D236</f>
        <v>Titã Submerso</v>
      </c>
      <c r="E1411" s="8" t="str">
        <f>'Sistema de Raridade e Evolução'!B7</f>
        <v>Lendário</v>
      </c>
      <c r="F1411" s="9">
        <f>ROUND(('Criaturas - Base de Dados'!H236*'Sistema de Raridade e Evolução'!E7)*1000,2)</f>
        <v>5700000</v>
      </c>
      <c r="G1411" s="8">
        <f>ROUND('Criaturas - Base de Dados'!I236*'Sistema de Raridade e Evolução'!E7,0)</f>
        <v>3450</v>
      </c>
      <c r="H1411" s="8">
        <f>ROUND('Criaturas - Base de Dados'!J236*'Sistema de Raridade e Evolução'!E7,0)</f>
        <v>2850</v>
      </c>
      <c r="I1411" s="8">
        <f>ROUND('Criaturas - Base de Dados'!K236*'Sistema de Raridade e Evolução'!E7,0)</f>
        <v>18300</v>
      </c>
      <c r="J1411" s="8">
        <f>'Sistema de Raridade e Evolução'!D7</f>
        <v>91</v>
      </c>
      <c r="K1411" s="8" t="s">
        <v>925</v>
      </c>
      <c r="L1411" s="9">
        <f t="shared" si="22"/>
        <v>13571428.57</v>
      </c>
    </row>
    <row r="1412" spans="1:12" ht="14.25" customHeight="1" x14ac:dyDescent="0.3">
      <c r="A1412" s="8">
        <v>1411</v>
      </c>
      <c r="B1412" s="8" t="str">
        <f>'Criaturas - Base de Dados'!B237</f>
        <v>Profundezas Abissais</v>
      </c>
      <c r="C1412" s="8" t="str">
        <f>'Criaturas - Base de Dados'!C237</f>
        <v>Mar Profundo</v>
      </c>
      <c r="D1412" s="8" t="str">
        <f>'Criaturas - Base de Dados'!D237</f>
        <v>Espectro do Naufrágio</v>
      </c>
      <c r="E1412" s="8" t="str">
        <f>'Sistema de Raridade e Evolução'!B2</f>
        <v>Default</v>
      </c>
      <c r="F1412" s="9" t="e">
        <f>ROUND(('Criaturas - Base de Dados'!H237*'Sistema de Raridade e Evolução'!E2)*1000,2)</f>
        <v>#VALUE!</v>
      </c>
      <c r="G1412" s="8" t="e">
        <f>ROUND('Criaturas - Base de Dados'!I237*'Sistema de Raridade e Evolução'!E2,0)</f>
        <v>#VALUE!</v>
      </c>
      <c r="H1412" s="8" t="e">
        <f>ROUND('Criaturas - Base de Dados'!J237*'Sistema de Raridade e Evolução'!E2,0)</f>
        <v>#VALUE!</v>
      </c>
      <c r="I1412" s="8" t="e">
        <f>ROUND('Criaturas - Base de Dados'!K237*'Sistema de Raridade e Evolução'!E2,0)</f>
        <v>#VALUE!</v>
      </c>
      <c r="J1412" s="8">
        <f>'Sistema de Raridade e Evolução'!D2</f>
        <v>1</v>
      </c>
      <c r="K1412" s="8" t="s">
        <v>8</v>
      </c>
      <c r="L1412" s="9" t="e">
        <f t="shared" si="22"/>
        <v>#VALUE!</v>
      </c>
    </row>
    <row r="1413" spans="1:12" ht="14.25" hidden="1" customHeight="1" x14ac:dyDescent="0.3">
      <c r="A1413" s="8">
        <v>1412</v>
      </c>
      <c r="B1413" s="8" t="str">
        <f>'Criaturas - Base de Dados'!B237</f>
        <v>Profundezas Abissais</v>
      </c>
      <c r="C1413" s="8" t="str">
        <f>'Criaturas - Base de Dados'!C237</f>
        <v>Mar Profundo</v>
      </c>
      <c r="D1413" s="8" t="str">
        <f>'Criaturas - Base de Dados'!D237</f>
        <v>Espectro do Naufrágio</v>
      </c>
      <c r="E1413" s="8" t="str">
        <f>'Sistema de Raridade e Evolução'!B3</f>
        <v>Bronze</v>
      </c>
      <c r="F1413" s="9">
        <f>ROUND(('Criaturas - Base de Dados'!H237*'Sistema de Raridade e Evolução'!E3)*1000,2)</f>
        <v>54000</v>
      </c>
      <c r="G1413" s="8">
        <f>ROUND('Criaturas - Base de Dados'!I237*'Sistema de Raridade e Evolução'!E3,0)</f>
        <v>32</v>
      </c>
      <c r="H1413" s="8">
        <f>ROUND('Criaturas - Base de Dados'!J237*'Sistema de Raridade e Evolução'!E3,0)</f>
        <v>27</v>
      </c>
      <c r="I1413" s="8">
        <f>ROUND('Criaturas - Base de Dados'!K237*'Sistema de Raridade e Evolução'!E3,0)</f>
        <v>173</v>
      </c>
      <c r="J1413" s="8">
        <f>'Sistema de Raridade e Evolução'!D3</f>
        <v>6</v>
      </c>
      <c r="K1413" s="8" t="s">
        <v>9</v>
      </c>
      <c r="L1413" s="9">
        <f t="shared" si="22"/>
        <v>128571.43</v>
      </c>
    </row>
    <row r="1414" spans="1:12" ht="14.25" hidden="1" customHeight="1" x14ac:dyDescent="0.3">
      <c r="A1414" s="8">
        <v>1413</v>
      </c>
      <c r="B1414" s="8" t="str">
        <f>'Criaturas - Base de Dados'!B237</f>
        <v>Profundezas Abissais</v>
      </c>
      <c r="C1414" s="8" t="str">
        <f>'Criaturas - Base de Dados'!C237</f>
        <v>Mar Profundo</v>
      </c>
      <c r="D1414" s="8" t="str">
        <f>'Criaturas - Base de Dados'!D237</f>
        <v>Espectro do Naufrágio</v>
      </c>
      <c r="E1414" s="8" t="str">
        <f>'Sistema de Raridade e Evolução'!B4</f>
        <v>Prata</v>
      </c>
      <c r="F1414" s="9">
        <f>ROUND(('Criaturas - Base de Dados'!H237*'Sistema de Raridade e Evolução'!E4)*1000,2)</f>
        <v>324000</v>
      </c>
      <c r="G1414" s="8">
        <f>ROUND('Criaturas - Base de Dados'!I237*'Sistema de Raridade e Evolução'!E4,0)</f>
        <v>192</v>
      </c>
      <c r="H1414" s="8">
        <f>ROUND('Criaturas - Base de Dados'!J237*'Sistema de Raridade e Evolução'!E4,0)</f>
        <v>162</v>
      </c>
      <c r="I1414" s="8">
        <f>ROUND('Criaturas - Base de Dados'!K237*'Sistema de Raridade e Evolução'!E4,0)</f>
        <v>1038</v>
      </c>
      <c r="J1414" s="8">
        <f>'Sistema de Raridade e Evolução'!D4</f>
        <v>16</v>
      </c>
      <c r="K1414" s="8" t="s">
        <v>10</v>
      </c>
      <c r="L1414" s="9">
        <f t="shared" si="22"/>
        <v>771428.57</v>
      </c>
    </row>
    <row r="1415" spans="1:12" ht="14.25" hidden="1" customHeight="1" x14ac:dyDescent="0.3">
      <c r="A1415" s="8">
        <v>1414</v>
      </c>
      <c r="B1415" s="8" t="str">
        <f>'Criaturas - Base de Dados'!B237</f>
        <v>Profundezas Abissais</v>
      </c>
      <c r="C1415" s="8" t="str">
        <f>'Criaturas - Base de Dados'!C237</f>
        <v>Mar Profundo</v>
      </c>
      <c r="D1415" s="8" t="str">
        <f>'Criaturas - Base de Dados'!D237</f>
        <v>Espectro do Naufrágio</v>
      </c>
      <c r="E1415" s="8" t="str">
        <f>'Sistema de Raridade e Evolução'!B5</f>
        <v>Ouro</v>
      </c>
      <c r="F1415" s="9">
        <f>ROUND(('Criaturas - Base de Dados'!H237*'Sistema de Raridade e Evolução'!E5)*1000,2)</f>
        <v>972000</v>
      </c>
      <c r="G1415" s="8">
        <f>ROUND('Criaturas - Base de Dados'!I237*'Sistema de Raridade e Evolução'!E5,0)</f>
        <v>576</v>
      </c>
      <c r="H1415" s="8">
        <f>ROUND('Criaturas - Base de Dados'!J237*'Sistema de Raridade e Evolução'!E5,0)</f>
        <v>486</v>
      </c>
      <c r="I1415" s="8">
        <f>ROUND('Criaturas - Base de Dados'!K237*'Sistema de Raridade e Evolução'!E5,0)</f>
        <v>3114</v>
      </c>
      <c r="J1415" s="8">
        <f>'Sistema de Raridade e Evolução'!D5</f>
        <v>31</v>
      </c>
      <c r="K1415" s="8" t="s">
        <v>11</v>
      </c>
      <c r="L1415" s="9">
        <f t="shared" si="22"/>
        <v>2314285.71</v>
      </c>
    </row>
    <row r="1416" spans="1:12" ht="14.25" hidden="1" customHeight="1" x14ac:dyDescent="0.3">
      <c r="A1416" s="8">
        <v>1415</v>
      </c>
      <c r="B1416" s="8" t="str">
        <f>'Criaturas - Base de Dados'!B237</f>
        <v>Profundezas Abissais</v>
      </c>
      <c r="C1416" s="8" t="str">
        <f>'Criaturas - Base de Dados'!C237</f>
        <v>Mar Profundo</v>
      </c>
      <c r="D1416" s="8" t="str">
        <f>'Criaturas - Base de Dados'!D237</f>
        <v>Espectro do Naufrágio</v>
      </c>
      <c r="E1416" s="8" t="str">
        <f>'Sistema de Raridade e Evolução'!B6</f>
        <v>Platina</v>
      </c>
      <c r="F1416" s="9">
        <f>ROUND(('Criaturas - Base de Dados'!H237*'Sistema de Raridade e Evolução'!E6)*1000,2)</f>
        <v>2700000</v>
      </c>
      <c r="G1416" s="8">
        <f>ROUND('Criaturas - Base de Dados'!I237*'Sistema de Raridade e Evolução'!E6,0)</f>
        <v>1600</v>
      </c>
      <c r="H1416" s="8">
        <f>ROUND('Criaturas - Base de Dados'!J237*'Sistema de Raridade e Evolução'!E6,0)</f>
        <v>1350</v>
      </c>
      <c r="I1416" s="8">
        <f>ROUND('Criaturas - Base de Dados'!K237*'Sistema de Raridade e Evolução'!E6,0)</f>
        <v>8650</v>
      </c>
      <c r="J1416" s="8">
        <f>'Sistema de Raridade e Evolução'!D6</f>
        <v>56</v>
      </c>
      <c r="K1416" s="8" t="s">
        <v>12</v>
      </c>
      <c r="L1416" s="9">
        <f t="shared" si="22"/>
        <v>6428571.4299999997</v>
      </c>
    </row>
    <row r="1417" spans="1:12" ht="14.25" hidden="1" customHeight="1" x14ac:dyDescent="0.3">
      <c r="A1417" s="8">
        <v>1416</v>
      </c>
      <c r="B1417" s="8" t="str">
        <f>'Criaturas - Base de Dados'!B237</f>
        <v>Profundezas Abissais</v>
      </c>
      <c r="C1417" s="8" t="str">
        <f>'Criaturas - Base de Dados'!C237</f>
        <v>Mar Profundo</v>
      </c>
      <c r="D1417" s="8" t="str">
        <f>'Criaturas - Base de Dados'!D237</f>
        <v>Espectro do Naufrágio</v>
      </c>
      <c r="E1417" s="8" t="str">
        <f>'Sistema de Raridade e Evolução'!B7</f>
        <v>Lendário</v>
      </c>
      <c r="F1417" s="9">
        <f>ROUND(('Criaturas - Base de Dados'!H237*'Sistema de Raridade e Evolução'!E7)*1000,2)</f>
        <v>8100000</v>
      </c>
      <c r="G1417" s="8">
        <f>ROUND('Criaturas - Base de Dados'!I237*'Sistema de Raridade e Evolução'!E7,0)</f>
        <v>4800</v>
      </c>
      <c r="H1417" s="8">
        <f>ROUND('Criaturas - Base de Dados'!J237*'Sistema de Raridade e Evolução'!E7,0)</f>
        <v>4050</v>
      </c>
      <c r="I1417" s="8">
        <f>ROUND('Criaturas - Base de Dados'!K237*'Sistema de Raridade e Evolução'!E7,0)</f>
        <v>25950</v>
      </c>
      <c r="J1417" s="8">
        <f>'Sistema de Raridade e Evolução'!D7</f>
        <v>91</v>
      </c>
      <c r="K1417" s="8" t="s">
        <v>925</v>
      </c>
      <c r="L1417" s="9">
        <f t="shared" si="22"/>
        <v>19285714.289999999</v>
      </c>
    </row>
    <row r="1418" spans="1:12" ht="14.25" customHeight="1" x14ac:dyDescent="0.3">
      <c r="A1418" s="8">
        <v>1417</v>
      </c>
      <c r="B1418" s="8" t="str">
        <f>'Criaturas - Base de Dados'!B238</f>
        <v>Profundezas Abissais</v>
      </c>
      <c r="C1418" s="8" t="str">
        <f>'Criaturas - Base de Dados'!C238</f>
        <v>Mar Profundo</v>
      </c>
      <c r="D1418" s="8" t="str">
        <f>'Criaturas - Base de Dados'!D238</f>
        <v>Anglerfish Ancestral</v>
      </c>
      <c r="E1418" s="8" t="str">
        <f>'Sistema de Raridade e Evolução'!B2</f>
        <v>Default</v>
      </c>
      <c r="F1418" s="9" t="e">
        <f>ROUND(('Criaturas - Base de Dados'!H238*'Sistema de Raridade e Evolução'!E2)*1000,2)</f>
        <v>#VALUE!</v>
      </c>
      <c r="G1418" s="8" t="e">
        <f>ROUND('Criaturas - Base de Dados'!I238*'Sistema de Raridade e Evolução'!E2,0)</f>
        <v>#VALUE!</v>
      </c>
      <c r="H1418" s="8" t="e">
        <f>ROUND('Criaturas - Base de Dados'!J238*'Sistema de Raridade e Evolução'!E2,0)</f>
        <v>#VALUE!</v>
      </c>
      <c r="I1418" s="8" t="e">
        <f>ROUND('Criaturas - Base de Dados'!K238*'Sistema de Raridade e Evolução'!E2,0)</f>
        <v>#VALUE!</v>
      </c>
      <c r="J1418" s="8">
        <f>'Sistema de Raridade e Evolução'!D2</f>
        <v>1</v>
      </c>
      <c r="K1418" s="8" t="s">
        <v>8</v>
      </c>
      <c r="L1418" s="9" t="e">
        <f t="shared" si="22"/>
        <v>#VALUE!</v>
      </c>
    </row>
    <row r="1419" spans="1:12" ht="14.25" hidden="1" customHeight="1" x14ac:dyDescent="0.3">
      <c r="A1419" s="8">
        <v>1418</v>
      </c>
      <c r="B1419" s="8" t="str">
        <f>'Criaturas - Base de Dados'!B238</f>
        <v>Profundezas Abissais</v>
      </c>
      <c r="C1419" s="8" t="str">
        <f>'Criaturas - Base de Dados'!C238</f>
        <v>Mar Profundo</v>
      </c>
      <c r="D1419" s="8" t="str">
        <f>'Criaturas - Base de Dados'!D238</f>
        <v>Anglerfish Ancestral</v>
      </c>
      <c r="E1419" s="8" t="str">
        <f>'Sistema de Raridade e Evolução'!B3</f>
        <v>Bronze</v>
      </c>
      <c r="F1419" s="9">
        <f>ROUND(('Criaturas - Base de Dados'!H238*'Sistema de Raridade e Evolução'!E3)*1000,2)</f>
        <v>48000</v>
      </c>
      <c r="G1419" s="8">
        <f>ROUND('Criaturas - Base de Dados'!I238*'Sistema de Raridade e Evolução'!E3,0)</f>
        <v>29</v>
      </c>
      <c r="H1419" s="8">
        <f>ROUND('Criaturas - Base de Dados'!J238*'Sistema de Raridade e Evolução'!E3,0)</f>
        <v>24</v>
      </c>
      <c r="I1419" s="8">
        <f>ROUND('Criaturas - Base de Dados'!K238*'Sistema de Raridade e Evolução'!E3,0)</f>
        <v>154</v>
      </c>
      <c r="J1419" s="8">
        <f>'Sistema de Raridade e Evolução'!D3</f>
        <v>6</v>
      </c>
      <c r="K1419" s="8" t="s">
        <v>9</v>
      </c>
      <c r="L1419" s="9">
        <f t="shared" si="22"/>
        <v>114285.71</v>
      </c>
    </row>
    <row r="1420" spans="1:12" ht="14.25" hidden="1" customHeight="1" x14ac:dyDescent="0.3">
      <c r="A1420" s="8">
        <v>1419</v>
      </c>
      <c r="B1420" s="8" t="str">
        <f>'Criaturas - Base de Dados'!B238</f>
        <v>Profundezas Abissais</v>
      </c>
      <c r="C1420" s="8" t="str">
        <f>'Criaturas - Base de Dados'!C238</f>
        <v>Mar Profundo</v>
      </c>
      <c r="D1420" s="8" t="str">
        <f>'Criaturas - Base de Dados'!D238</f>
        <v>Anglerfish Ancestral</v>
      </c>
      <c r="E1420" s="8" t="str">
        <f>'Sistema de Raridade e Evolução'!B4</f>
        <v>Prata</v>
      </c>
      <c r="F1420" s="9">
        <f>ROUND(('Criaturas - Base de Dados'!H238*'Sistema de Raridade e Evolução'!E4)*1000,2)</f>
        <v>288000</v>
      </c>
      <c r="G1420" s="8">
        <f>ROUND('Criaturas - Base de Dados'!I238*'Sistema de Raridade e Evolução'!E4,0)</f>
        <v>174</v>
      </c>
      <c r="H1420" s="8">
        <f>ROUND('Criaturas - Base de Dados'!J238*'Sistema de Raridade e Evolução'!E4,0)</f>
        <v>144</v>
      </c>
      <c r="I1420" s="8">
        <f>ROUND('Criaturas - Base de Dados'!K238*'Sistema de Raridade e Evolução'!E4,0)</f>
        <v>924</v>
      </c>
      <c r="J1420" s="8">
        <f>'Sistema de Raridade e Evolução'!D4</f>
        <v>16</v>
      </c>
      <c r="K1420" s="8" t="s">
        <v>10</v>
      </c>
      <c r="L1420" s="9">
        <f t="shared" si="22"/>
        <v>685714.29</v>
      </c>
    </row>
    <row r="1421" spans="1:12" ht="14.25" hidden="1" customHeight="1" x14ac:dyDescent="0.3">
      <c r="A1421" s="8">
        <v>1420</v>
      </c>
      <c r="B1421" s="8" t="str">
        <f>'Criaturas - Base de Dados'!B238</f>
        <v>Profundezas Abissais</v>
      </c>
      <c r="C1421" s="8" t="str">
        <f>'Criaturas - Base de Dados'!C238</f>
        <v>Mar Profundo</v>
      </c>
      <c r="D1421" s="8" t="str">
        <f>'Criaturas - Base de Dados'!D238</f>
        <v>Anglerfish Ancestral</v>
      </c>
      <c r="E1421" s="8" t="str">
        <f>'Sistema de Raridade e Evolução'!B5</f>
        <v>Ouro</v>
      </c>
      <c r="F1421" s="9">
        <f>ROUND(('Criaturas - Base de Dados'!H238*'Sistema de Raridade e Evolução'!E5)*1000,2)</f>
        <v>864000</v>
      </c>
      <c r="G1421" s="8">
        <f>ROUND('Criaturas - Base de Dados'!I238*'Sistema de Raridade e Evolução'!E5,0)</f>
        <v>522</v>
      </c>
      <c r="H1421" s="8">
        <f>ROUND('Criaturas - Base de Dados'!J238*'Sistema de Raridade e Evolução'!E5,0)</f>
        <v>432</v>
      </c>
      <c r="I1421" s="8">
        <f>ROUND('Criaturas - Base de Dados'!K238*'Sistema de Raridade e Evolução'!E5,0)</f>
        <v>2772</v>
      </c>
      <c r="J1421" s="8">
        <f>'Sistema de Raridade e Evolução'!D5</f>
        <v>31</v>
      </c>
      <c r="K1421" s="8" t="s">
        <v>11</v>
      </c>
      <c r="L1421" s="9">
        <f t="shared" si="22"/>
        <v>2057142.86</v>
      </c>
    </row>
    <row r="1422" spans="1:12" ht="14.25" hidden="1" customHeight="1" x14ac:dyDescent="0.3">
      <c r="A1422" s="8">
        <v>1421</v>
      </c>
      <c r="B1422" s="8" t="str">
        <f>'Criaturas - Base de Dados'!B238</f>
        <v>Profundezas Abissais</v>
      </c>
      <c r="C1422" s="8" t="str">
        <f>'Criaturas - Base de Dados'!C238</f>
        <v>Mar Profundo</v>
      </c>
      <c r="D1422" s="8" t="str">
        <f>'Criaturas - Base de Dados'!D238</f>
        <v>Anglerfish Ancestral</v>
      </c>
      <c r="E1422" s="8" t="str">
        <f>'Sistema de Raridade e Evolução'!B6</f>
        <v>Platina</v>
      </c>
      <c r="F1422" s="9">
        <f>ROUND(('Criaturas - Base de Dados'!H238*'Sistema de Raridade e Evolução'!E6)*1000,2)</f>
        <v>2400000</v>
      </c>
      <c r="G1422" s="8">
        <f>ROUND('Criaturas - Base de Dados'!I238*'Sistema de Raridade e Evolução'!E6,0)</f>
        <v>1450</v>
      </c>
      <c r="H1422" s="8">
        <f>ROUND('Criaturas - Base de Dados'!J238*'Sistema de Raridade e Evolução'!E6,0)</f>
        <v>1200</v>
      </c>
      <c r="I1422" s="8">
        <f>ROUND('Criaturas - Base de Dados'!K238*'Sistema de Raridade e Evolução'!E6,0)</f>
        <v>7700</v>
      </c>
      <c r="J1422" s="8">
        <f>'Sistema de Raridade e Evolução'!D6</f>
        <v>56</v>
      </c>
      <c r="K1422" s="8" t="s">
        <v>12</v>
      </c>
      <c r="L1422" s="9">
        <f t="shared" si="22"/>
        <v>5714285.71</v>
      </c>
    </row>
    <row r="1423" spans="1:12" ht="14.25" hidden="1" customHeight="1" x14ac:dyDescent="0.3">
      <c r="A1423" s="8">
        <v>1422</v>
      </c>
      <c r="B1423" s="8" t="str">
        <f>'Criaturas - Base de Dados'!B238</f>
        <v>Profundezas Abissais</v>
      </c>
      <c r="C1423" s="8" t="str">
        <f>'Criaturas - Base de Dados'!C238</f>
        <v>Mar Profundo</v>
      </c>
      <c r="D1423" s="8" t="str">
        <f>'Criaturas - Base de Dados'!D238</f>
        <v>Anglerfish Ancestral</v>
      </c>
      <c r="E1423" s="8" t="str">
        <f>'Sistema de Raridade e Evolução'!B7</f>
        <v>Lendário</v>
      </c>
      <c r="F1423" s="9">
        <f>ROUND(('Criaturas - Base de Dados'!H238*'Sistema de Raridade e Evolução'!E7)*1000,2)</f>
        <v>7200000</v>
      </c>
      <c r="G1423" s="8">
        <f>ROUND('Criaturas - Base de Dados'!I238*'Sistema de Raridade e Evolução'!E7,0)</f>
        <v>4350</v>
      </c>
      <c r="H1423" s="8">
        <f>ROUND('Criaturas - Base de Dados'!J238*'Sistema de Raridade e Evolução'!E7,0)</f>
        <v>3600</v>
      </c>
      <c r="I1423" s="8">
        <f>ROUND('Criaturas - Base de Dados'!K238*'Sistema de Raridade e Evolução'!E7,0)</f>
        <v>23100</v>
      </c>
      <c r="J1423" s="8">
        <f>'Sistema de Raridade e Evolução'!D7</f>
        <v>91</v>
      </c>
      <c r="K1423" s="8" t="s">
        <v>925</v>
      </c>
      <c r="L1423" s="9">
        <f t="shared" si="22"/>
        <v>17142857.140000001</v>
      </c>
    </row>
    <row r="1424" spans="1:12" ht="14.25" customHeight="1" x14ac:dyDescent="0.3">
      <c r="A1424" s="8">
        <v>1423</v>
      </c>
      <c r="B1424" s="8" t="str">
        <f>'Criaturas - Base de Dados'!B239</f>
        <v>Profundezas Abissais</v>
      </c>
      <c r="C1424" s="8" t="str">
        <f>'Criaturas - Base de Dados'!C239</f>
        <v>Mar Profundo</v>
      </c>
      <c r="D1424" s="8" t="str">
        <f>'Criaturas - Base de Dados'!D239</f>
        <v>Hidra das Profundezas</v>
      </c>
      <c r="E1424" s="8" t="str">
        <f>'Sistema de Raridade e Evolução'!B2</f>
        <v>Default</v>
      </c>
      <c r="F1424" s="9" t="e">
        <f>ROUND(('Criaturas - Base de Dados'!H239*'Sistema de Raridade e Evolução'!E2)*1000,2)</f>
        <v>#VALUE!</v>
      </c>
      <c r="G1424" s="8" t="e">
        <f>ROUND('Criaturas - Base de Dados'!I239*'Sistema de Raridade e Evolução'!E2,0)</f>
        <v>#VALUE!</v>
      </c>
      <c r="H1424" s="8" t="e">
        <f>ROUND('Criaturas - Base de Dados'!J239*'Sistema de Raridade e Evolução'!E2,0)</f>
        <v>#VALUE!</v>
      </c>
      <c r="I1424" s="8" t="e">
        <f>ROUND('Criaturas - Base de Dados'!K239*'Sistema de Raridade e Evolução'!E2,0)</f>
        <v>#VALUE!</v>
      </c>
      <c r="J1424" s="8">
        <f>'Sistema de Raridade e Evolução'!D2</f>
        <v>1</v>
      </c>
      <c r="K1424" s="8" t="s">
        <v>8</v>
      </c>
      <c r="L1424" s="9" t="e">
        <f t="shared" si="22"/>
        <v>#VALUE!</v>
      </c>
    </row>
    <row r="1425" spans="1:12" ht="14.25" hidden="1" customHeight="1" x14ac:dyDescent="0.3">
      <c r="A1425" s="8">
        <v>1424</v>
      </c>
      <c r="B1425" s="8" t="str">
        <f>'Criaturas - Base de Dados'!B239</f>
        <v>Profundezas Abissais</v>
      </c>
      <c r="C1425" s="8" t="str">
        <f>'Criaturas - Base de Dados'!C239</f>
        <v>Mar Profundo</v>
      </c>
      <c r="D1425" s="8" t="str">
        <f>'Criaturas - Base de Dados'!D239</f>
        <v>Hidra das Profundezas</v>
      </c>
      <c r="E1425" s="8" t="str">
        <f>'Sistema de Raridade e Evolução'!B3</f>
        <v>Bronze</v>
      </c>
      <c r="F1425" s="9">
        <f>ROUND(('Criaturas - Base de Dados'!H239*'Sistema de Raridade e Evolução'!E3)*1000,2)</f>
        <v>50000</v>
      </c>
      <c r="G1425" s="8">
        <f>ROUND('Criaturas - Base de Dados'!I239*'Sistema de Raridade e Evolução'!E3,0)</f>
        <v>30</v>
      </c>
      <c r="H1425" s="8">
        <f>ROUND('Criaturas - Base de Dados'!J239*'Sistema de Raridade e Evolução'!E3,0)</f>
        <v>25</v>
      </c>
      <c r="I1425" s="8">
        <f>ROUND('Criaturas - Base de Dados'!K239*'Sistema de Raridade e Evolução'!E3,0)</f>
        <v>160</v>
      </c>
      <c r="J1425" s="8">
        <f>'Sistema de Raridade e Evolução'!D3</f>
        <v>6</v>
      </c>
      <c r="K1425" s="8" t="s">
        <v>9</v>
      </c>
      <c r="L1425" s="9">
        <f t="shared" si="22"/>
        <v>119047.62</v>
      </c>
    </row>
    <row r="1426" spans="1:12" ht="14.25" hidden="1" customHeight="1" x14ac:dyDescent="0.3">
      <c r="A1426" s="8">
        <v>1425</v>
      </c>
      <c r="B1426" s="8" t="str">
        <f>'Criaturas - Base de Dados'!B239</f>
        <v>Profundezas Abissais</v>
      </c>
      <c r="C1426" s="8" t="str">
        <f>'Criaturas - Base de Dados'!C239</f>
        <v>Mar Profundo</v>
      </c>
      <c r="D1426" s="8" t="str">
        <f>'Criaturas - Base de Dados'!D239</f>
        <v>Hidra das Profundezas</v>
      </c>
      <c r="E1426" s="8" t="str">
        <f>'Sistema de Raridade e Evolução'!B4</f>
        <v>Prata</v>
      </c>
      <c r="F1426" s="9">
        <f>ROUND(('Criaturas - Base de Dados'!H239*'Sistema de Raridade e Evolução'!E4)*1000,2)</f>
        <v>300000</v>
      </c>
      <c r="G1426" s="8">
        <f>ROUND('Criaturas - Base de Dados'!I239*'Sistema de Raridade e Evolução'!E4,0)</f>
        <v>180</v>
      </c>
      <c r="H1426" s="8">
        <f>ROUND('Criaturas - Base de Dados'!J239*'Sistema de Raridade e Evolução'!E4,0)</f>
        <v>150</v>
      </c>
      <c r="I1426" s="8">
        <f>ROUND('Criaturas - Base de Dados'!K239*'Sistema de Raridade e Evolução'!E4,0)</f>
        <v>960</v>
      </c>
      <c r="J1426" s="8">
        <f>'Sistema de Raridade e Evolução'!D4</f>
        <v>16</v>
      </c>
      <c r="K1426" s="8" t="s">
        <v>10</v>
      </c>
      <c r="L1426" s="9">
        <f t="shared" si="22"/>
        <v>714285.71</v>
      </c>
    </row>
    <row r="1427" spans="1:12" ht="14.25" hidden="1" customHeight="1" x14ac:dyDescent="0.3">
      <c r="A1427" s="8">
        <v>1426</v>
      </c>
      <c r="B1427" s="8" t="str">
        <f>'Criaturas - Base de Dados'!B239</f>
        <v>Profundezas Abissais</v>
      </c>
      <c r="C1427" s="8" t="str">
        <f>'Criaturas - Base de Dados'!C239</f>
        <v>Mar Profundo</v>
      </c>
      <c r="D1427" s="8" t="str">
        <f>'Criaturas - Base de Dados'!D239</f>
        <v>Hidra das Profundezas</v>
      </c>
      <c r="E1427" s="8" t="str">
        <f>'Sistema de Raridade e Evolução'!B5</f>
        <v>Ouro</v>
      </c>
      <c r="F1427" s="9">
        <f>ROUND(('Criaturas - Base de Dados'!H239*'Sistema de Raridade e Evolução'!E5)*1000,2)</f>
        <v>900000</v>
      </c>
      <c r="G1427" s="8">
        <f>ROUND('Criaturas - Base de Dados'!I239*'Sistema de Raridade e Evolução'!E5,0)</f>
        <v>540</v>
      </c>
      <c r="H1427" s="8">
        <f>ROUND('Criaturas - Base de Dados'!J239*'Sistema de Raridade e Evolução'!E5,0)</f>
        <v>450</v>
      </c>
      <c r="I1427" s="8">
        <f>ROUND('Criaturas - Base de Dados'!K239*'Sistema de Raridade e Evolução'!E5,0)</f>
        <v>2880</v>
      </c>
      <c r="J1427" s="8">
        <f>'Sistema de Raridade e Evolução'!D5</f>
        <v>31</v>
      </c>
      <c r="K1427" s="8" t="s">
        <v>11</v>
      </c>
      <c r="L1427" s="9">
        <f t="shared" si="22"/>
        <v>2142857.14</v>
      </c>
    </row>
    <row r="1428" spans="1:12" ht="14.25" hidden="1" customHeight="1" x14ac:dyDescent="0.3">
      <c r="A1428" s="8">
        <v>1427</v>
      </c>
      <c r="B1428" s="8" t="str">
        <f>'Criaturas - Base de Dados'!B239</f>
        <v>Profundezas Abissais</v>
      </c>
      <c r="C1428" s="8" t="str">
        <f>'Criaturas - Base de Dados'!C239</f>
        <v>Mar Profundo</v>
      </c>
      <c r="D1428" s="8" t="str">
        <f>'Criaturas - Base de Dados'!D239</f>
        <v>Hidra das Profundezas</v>
      </c>
      <c r="E1428" s="8" t="str">
        <f>'Sistema de Raridade e Evolução'!B6</f>
        <v>Platina</v>
      </c>
      <c r="F1428" s="9">
        <f>ROUND(('Criaturas - Base de Dados'!H239*'Sistema de Raridade e Evolução'!E6)*1000,2)</f>
        <v>2500000</v>
      </c>
      <c r="G1428" s="8">
        <f>ROUND('Criaturas - Base de Dados'!I239*'Sistema de Raridade e Evolução'!E6,0)</f>
        <v>1500</v>
      </c>
      <c r="H1428" s="8">
        <f>ROUND('Criaturas - Base de Dados'!J239*'Sistema de Raridade e Evolução'!E6,0)</f>
        <v>1250</v>
      </c>
      <c r="I1428" s="8">
        <f>ROUND('Criaturas - Base de Dados'!K239*'Sistema de Raridade e Evolução'!E6,0)</f>
        <v>8000</v>
      </c>
      <c r="J1428" s="8">
        <f>'Sistema de Raridade e Evolução'!D6</f>
        <v>56</v>
      </c>
      <c r="K1428" s="8" t="s">
        <v>12</v>
      </c>
      <c r="L1428" s="9">
        <f t="shared" si="22"/>
        <v>5952380.9500000002</v>
      </c>
    </row>
    <row r="1429" spans="1:12" ht="14.25" hidden="1" customHeight="1" x14ac:dyDescent="0.3">
      <c r="A1429" s="8">
        <v>1428</v>
      </c>
      <c r="B1429" s="8" t="str">
        <f>'Criaturas - Base de Dados'!B239</f>
        <v>Profundezas Abissais</v>
      </c>
      <c r="C1429" s="8" t="str">
        <f>'Criaturas - Base de Dados'!C239</f>
        <v>Mar Profundo</v>
      </c>
      <c r="D1429" s="8" t="str">
        <f>'Criaturas - Base de Dados'!D239</f>
        <v>Hidra das Profundezas</v>
      </c>
      <c r="E1429" s="8" t="str">
        <f>'Sistema de Raridade e Evolução'!B7</f>
        <v>Lendário</v>
      </c>
      <c r="F1429" s="9">
        <f>ROUND(('Criaturas - Base de Dados'!H239*'Sistema de Raridade e Evolução'!E7)*1000,2)</f>
        <v>7500000</v>
      </c>
      <c r="G1429" s="8">
        <f>ROUND('Criaturas - Base de Dados'!I239*'Sistema de Raridade e Evolução'!E7,0)</f>
        <v>4500</v>
      </c>
      <c r="H1429" s="8">
        <f>ROUND('Criaturas - Base de Dados'!J239*'Sistema de Raridade e Evolução'!E7,0)</f>
        <v>3750</v>
      </c>
      <c r="I1429" s="8">
        <f>ROUND('Criaturas - Base de Dados'!K239*'Sistema de Raridade e Evolução'!E7,0)</f>
        <v>24000</v>
      </c>
      <c r="J1429" s="8">
        <f>'Sistema de Raridade e Evolução'!D7</f>
        <v>91</v>
      </c>
      <c r="K1429" s="8" t="s">
        <v>925</v>
      </c>
      <c r="L1429" s="9">
        <f t="shared" si="22"/>
        <v>17857142.859999999</v>
      </c>
    </row>
    <row r="1430" spans="1:12" ht="14.25" customHeight="1" x14ac:dyDescent="0.3">
      <c r="A1430" s="8">
        <v>1429</v>
      </c>
      <c r="B1430" s="8" t="str">
        <f>'Criaturas - Base de Dados'!B240</f>
        <v>Profundezas Abissais</v>
      </c>
      <c r="C1430" s="8" t="str">
        <f>'Criaturas - Base de Dados'!C240</f>
        <v>Mar Profundo</v>
      </c>
      <c r="D1430" s="8" t="str">
        <f>'Criaturas - Base de Dados'!D240</f>
        <v>Baleia Espectral</v>
      </c>
      <c r="E1430" s="8" t="str">
        <f>'Sistema de Raridade e Evolução'!B2</f>
        <v>Default</v>
      </c>
      <c r="F1430" s="9" t="e">
        <f>ROUND(('Criaturas - Base de Dados'!H240*'Sistema de Raridade e Evolução'!E2)*1000,2)</f>
        <v>#VALUE!</v>
      </c>
      <c r="G1430" s="8" t="e">
        <f>ROUND('Criaturas - Base de Dados'!I240*'Sistema de Raridade e Evolução'!E2,0)</f>
        <v>#VALUE!</v>
      </c>
      <c r="H1430" s="8" t="e">
        <f>ROUND('Criaturas - Base de Dados'!J240*'Sistema de Raridade e Evolução'!E2,0)</f>
        <v>#VALUE!</v>
      </c>
      <c r="I1430" s="8" t="e">
        <f>ROUND('Criaturas - Base de Dados'!K240*'Sistema de Raridade e Evolução'!E2,0)</f>
        <v>#VALUE!</v>
      </c>
      <c r="J1430" s="8">
        <f>'Sistema de Raridade e Evolução'!D2</f>
        <v>1</v>
      </c>
      <c r="K1430" s="8" t="s">
        <v>8</v>
      </c>
      <c r="L1430" s="9" t="e">
        <f t="shared" si="22"/>
        <v>#VALUE!</v>
      </c>
    </row>
    <row r="1431" spans="1:12" ht="14.25" hidden="1" customHeight="1" x14ac:dyDescent="0.3">
      <c r="A1431" s="8">
        <v>1430</v>
      </c>
      <c r="B1431" s="8" t="str">
        <f>'Criaturas - Base de Dados'!B240</f>
        <v>Profundezas Abissais</v>
      </c>
      <c r="C1431" s="8" t="str">
        <f>'Criaturas - Base de Dados'!C240</f>
        <v>Mar Profundo</v>
      </c>
      <c r="D1431" s="8" t="str">
        <f>'Criaturas - Base de Dados'!D240</f>
        <v>Baleia Espectral</v>
      </c>
      <c r="E1431" s="8" t="str">
        <f>'Sistema de Raridade e Evolução'!B3</f>
        <v>Bronze</v>
      </c>
      <c r="F1431" s="9">
        <f>ROUND(('Criaturas - Base de Dados'!H240*'Sistema de Raridade e Evolução'!E3)*1000,2)</f>
        <v>69000</v>
      </c>
      <c r="G1431" s="8">
        <f>ROUND('Criaturas - Base de Dados'!I240*'Sistema de Raridade e Evolução'!E3,0)</f>
        <v>41</v>
      </c>
      <c r="H1431" s="8">
        <f>ROUND('Criaturas - Base de Dados'!J240*'Sistema de Raridade e Evolução'!E3,0)</f>
        <v>34</v>
      </c>
      <c r="I1431" s="8">
        <f>ROUND('Criaturas - Base de Dados'!K240*'Sistema de Raridade e Evolução'!E3,0)</f>
        <v>221</v>
      </c>
      <c r="J1431" s="8">
        <f>'Sistema de Raridade e Evolução'!D3</f>
        <v>6</v>
      </c>
      <c r="K1431" s="8" t="s">
        <v>9</v>
      </c>
      <c r="L1431" s="9">
        <f t="shared" si="22"/>
        <v>164285.71</v>
      </c>
    </row>
    <row r="1432" spans="1:12" ht="14.25" hidden="1" customHeight="1" x14ac:dyDescent="0.3">
      <c r="A1432" s="8">
        <v>1431</v>
      </c>
      <c r="B1432" s="8" t="str">
        <f>'Criaturas - Base de Dados'!B240</f>
        <v>Profundezas Abissais</v>
      </c>
      <c r="C1432" s="8" t="str">
        <f>'Criaturas - Base de Dados'!C240</f>
        <v>Mar Profundo</v>
      </c>
      <c r="D1432" s="8" t="str">
        <f>'Criaturas - Base de Dados'!D240</f>
        <v>Baleia Espectral</v>
      </c>
      <c r="E1432" s="8" t="str">
        <f>'Sistema de Raridade e Evolução'!B4</f>
        <v>Prata</v>
      </c>
      <c r="F1432" s="9">
        <f>ROUND(('Criaturas - Base de Dados'!H240*'Sistema de Raridade e Evolução'!E4)*1000,2)</f>
        <v>414000</v>
      </c>
      <c r="G1432" s="8">
        <f>ROUND('Criaturas - Base de Dados'!I240*'Sistema de Raridade e Evolução'!E4,0)</f>
        <v>246</v>
      </c>
      <c r="H1432" s="8">
        <f>ROUND('Criaturas - Base de Dados'!J240*'Sistema de Raridade e Evolução'!E4,0)</f>
        <v>204</v>
      </c>
      <c r="I1432" s="8">
        <f>ROUND('Criaturas - Base de Dados'!K240*'Sistema de Raridade e Evolução'!E4,0)</f>
        <v>1326</v>
      </c>
      <c r="J1432" s="8">
        <f>'Sistema de Raridade e Evolução'!D4</f>
        <v>16</v>
      </c>
      <c r="K1432" s="8" t="s">
        <v>10</v>
      </c>
      <c r="L1432" s="9">
        <f t="shared" si="22"/>
        <v>985714.29</v>
      </c>
    </row>
    <row r="1433" spans="1:12" ht="14.25" hidden="1" customHeight="1" x14ac:dyDescent="0.3">
      <c r="A1433" s="8">
        <v>1432</v>
      </c>
      <c r="B1433" s="8" t="str">
        <f>'Criaturas - Base de Dados'!B240</f>
        <v>Profundezas Abissais</v>
      </c>
      <c r="C1433" s="8" t="str">
        <f>'Criaturas - Base de Dados'!C240</f>
        <v>Mar Profundo</v>
      </c>
      <c r="D1433" s="8" t="str">
        <f>'Criaturas - Base de Dados'!D240</f>
        <v>Baleia Espectral</v>
      </c>
      <c r="E1433" s="8" t="str">
        <f>'Sistema de Raridade e Evolução'!B5</f>
        <v>Ouro</v>
      </c>
      <c r="F1433" s="9">
        <f>ROUND(('Criaturas - Base de Dados'!H240*'Sistema de Raridade e Evolução'!E5)*1000,2)</f>
        <v>1242000</v>
      </c>
      <c r="G1433" s="8">
        <f>ROUND('Criaturas - Base de Dados'!I240*'Sistema de Raridade e Evolução'!E5,0)</f>
        <v>738</v>
      </c>
      <c r="H1433" s="8">
        <f>ROUND('Criaturas - Base de Dados'!J240*'Sistema de Raridade e Evolução'!E5,0)</f>
        <v>612</v>
      </c>
      <c r="I1433" s="8">
        <f>ROUND('Criaturas - Base de Dados'!K240*'Sistema de Raridade e Evolução'!E5,0)</f>
        <v>3978</v>
      </c>
      <c r="J1433" s="8">
        <f>'Sistema de Raridade e Evolução'!D5</f>
        <v>31</v>
      </c>
      <c r="K1433" s="8" t="s">
        <v>11</v>
      </c>
      <c r="L1433" s="9">
        <f t="shared" si="22"/>
        <v>2957142.86</v>
      </c>
    </row>
    <row r="1434" spans="1:12" ht="14.25" hidden="1" customHeight="1" x14ac:dyDescent="0.3">
      <c r="A1434" s="8">
        <v>1433</v>
      </c>
      <c r="B1434" s="8" t="str">
        <f>'Criaturas - Base de Dados'!B240</f>
        <v>Profundezas Abissais</v>
      </c>
      <c r="C1434" s="8" t="str">
        <f>'Criaturas - Base de Dados'!C240</f>
        <v>Mar Profundo</v>
      </c>
      <c r="D1434" s="8" t="str">
        <f>'Criaturas - Base de Dados'!D240</f>
        <v>Baleia Espectral</v>
      </c>
      <c r="E1434" s="8" t="str">
        <f>'Sistema de Raridade e Evolução'!B6</f>
        <v>Platina</v>
      </c>
      <c r="F1434" s="9">
        <f>ROUND(('Criaturas - Base de Dados'!H240*'Sistema de Raridade e Evolução'!E6)*1000,2)</f>
        <v>3450000</v>
      </c>
      <c r="G1434" s="8">
        <f>ROUND('Criaturas - Base de Dados'!I240*'Sistema de Raridade e Evolução'!E6,0)</f>
        <v>2050</v>
      </c>
      <c r="H1434" s="8">
        <f>ROUND('Criaturas - Base de Dados'!J240*'Sistema de Raridade e Evolução'!E6,0)</f>
        <v>1700</v>
      </c>
      <c r="I1434" s="8">
        <f>ROUND('Criaturas - Base de Dados'!K240*'Sistema de Raridade e Evolução'!E6,0)</f>
        <v>11050</v>
      </c>
      <c r="J1434" s="8">
        <f>'Sistema de Raridade e Evolução'!D6</f>
        <v>56</v>
      </c>
      <c r="K1434" s="8" t="s">
        <v>12</v>
      </c>
      <c r="L1434" s="9">
        <f t="shared" si="22"/>
        <v>8214285.71</v>
      </c>
    </row>
    <row r="1435" spans="1:12" ht="14.25" hidden="1" customHeight="1" x14ac:dyDescent="0.3">
      <c r="A1435" s="8">
        <v>1434</v>
      </c>
      <c r="B1435" s="8" t="str">
        <f>'Criaturas - Base de Dados'!B240</f>
        <v>Profundezas Abissais</v>
      </c>
      <c r="C1435" s="8" t="str">
        <f>'Criaturas - Base de Dados'!C240</f>
        <v>Mar Profundo</v>
      </c>
      <c r="D1435" s="8" t="str">
        <f>'Criaturas - Base de Dados'!D240</f>
        <v>Baleia Espectral</v>
      </c>
      <c r="E1435" s="8" t="str">
        <f>'Sistema de Raridade e Evolução'!B7</f>
        <v>Lendário</v>
      </c>
      <c r="F1435" s="9">
        <f>ROUND(('Criaturas - Base de Dados'!H240*'Sistema de Raridade e Evolução'!E7)*1000,2)</f>
        <v>10350000</v>
      </c>
      <c r="G1435" s="8">
        <f>ROUND('Criaturas - Base de Dados'!I240*'Sistema de Raridade e Evolução'!E7,0)</f>
        <v>6150</v>
      </c>
      <c r="H1435" s="8">
        <f>ROUND('Criaturas - Base de Dados'!J240*'Sistema de Raridade e Evolução'!E7,0)</f>
        <v>5100</v>
      </c>
      <c r="I1435" s="8">
        <f>ROUND('Criaturas - Base de Dados'!K240*'Sistema de Raridade e Evolução'!E7,0)</f>
        <v>33150</v>
      </c>
      <c r="J1435" s="8">
        <f>'Sistema de Raridade e Evolução'!D7</f>
        <v>91</v>
      </c>
      <c r="K1435" s="8" t="s">
        <v>925</v>
      </c>
      <c r="L1435" s="9">
        <f t="shared" si="22"/>
        <v>24642857.140000001</v>
      </c>
    </row>
    <row r="1436" spans="1:12" ht="14.25" customHeight="1" x14ac:dyDescent="0.3">
      <c r="A1436" s="8">
        <v>1435</v>
      </c>
      <c r="B1436" s="8" t="str">
        <f>'Criaturas - Base de Dados'!B241</f>
        <v>Profundezas Abissais</v>
      </c>
      <c r="C1436" s="8" t="str">
        <f>'Criaturas - Base de Dados'!C241</f>
        <v>Mar Profundo</v>
      </c>
      <c r="D1436" s="8" t="str">
        <f>'Criaturas - Base de Dados'!D241</f>
        <v>Guardião do Abismo</v>
      </c>
      <c r="E1436" s="8" t="str">
        <f>'Sistema de Raridade e Evolução'!B2</f>
        <v>Default</v>
      </c>
      <c r="F1436" s="9" t="e">
        <f>ROUND(('Criaturas - Base de Dados'!H241*'Sistema de Raridade e Evolução'!E2)*1000,2)</f>
        <v>#VALUE!</v>
      </c>
      <c r="G1436" s="8" t="e">
        <f>ROUND('Criaturas - Base de Dados'!I241*'Sistema de Raridade e Evolução'!E2,0)</f>
        <v>#VALUE!</v>
      </c>
      <c r="H1436" s="8" t="e">
        <f>ROUND('Criaturas - Base de Dados'!J241*'Sistema de Raridade e Evolução'!E2,0)</f>
        <v>#VALUE!</v>
      </c>
      <c r="I1436" s="8" t="e">
        <f>ROUND('Criaturas - Base de Dados'!K241*'Sistema de Raridade e Evolução'!E2,0)</f>
        <v>#VALUE!</v>
      </c>
      <c r="J1436" s="8">
        <f>'Sistema de Raridade e Evolução'!D2</f>
        <v>1</v>
      </c>
      <c r="K1436" s="8" t="s">
        <v>8</v>
      </c>
      <c r="L1436" s="9" t="e">
        <f t="shared" si="22"/>
        <v>#VALUE!</v>
      </c>
    </row>
    <row r="1437" spans="1:12" ht="14.25" hidden="1" customHeight="1" x14ac:dyDescent="0.3">
      <c r="A1437" s="8">
        <v>1436</v>
      </c>
      <c r="B1437" s="8" t="str">
        <f>'Criaturas - Base de Dados'!B241</f>
        <v>Profundezas Abissais</v>
      </c>
      <c r="C1437" s="8" t="str">
        <f>'Criaturas - Base de Dados'!C241</f>
        <v>Mar Profundo</v>
      </c>
      <c r="D1437" s="8" t="str">
        <f>'Criaturas - Base de Dados'!D241</f>
        <v>Guardião do Abismo</v>
      </c>
      <c r="E1437" s="8" t="str">
        <f>'Sistema de Raridade e Evolução'!B3</f>
        <v>Bronze</v>
      </c>
      <c r="F1437" s="9">
        <f>ROUND(('Criaturas - Base de Dados'!H241*'Sistema de Raridade e Evolução'!E3)*1000,2)</f>
        <v>71000</v>
      </c>
      <c r="G1437" s="8">
        <f>ROUND('Criaturas - Base de Dados'!I241*'Sistema de Raridade e Evolução'!E3,0)</f>
        <v>43</v>
      </c>
      <c r="H1437" s="8">
        <f>ROUND('Criaturas - Base de Dados'!J241*'Sistema de Raridade e Evolução'!E3,0)</f>
        <v>36</v>
      </c>
      <c r="I1437" s="8">
        <f>ROUND('Criaturas - Base de Dados'!K241*'Sistema de Raridade e Evolução'!E3,0)</f>
        <v>227</v>
      </c>
      <c r="J1437" s="8">
        <f>'Sistema de Raridade e Evolução'!D3</f>
        <v>6</v>
      </c>
      <c r="K1437" s="8" t="s">
        <v>9</v>
      </c>
      <c r="L1437" s="9">
        <f t="shared" si="22"/>
        <v>169047.62</v>
      </c>
    </row>
    <row r="1438" spans="1:12" ht="14.25" hidden="1" customHeight="1" x14ac:dyDescent="0.3">
      <c r="A1438" s="8">
        <v>1437</v>
      </c>
      <c r="B1438" s="8" t="str">
        <f>'Criaturas - Base de Dados'!B241</f>
        <v>Profundezas Abissais</v>
      </c>
      <c r="C1438" s="8" t="str">
        <f>'Criaturas - Base de Dados'!C241</f>
        <v>Mar Profundo</v>
      </c>
      <c r="D1438" s="8" t="str">
        <f>'Criaturas - Base de Dados'!D241</f>
        <v>Guardião do Abismo</v>
      </c>
      <c r="E1438" s="8" t="str">
        <f>'Sistema de Raridade e Evolução'!B4</f>
        <v>Prata</v>
      </c>
      <c r="F1438" s="9">
        <f>ROUND(('Criaturas - Base de Dados'!H241*'Sistema de Raridade e Evolução'!E4)*1000,2)</f>
        <v>426000</v>
      </c>
      <c r="G1438" s="8">
        <f>ROUND('Criaturas - Base de Dados'!I241*'Sistema de Raridade e Evolução'!E4,0)</f>
        <v>258</v>
      </c>
      <c r="H1438" s="8">
        <f>ROUND('Criaturas - Base de Dados'!J241*'Sistema de Raridade e Evolução'!E4,0)</f>
        <v>216</v>
      </c>
      <c r="I1438" s="8">
        <f>ROUND('Criaturas - Base de Dados'!K241*'Sistema de Raridade e Evolução'!E4,0)</f>
        <v>1362</v>
      </c>
      <c r="J1438" s="8">
        <f>'Sistema de Raridade e Evolução'!D4</f>
        <v>16</v>
      </c>
      <c r="K1438" s="8" t="s">
        <v>10</v>
      </c>
      <c r="L1438" s="9">
        <f t="shared" si="22"/>
        <v>1014285.71</v>
      </c>
    </row>
    <row r="1439" spans="1:12" ht="14.25" hidden="1" customHeight="1" x14ac:dyDescent="0.3">
      <c r="A1439" s="8">
        <v>1438</v>
      </c>
      <c r="B1439" s="8" t="str">
        <f>'Criaturas - Base de Dados'!B241</f>
        <v>Profundezas Abissais</v>
      </c>
      <c r="C1439" s="8" t="str">
        <f>'Criaturas - Base de Dados'!C241</f>
        <v>Mar Profundo</v>
      </c>
      <c r="D1439" s="8" t="str">
        <f>'Criaturas - Base de Dados'!D241</f>
        <v>Guardião do Abismo</v>
      </c>
      <c r="E1439" s="8" t="str">
        <f>'Sistema de Raridade e Evolução'!B5</f>
        <v>Ouro</v>
      </c>
      <c r="F1439" s="9">
        <f>ROUND(('Criaturas - Base de Dados'!H241*'Sistema de Raridade e Evolução'!E5)*1000,2)</f>
        <v>1278000</v>
      </c>
      <c r="G1439" s="8">
        <f>ROUND('Criaturas - Base de Dados'!I241*'Sistema de Raridade e Evolução'!E5,0)</f>
        <v>774</v>
      </c>
      <c r="H1439" s="8">
        <f>ROUND('Criaturas - Base de Dados'!J241*'Sistema de Raridade e Evolução'!E5,0)</f>
        <v>648</v>
      </c>
      <c r="I1439" s="8">
        <f>ROUND('Criaturas - Base de Dados'!K241*'Sistema de Raridade e Evolução'!E5,0)</f>
        <v>4086</v>
      </c>
      <c r="J1439" s="8">
        <f>'Sistema de Raridade e Evolução'!D5</f>
        <v>31</v>
      </c>
      <c r="K1439" s="8" t="s">
        <v>11</v>
      </c>
      <c r="L1439" s="9">
        <f t="shared" si="22"/>
        <v>3042857.14</v>
      </c>
    </row>
    <row r="1440" spans="1:12" ht="14.25" hidden="1" customHeight="1" x14ac:dyDescent="0.3">
      <c r="A1440" s="8">
        <v>1439</v>
      </c>
      <c r="B1440" s="8" t="str">
        <f>'Criaturas - Base de Dados'!B241</f>
        <v>Profundezas Abissais</v>
      </c>
      <c r="C1440" s="8" t="str">
        <f>'Criaturas - Base de Dados'!C241</f>
        <v>Mar Profundo</v>
      </c>
      <c r="D1440" s="8" t="str">
        <f>'Criaturas - Base de Dados'!D241</f>
        <v>Guardião do Abismo</v>
      </c>
      <c r="E1440" s="8" t="str">
        <f>'Sistema de Raridade e Evolução'!B6</f>
        <v>Platina</v>
      </c>
      <c r="F1440" s="9">
        <f>ROUND(('Criaturas - Base de Dados'!H241*'Sistema de Raridade e Evolução'!E6)*1000,2)</f>
        <v>3550000</v>
      </c>
      <c r="G1440" s="8">
        <f>ROUND('Criaturas - Base de Dados'!I241*'Sistema de Raridade e Evolução'!E6,0)</f>
        <v>2150</v>
      </c>
      <c r="H1440" s="8">
        <f>ROUND('Criaturas - Base de Dados'!J241*'Sistema de Raridade e Evolução'!E6,0)</f>
        <v>1800</v>
      </c>
      <c r="I1440" s="8">
        <f>ROUND('Criaturas - Base de Dados'!K241*'Sistema de Raridade e Evolução'!E6,0)</f>
        <v>11350</v>
      </c>
      <c r="J1440" s="8">
        <f>'Sistema de Raridade e Evolução'!D6</f>
        <v>56</v>
      </c>
      <c r="K1440" s="8" t="s">
        <v>12</v>
      </c>
      <c r="L1440" s="9">
        <f t="shared" si="22"/>
        <v>8452380.9499999993</v>
      </c>
    </row>
    <row r="1441" spans="1:12" ht="14.25" hidden="1" customHeight="1" x14ac:dyDescent="0.3">
      <c r="A1441" s="8">
        <v>1440</v>
      </c>
      <c r="B1441" s="8" t="str">
        <f>'Criaturas - Base de Dados'!B241</f>
        <v>Profundezas Abissais</v>
      </c>
      <c r="C1441" s="8" t="str">
        <f>'Criaturas - Base de Dados'!C241</f>
        <v>Mar Profundo</v>
      </c>
      <c r="D1441" s="8" t="str">
        <f>'Criaturas - Base de Dados'!D241</f>
        <v>Guardião do Abismo</v>
      </c>
      <c r="E1441" s="8" t="str">
        <f>'Sistema de Raridade e Evolução'!B7</f>
        <v>Lendário</v>
      </c>
      <c r="F1441" s="9">
        <f>ROUND(('Criaturas - Base de Dados'!H241*'Sistema de Raridade e Evolução'!E7)*1000,2)</f>
        <v>10650000</v>
      </c>
      <c r="G1441" s="8">
        <f>ROUND('Criaturas - Base de Dados'!I241*'Sistema de Raridade e Evolução'!E7,0)</f>
        <v>6450</v>
      </c>
      <c r="H1441" s="8">
        <f>ROUND('Criaturas - Base de Dados'!J241*'Sistema de Raridade e Evolução'!E7,0)</f>
        <v>5400</v>
      </c>
      <c r="I1441" s="8">
        <f>ROUND('Criaturas - Base de Dados'!K241*'Sistema de Raridade e Evolução'!E7,0)</f>
        <v>34050</v>
      </c>
      <c r="J1441" s="8">
        <f>'Sistema de Raridade e Evolução'!D7</f>
        <v>91</v>
      </c>
      <c r="K1441" s="8" t="s">
        <v>925</v>
      </c>
      <c r="L1441" s="9">
        <f t="shared" si="22"/>
        <v>25357142.859999999</v>
      </c>
    </row>
    <row r="1442" spans="1:12" ht="14.25" customHeight="1" x14ac:dyDescent="0.3">
      <c r="A1442" s="8">
        <v>1441</v>
      </c>
      <c r="B1442" s="8" t="str">
        <f>'Criaturas - Base de Dados'!B242</f>
        <v>Chama Vulcânica</v>
      </c>
      <c r="C1442" s="8" t="str">
        <f>'Criaturas - Base de Dados'!C242</f>
        <v>Lava</v>
      </c>
      <c r="D1442" s="8" t="str">
        <f>'Criaturas - Base de Dados'!D242</f>
        <v>Fera Magmática</v>
      </c>
      <c r="E1442" s="8" t="str">
        <f>'Sistema de Raridade e Evolução'!B2</f>
        <v>Default</v>
      </c>
      <c r="F1442" s="9" t="e">
        <f>ROUND(('Criaturas - Base de Dados'!H242*'Sistema de Raridade e Evolução'!E2)*1000,2)</f>
        <v>#VALUE!</v>
      </c>
      <c r="G1442" s="8" t="e">
        <f>ROUND('Criaturas - Base de Dados'!I242*'Sistema de Raridade e Evolução'!E2,0)</f>
        <v>#VALUE!</v>
      </c>
      <c r="H1442" s="8" t="e">
        <f>ROUND('Criaturas - Base de Dados'!J242*'Sistema de Raridade e Evolução'!E2,0)</f>
        <v>#VALUE!</v>
      </c>
      <c r="I1442" s="8" t="e">
        <f>ROUND('Criaturas - Base de Dados'!K242*'Sistema de Raridade e Evolução'!E2,0)</f>
        <v>#VALUE!</v>
      </c>
      <c r="J1442" s="8">
        <f>'Sistema de Raridade e Evolução'!D2</f>
        <v>1</v>
      </c>
      <c r="K1442" s="8" t="s">
        <v>8</v>
      </c>
      <c r="L1442" s="9" t="e">
        <f t="shared" si="22"/>
        <v>#VALUE!</v>
      </c>
    </row>
    <row r="1443" spans="1:12" ht="14.25" hidden="1" customHeight="1" x14ac:dyDescent="0.3">
      <c r="A1443" s="8">
        <v>1442</v>
      </c>
      <c r="B1443" s="8" t="str">
        <f>'Criaturas - Base de Dados'!B242</f>
        <v>Chama Vulcânica</v>
      </c>
      <c r="C1443" s="8" t="str">
        <f>'Criaturas - Base de Dados'!C242</f>
        <v>Lava</v>
      </c>
      <c r="D1443" s="8" t="str">
        <f>'Criaturas - Base de Dados'!D242</f>
        <v>Fera Magmática</v>
      </c>
      <c r="E1443" s="8" t="str">
        <f>'Sistema de Raridade e Evolução'!B3</f>
        <v>Bronze</v>
      </c>
      <c r="F1443" s="9">
        <f>ROUND(('Criaturas - Base de Dados'!H242*'Sistema de Raridade e Evolução'!E3)*1000,2)</f>
        <v>10000</v>
      </c>
      <c r="G1443" s="8">
        <f>ROUND('Criaturas - Base de Dados'!I242*'Sistema de Raridade e Evolução'!E3,0)</f>
        <v>6</v>
      </c>
      <c r="H1443" s="8">
        <f>ROUND('Criaturas - Base de Dados'!J242*'Sistema de Raridade e Evolução'!E3,0)</f>
        <v>5</v>
      </c>
      <c r="I1443" s="8">
        <f>ROUND('Criaturas - Base de Dados'!K242*'Sistema de Raridade e Evolução'!E3,0)</f>
        <v>32</v>
      </c>
      <c r="J1443" s="8">
        <f>'Sistema de Raridade e Evolução'!D3</f>
        <v>6</v>
      </c>
      <c r="K1443" s="8" t="s">
        <v>9</v>
      </c>
      <c r="L1443" s="9">
        <f t="shared" si="22"/>
        <v>23809.52</v>
      </c>
    </row>
    <row r="1444" spans="1:12" ht="14.25" hidden="1" customHeight="1" x14ac:dyDescent="0.3">
      <c r="A1444" s="8">
        <v>1443</v>
      </c>
      <c r="B1444" s="8" t="str">
        <f>'Criaturas - Base de Dados'!B242</f>
        <v>Chama Vulcânica</v>
      </c>
      <c r="C1444" s="8" t="str">
        <f>'Criaturas - Base de Dados'!C242</f>
        <v>Lava</v>
      </c>
      <c r="D1444" s="8" t="str">
        <f>'Criaturas - Base de Dados'!D242</f>
        <v>Fera Magmática</v>
      </c>
      <c r="E1444" s="8" t="str">
        <f>'Sistema de Raridade e Evolução'!B4</f>
        <v>Prata</v>
      </c>
      <c r="F1444" s="9">
        <f>ROUND(('Criaturas - Base de Dados'!H242*'Sistema de Raridade e Evolução'!E4)*1000,2)</f>
        <v>60000</v>
      </c>
      <c r="G1444" s="8">
        <f>ROUND('Criaturas - Base de Dados'!I242*'Sistema de Raridade e Evolução'!E4,0)</f>
        <v>36</v>
      </c>
      <c r="H1444" s="8">
        <f>ROUND('Criaturas - Base de Dados'!J242*'Sistema de Raridade e Evolução'!E4,0)</f>
        <v>30</v>
      </c>
      <c r="I1444" s="8">
        <f>ROUND('Criaturas - Base de Dados'!K242*'Sistema de Raridade e Evolução'!E4,0)</f>
        <v>192</v>
      </c>
      <c r="J1444" s="8">
        <f>'Sistema de Raridade e Evolução'!D4</f>
        <v>16</v>
      </c>
      <c r="K1444" s="8" t="s">
        <v>10</v>
      </c>
      <c r="L1444" s="9">
        <f t="shared" si="22"/>
        <v>142857.14000000001</v>
      </c>
    </row>
    <row r="1445" spans="1:12" ht="14.25" hidden="1" customHeight="1" x14ac:dyDescent="0.3">
      <c r="A1445" s="8">
        <v>1444</v>
      </c>
      <c r="B1445" s="8" t="str">
        <f>'Criaturas - Base de Dados'!B242</f>
        <v>Chama Vulcânica</v>
      </c>
      <c r="C1445" s="8" t="str">
        <f>'Criaturas - Base de Dados'!C242</f>
        <v>Lava</v>
      </c>
      <c r="D1445" s="8" t="str">
        <f>'Criaturas - Base de Dados'!D242</f>
        <v>Fera Magmática</v>
      </c>
      <c r="E1445" s="8" t="str">
        <f>'Sistema de Raridade e Evolução'!B5</f>
        <v>Ouro</v>
      </c>
      <c r="F1445" s="9">
        <f>ROUND(('Criaturas - Base de Dados'!H242*'Sistema de Raridade e Evolução'!E5)*1000,2)</f>
        <v>180000</v>
      </c>
      <c r="G1445" s="8">
        <f>ROUND('Criaturas - Base de Dados'!I242*'Sistema de Raridade e Evolução'!E5,0)</f>
        <v>108</v>
      </c>
      <c r="H1445" s="8">
        <f>ROUND('Criaturas - Base de Dados'!J242*'Sistema de Raridade e Evolução'!E5,0)</f>
        <v>90</v>
      </c>
      <c r="I1445" s="8">
        <f>ROUND('Criaturas - Base de Dados'!K242*'Sistema de Raridade e Evolução'!E5,0)</f>
        <v>576</v>
      </c>
      <c r="J1445" s="8">
        <f>'Sistema de Raridade e Evolução'!D5</f>
        <v>31</v>
      </c>
      <c r="K1445" s="8" t="s">
        <v>11</v>
      </c>
      <c r="L1445" s="9">
        <f t="shared" si="22"/>
        <v>428571.43</v>
      </c>
    </row>
    <row r="1446" spans="1:12" ht="14.25" hidden="1" customHeight="1" x14ac:dyDescent="0.3">
      <c r="A1446" s="8">
        <v>1445</v>
      </c>
      <c r="B1446" s="8" t="str">
        <f>'Criaturas - Base de Dados'!B242</f>
        <v>Chama Vulcânica</v>
      </c>
      <c r="C1446" s="8" t="str">
        <f>'Criaturas - Base de Dados'!C242</f>
        <v>Lava</v>
      </c>
      <c r="D1446" s="8" t="str">
        <f>'Criaturas - Base de Dados'!D242</f>
        <v>Fera Magmática</v>
      </c>
      <c r="E1446" s="8" t="str">
        <f>'Sistema de Raridade e Evolução'!B6</f>
        <v>Platina</v>
      </c>
      <c r="F1446" s="9">
        <f>ROUND(('Criaturas - Base de Dados'!H242*'Sistema de Raridade e Evolução'!E6)*1000,2)</f>
        <v>500000</v>
      </c>
      <c r="G1446" s="8">
        <f>ROUND('Criaturas - Base de Dados'!I242*'Sistema de Raridade e Evolução'!E6,0)</f>
        <v>300</v>
      </c>
      <c r="H1446" s="8">
        <f>ROUND('Criaturas - Base de Dados'!J242*'Sistema de Raridade e Evolução'!E6,0)</f>
        <v>250</v>
      </c>
      <c r="I1446" s="8">
        <f>ROUND('Criaturas - Base de Dados'!K242*'Sistema de Raridade e Evolução'!E6,0)</f>
        <v>1600</v>
      </c>
      <c r="J1446" s="8">
        <f>'Sistema de Raridade e Evolução'!D6</f>
        <v>56</v>
      </c>
      <c r="K1446" s="8" t="s">
        <v>12</v>
      </c>
      <c r="L1446" s="9">
        <f t="shared" si="22"/>
        <v>1190476.19</v>
      </c>
    </row>
    <row r="1447" spans="1:12" ht="14.25" hidden="1" customHeight="1" x14ac:dyDescent="0.3">
      <c r="A1447" s="8">
        <v>1446</v>
      </c>
      <c r="B1447" s="8" t="str">
        <f>'Criaturas - Base de Dados'!B242</f>
        <v>Chama Vulcânica</v>
      </c>
      <c r="C1447" s="8" t="str">
        <f>'Criaturas - Base de Dados'!C242</f>
        <v>Lava</v>
      </c>
      <c r="D1447" s="8" t="str">
        <f>'Criaturas - Base de Dados'!D242</f>
        <v>Fera Magmática</v>
      </c>
      <c r="E1447" s="8" t="str">
        <f>'Sistema de Raridade e Evolução'!B7</f>
        <v>Lendário</v>
      </c>
      <c r="F1447" s="9">
        <f>ROUND(('Criaturas - Base de Dados'!H242*'Sistema de Raridade e Evolução'!E7)*1000,2)</f>
        <v>1500000</v>
      </c>
      <c r="G1447" s="8">
        <f>ROUND('Criaturas - Base de Dados'!I242*'Sistema de Raridade e Evolução'!E7,0)</f>
        <v>900</v>
      </c>
      <c r="H1447" s="8">
        <f>ROUND('Criaturas - Base de Dados'!J242*'Sistema de Raridade e Evolução'!E7,0)</f>
        <v>750</v>
      </c>
      <c r="I1447" s="8">
        <f>ROUND('Criaturas - Base de Dados'!K242*'Sistema de Raridade e Evolução'!E7,0)</f>
        <v>4800</v>
      </c>
      <c r="J1447" s="8">
        <f>'Sistema de Raridade e Evolução'!D7</f>
        <v>91</v>
      </c>
      <c r="K1447" s="8" t="s">
        <v>925</v>
      </c>
      <c r="L1447" s="9">
        <f t="shared" si="22"/>
        <v>3571428.57</v>
      </c>
    </row>
    <row r="1448" spans="1:12" ht="14.25" customHeight="1" x14ac:dyDescent="0.3">
      <c r="A1448" s="8">
        <v>1447</v>
      </c>
      <c r="B1448" s="8" t="str">
        <f>'Criaturas - Base de Dados'!B243</f>
        <v>Chama Vulcânica</v>
      </c>
      <c r="C1448" s="8" t="str">
        <f>'Criaturas - Base de Dados'!C243</f>
        <v>Lava</v>
      </c>
      <c r="D1448" s="8" t="str">
        <f>'Criaturas - Base de Dados'!D243</f>
        <v>Demônio do Vulcão</v>
      </c>
      <c r="E1448" s="8" t="str">
        <f>'Sistema de Raridade e Evolução'!B2</f>
        <v>Default</v>
      </c>
      <c r="F1448" s="9" t="e">
        <f>ROUND(('Criaturas - Base de Dados'!H243*'Sistema de Raridade e Evolução'!E2)*1000,2)</f>
        <v>#VALUE!</v>
      </c>
      <c r="G1448" s="8" t="e">
        <f>ROUND('Criaturas - Base de Dados'!I243*'Sistema de Raridade e Evolução'!E2,0)</f>
        <v>#VALUE!</v>
      </c>
      <c r="H1448" s="8" t="e">
        <f>ROUND('Criaturas - Base de Dados'!J243*'Sistema de Raridade e Evolução'!E2,0)</f>
        <v>#VALUE!</v>
      </c>
      <c r="I1448" s="8" t="e">
        <f>ROUND('Criaturas - Base de Dados'!K243*'Sistema de Raridade e Evolução'!E2,0)</f>
        <v>#VALUE!</v>
      </c>
      <c r="J1448" s="8">
        <f>'Sistema de Raridade e Evolução'!D2</f>
        <v>1</v>
      </c>
      <c r="K1448" s="8" t="s">
        <v>8</v>
      </c>
      <c r="L1448" s="9" t="e">
        <f t="shared" si="22"/>
        <v>#VALUE!</v>
      </c>
    </row>
    <row r="1449" spans="1:12" ht="14.25" hidden="1" customHeight="1" x14ac:dyDescent="0.3">
      <c r="A1449" s="8">
        <v>1448</v>
      </c>
      <c r="B1449" s="8" t="str">
        <f>'Criaturas - Base de Dados'!B243</f>
        <v>Chama Vulcânica</v>
      </c>
      <c r="C1449" s="8" t="str">
        <f>'Criaturas - Base de Dados'!C243</f>
        <v>Lava</v>
      </c>
      <c r="D1449" s="8" t="str">
        <f>'Criaturas - Base de Dados'!D243</f>
        <v>Demônio do Vulcão</v>
      </c>
      <c r="E1449" s="8" t="str">
        <f>'Sistema de Raridade e Evolução'!B3</f>
        <v>Bronze</v>
      </c>
      <c r="F1449" s="9">
        <f>ROUND(('Criaturas - Base de Dados'!H243*'Sistema de Raridade e Evolução'!E3)*1000,2)</f>
        <v>12000</v>
      </c>
      <c r="G1449" s="8">
        <f>ROUND('Criaturas - Base de Dados'!I243*'Sistema de Raridade e Evolução'!E3,0)</f>
        <v>7</v>
      </c>
      <c r="H1449" s="8">
        <f>ROUND('Criaturas - Base de Dados'!J243*'Sistema de Raridade e Evolução'!E3,0)</f>
        <v>6</v>
      </c>
      <c r="I1449" s="8">
        <f>ROUND('Criaturas - Base de Dados'!K243*'Sistema de Raridade e Evolução'!E3,0)</f>
        <v>38</v>
      </c>
      <c r="J1449" s="8">
        <f>'Sistema de Raridade e Evolução'!D3</f>
        <v>6</v>
      </c>
      <c r="K1449" s="8" t="s">
        <v>9</v>
      </c>
      <c r="L1449" s="9">
        <f t="shared" si="22"/>
        <v>28571.43</v>
      </c>
    </row>
    <row r="1450" spans="1:12" ht="14.25" hidden="1" customHeight="1" x14ac:dyDescent="0.3">
      <c r="A1450" s="8">
        <v>1449</v>
      </c>
      <c r="B1450" s="8" t="str">
        <f>'Criaturas - Base de Dados'!B243</f>
        <v>Chama Vulcânica</v>
      </c>
      <c r="C1450" s="8" t="str">
        <f>'Criaturas - Base de Dados'!C243</f>
        <v>Lava</v>
      </c>
      <c r="D1450" s="8" t="str">
        <f>'Criaturas - Base de Dados'!D243</f>
        <v>Demônio do Vulcão</v>
      </c>
      <c r="E1450" s="8" t="str">
        <f>'Sistema de Raridade e Evolução'!B4</f>
        <v>Prata</v>
      </c>
      <c r="F1450" s="9">
        <f>ROUND(('Criaturas - Base de Dados'!H243*'Sistema de Raridade e Evolução'!E4)*1000,2)</f>
        <v>72000</v>
      </c>
      <c r="G1450" s="8">
        <f>ROUND('Criaturas - Base de Dados'!I243*'Sistema de Raridade e Evolução'!E4,0)</f>
        <v>42</v>
      </c>
      <c r="H1450" s="8">
        <f>ROUND('Criaturas - Base de Dados'!J243*'Sistema de Raridade e Evolução'!E4,0)</f>
        <v>36</v>
      </c>
      <c r="I1450" s="8">
        <f>ROUND('Criaturas - Base de Dados'!K243*'Sistema de Raridade e Evolução'!E4,0)</f>
        <v>228</v>
      </c>
      <c r="J1450" s="8">
        <f>'Sistema de Raridade e Evolução'!D4</f>
        <v>16</v>
      </c>
      <c r="K1450" s="8" t="s">
        <v>10</v>
      </c>
      <c r="L1450" s="9">
        <f t="shared" si="22"/>
        <v>171428.57</v>
      </c>
    </row>
    <row r="1451" spans="1:12" ht="14.25" hidden="1" customHeight="1" x14ac:dyDescent="0.3">
      <c r="A1451" s="8">
        <v>1450</v>
      </c>
      <c r="B1451" s="8" t="str">
        <f>'Criaturas - Base de Dados'!B243</f>
        <v>Chama Vulcânica</v>
      </c>
      <c r="C1451" s="8" t="str">
        <f>'Criaturas - Base de Dados'!C243</f>
        <v>Lava</v>
      </c>
      <c r="D1451" s="8" t="str">
        <f>'Criaturas - Base de Dados'!D243</f>
        <v>Demônio do Vulcão</v>
      </c>
      <c r="E1451" s="8" t="str">
        <f>'Sistema de Raridade e Evolução'!B5</f>
        <v>Ouro</v>
      </c>
      <c r="F1451" s="9">
        <f>ROUND(('Criaturas - Base de Dados'!H243*'Sistema de Raridade e Evolução'!E5)*1000,2)</f>
        <v>216000</v>
      </c>
      <c r="G1451" s="8">
        <f>ROUND('Criaturas - Base de Dados'!I243*'Sistema de Raridade e Evolução'!E5,0)</f>
        <v>126</v>
      </c>
      <c r="H1451" s="8">
        <f>ROUND('Criaturas - Base de Dados'!J243*'Sistema de Raridade e Evolução'!E5,0)</f>
        <v>108</v>
      </c>
      <c r="I1451" s="8">
        <f>ROUND('Criaturas - Base de Dados'!K243*'Sistema de Raridade e Evolução'!E5,0)</f>
        <v>684</v>
      </c>
      <c r="J1451" s="8">
        <f>'Sistema de Raridade e Evolução'!D5</f>
        <v>31</v>
      </c>
      <c r="K1451" s="8" t="s">
        <v>11</v>
      </c>
      <c r="L1451" s="9">
        <f t="shared" si="22"/>
        <v>514285.71</v>
      </c>
    </row>
    <row r="1452" spans="1:12" ht="14.25" hidden="1" customHeight="1" x14ac:dyDescent="0.3">
      <c r="A1452" s="8">
        <v>1451</v>
      </c>
      <c r="B1452" s="8" t="str">
        <f>'Criaturas - Base de Dados'!B243</f>
        <v>Chama Vulcânica</v>
      </c>
      <c r="C1452" s="8" t="str">
        <f>'Criaturas - Base de Dados'!C243</f>
        <v>Lava</v>
      </c>
      <c r="D1452" s="8" t="str">
        <f>'Criaturas - Base de Dados'!D243</f>
        <v>Demônio do Vulcão</v>
      </c>
      <c r="E1452" s="8" t="str">
        <f>'Sistema de Raridade e Evolução'!B6</f>
        <v>Platina</v>
      </c>
      <c r="F1452" s="9">
        <f>ROUND(('Criaturas - Base de Dados'!H243*'Sistema de Raridade e Evolução'!E6)*1000,2)</f>
        <v>600000</v>
      </c>
      <c r="G1452" s="8">
        <f>ROUND('Criaturas - Base de Dados'!I243*'Sistema de Raridade e Evolução'!E6,0)</f>
        <v>350</v>
      </c>
      <c r="H1452" s="8">
        <f>ROUND('Criaturas - Base de Dados'!J243*'Sistema de Raridade e Evolução'!E6,0)</f>
        <v>300</v>
      </c>
      <c r="I1452" s="8">
        <f>ROUND('Criaturas - Base de Dados'!K243*'Sistema de Raridade e Evolução'!E6,0)</f>
        <v>1900</v>
      </c>
      <c r="J1452" s="8">
        <f>'Sistema de Raridade e Evolução'!D6</f>
        <v>56</v>
      </c>
      <c r="K1452" s="8" t="s">
        <v>12</v>
      </c>
      <c r="L1452" s="9">
        <f t="shared" si="22"/>
        <v>1428571.43</v>
      </c>
    </row>
    <row r="1453" spans="1:12" ht="14.25" hidden="1" customHeight="1" x14ac:dyDescent="0.3">
      <c r="A1453" s="8">
        <v>1452</v>
      </c>
      <c r="B1453" s="8" t="str">
        <f>'Criaturas - Base de Dados'!B243</f>
        <v>Chama Vulcânica</v>
      </c>
      <c r="C1453" s="8" t="str">
        <f>'Criaturas - Base de Dados'!C243</f>
        <v>Lava</v>
      </c>
      <c r="D1453" s="8" t="str">
        <f>'Criaturas - Base de Dados'!D243</f>
        <v>Demônio do Vulcão</v>
      </c>
      <c r="E1453" s="8" t="str">
        <f>'Sistema de Raridade e Evolução'!B7</f>
        <v>Lendário</v>
      </c>
      <c r="F1453" s="9">
        <f>ROUND(('Criaturas - Base de Dados'!H243*'Sistema de Raridade e Evolução'!E7)*1000,2)</f>
        <v>1800000</v>
      </c>
      <c r="G1453" s="8">
        <f>ROUND('Criaturas - Base de Dados'!I243*'Sistema de Raridade e Evolução'!E7,0)</f>
        <v>1050</v>
      </c>
      <c r="H1453" s="8">
        <f>ROUND('Criaturas - Base de Dados'!J243*'Sistema de Raridade e Evolução'!E7,0)</f>
        <v>900</v>
      </c>
      <c r="I1453" s="8">
        <f>ROUND('Criaturas - Base de Dados'!K243*'Sistema de Raridade e Evolução'!E7,0)</f>
        <v>5700</v>
      </c>
      <c r="J1453" s="8">
        <f>'Sistema de Raridade e Evolução'!D7</f>
        <v>91</v>
      </c>
      <c r="K1453" s="8" t="s">
        <v>925</v>
      </c>
      <c r="L1453" s="9">
        <f t="shared" si="22"/>
        <v>4285714.29</v>
      </c>
    </row>
    <row r="1454" spans="1:12" ht="14.25" customHeight="1" x14ac:dyDescent="0.3">
      <c r="A1454" s="8">
        <v>1453</v>
      </c>
      <c r="B1454" s="8" t="str">
        <f>'Criaturas - Base de Dados'!B244</f>
        <v>Chama Vulcânica</v>
      </c>
      <c r="C1454" s="8" t="str">
        <f>'Criaturas - Base de Dados'!C244</f>
        <v>Lava</v>
      </c>
      <c r="D1454" s="8" t="str">
        <f>'Criaturas - Base de Dados'!D244</f>
        <v>Golem de Magma</v>
      </c>
      <c r="E1454" s="8" t="str">
        <f>'Sistema de Raridade e Evolução'!B2</f>
        <v>Default</v>
      </c>
      <c r="F1454" s="9" t="e">
        <f>ROUND(('Criaturas - Base de Dados'!H244*'Sistema de Raridade e Evolução'!E2)*1000,2)</f>
        <v>#VALUE!</v>
      </c>
      <c r="G1454" s="8" t="e">
        <f>ROUND('Criaturas - Base de Dados'!I244*'Sistema de Raridade e Evolução'!E2,0)</f>
        <v>#VALUE!</v>
      </c>
      <c r="H1454" s="8" t="e">
        <f>ROUND('Criaturas - Base de Dados'!J244*'Sistema de Raridade e Evolução'!E2,0)</f>
        <v>#VALUE!</v>
      </c>
      <c r="I1454" s="8" t="e">
        <f>ROUND('Criaturas - Base de Dados'!K244*'Sistema de Raridade e Evolução'!E2,0)</f>
        <v>#VALUE!</v>
      </c>
      <c r="J1454" s="8">
        <f>'Sistema de Raridade e Evolução'!D2</f>
        <v>1</v>
      </c>
      <c r="K1454" s="8" t="s">
        <v>8</v>
      </c>
      <c r="L1454" s="9" t="e">
        <f t="shared" si="22"/>
        <v>#VALUE!</v>
      </c>
    </row>
    <row r="1455" spans="1:12" ht="14.25" hidden="1" customHeight="1" x14ac:dyDescent="0.3">
      <c r="A1455" s="8">
        <v>1454</v>
      </c>
      <c r="B1455" s="8" t="str">
        <f>'Criaturas - Base de Dados'!B244</f>
        <v>Chama Vulcânica</v>
      </c>
      <c r="C1455" s="8" t="str">
        <f>'Criaturas - Base de Dados'!C244</f>
        <v>Lava</v>
      </c>
      <c r="D1455" s="8" t="str">
        <f>'Criaturas - Base de Dados'!D244</f>
        <v>Golem de Magma</v>
      </c>
      <c r="E1455" s="8" t="str">
        <f>'Sistema de Raridade e Evolução'!B3</f>
        <v>Bronze</v>
      </c>
      <c r="F1455" s="9">
        <f>ROUND(('Criaturas - Base de Dados'!H244*'Sistema de Raridade e Evolução'!E3)*1000,2)</f>
        <v>14000</v>
      </c>
      <c r="G1455" s="8">
        <f>ROUND('Criaturas - Base de Dados'!I244*'Sistema de Raridade e Evolução'!E3,0)</f>
        <v>8</v>
      </c>
      <c r="H1455" s="8">
        <f>ROUND('Criaturas - Base de Dados'!J244*'Sistema de Raridade e Evolução'!E3,0)</f>
        <v>7</v>
      </c>
      <c r="I1455" s="8">
        <f>ROUND('Criaturas - Base de Dados'!K244*'Sistema de Raridade e Evolução'!E3,0)</f>
        <v>45</v>
      </c>
      <c r="J1455" s="8">
        <f>'Sistema de Raridade e Evolução'!D3</f>
        <v>6</v>
      </c>
      <c r="K1455" s="8" t="s">
        <v>9</v>
      </c>
      <c r="L1455" s="9">
        <f t="shared" si="22"/>
        <v>33333.33</v>
      </c>
    </row>
    <row r="1456" spans="1:12" ht="14.25" hidden="1" customHeight="1" x14ac:dyDescent="0.3">
      <c r="A1456" s="8">
        <v>1455</v>
      </c>
      <c r="B1456" s="8" t="str">
        <f>'Criaturas - Base de Dados'!B244</f>
        <v>Chama Vulcânica</v>
      </c>
      <c r="C1456" s="8" t="str">
        <f>'Criaturas - Base de Dados'!C244</f>
        <v>Lava</v>
      </c>
      <c r="D1456" s="8" t="str">
        <f>'Criaturas - Base de Dados'!D244</f>
        <v>Golem de Magma</v>
      </c>
      <c r="E1456" s="8" t="str">
        <f>'Sistema de Raridade e Evolução'!B4</f>
        <v>Prata</v>
      </c>
      <c r="F1456" s="9">
        <f>ROUND(('Criaturas - Base de Dados'!H244*'Sistema de Raridade e Evolução'!E4)*1000,2)</f>
        <v>84000</v>
      </c>
      <c r="G1456" s="8">
        <f>ROUND('Criaturas - Base de Dados'!I244*'Sistema de Raridade e Evolução'!E4,0)</f>
        <v>48</v>
      </c>
      <c r="H1456" s="8">
        <f>ROUND('Criaturas - Base de Dados'!J244*'Sistema de Raridade e Evolução'!E4,0)</f>
        <v>42</v>
      </c>
      <c r="I1456" s="8">
        <f>ROUND('Criaturas - Base de Dados'!K244*'Sistema de Raridade e Evolução'!E4,0)</f>
        <v>270</v>
      </c>
      <c r="J1456" s="8">
        <f>'Sistema de Raridade e Evolução'!D4</f>
        <v>16</v>
      </c>
      <c r="K1456" s="8" t="s">
        <v>10</v>
      </c>
      <c r="L1456" s="9">
        <f t="shared" si="22"/>
        <v>200000</v>
      </c>
    </row>
    <row r="1457" spans="1:12" ht="14.25" hidden="1" customHeight="1" x14ac:dyDescent="0.3">
      <c r="A1457" s="8">
        <v>1456</v>
      </c>
      <c r="B1457" s="8" t="str">
        <f>'Criaturas - Base de Dados'!B244</f>
        <v>Chama Vulcânica</v>
      </c>
      <c r="C1457" s="8" t="str">
        <f>'Criaturas - Base de Dados'!C244</f>
        <v>Lava</v>
      </c>
      <c r="D1457" s="8" t="str">
        <f>'Criaturas - Base de Dados'!D244</f>
        <v>Golem de Magma</v>
      </c>
      <c r="E1457" s="8" t="str">
        <f>'Sistema de Raridade e Evolução'!B5</f>
        <v>Ouro</v>
      </c>
      <c r="F1457" s="9">
        <f>ROUND(('Criaturas - Base de Dados'!H244*'Sistema de Raridade e Evolução'!E5)*1000,2)</f>
        <v>252000</v>
      </c>
      <c r="G1457" s="8">
        <f>ROUND('Criaturas - Base de Dados'!I244*'Sistema de Raridade e Evolução'!E5,0)</f>
        <v>144</v>
      </c>
      <c r="H1457" s="8">
        <f>ROUND('Criaturas - Base de Dados'!J244*'Sistema de Raridade e Evolução'!E5,0)</f>
        <v>126</v>
      </c>
      <c r="I1457" s="8">
        <f>ROUND('Criaturas - Base de Dados'!K244*'Sistema de Raridade e Evolução'!E5,0)</f>
        <v>810</v>
      </c>
      <c r="J1457" s="8">
        <f>'Sistema de Raridade e Evolução'!D5</f>
        <v>31</v>
      </c>
      <c r="K1457" s="8" t="s">
        <v>11</v>
      </c>
      <c r="L1457" s="9">
        <f t="shared" si="22"/>
        <v>600000</v>
      </c>
    </row>
    <row r="1458" spans="1:12" ht="14.25" hidden="1" customHeight="1" x14ac:dyDescent="0.3">
      <c r="A1458" s="8">
        <v>1457</v>
      </c>
      <c r="B1458" s="8" t="str">
        <f>'Criaturas - Base de Dados'!B244</f>
        <v>Chama Vulcânica</v>
      </c>
      <c r="C1458" s="8" t="str">
        <f>'Criaturas - Base de Dados'!C244</f>
        <v>Lava</v>
      </c>
      <c r="D1458" s="8" t="str">
        <f>'Criaturas - Base de Dados'!D244</f>
        <v>Golem de Magma</v>
      </c>
      <c r="E1458" s="8" t="str">
        <f>'Sistema de Raridade e Evolução'!B6</f>
        <v>Platina</v>
      </c>
      <c r="F1458" s="9">
        <f>ROUND(('Criaturas - Base de Dados'!H244*'Sistema de Raridade e Evolução'!E6)*1000,2)</f>
        <v>700000</v>
      </c>
      <c r="G1458" s="8">
        <f>ROUND('Criaturas - Base de Dados'!I244*'Sistema de Raridade e Evolução'!E6,0)</f>
        <v>400</v>
      </c>
      <c r="H1458" s="8">
        <f>ROUND('Criaturas - Base de Dados'!J244*'Sistema de Raridade e Evolução'!E6,0)</f>
        <v>350</v>
      </c>
      <c r="I1458" s="8">
        <f>ROUND('Criaturas - Base de Dados'!K244*'Sistema de Raridade e Evolução'!E6,0)</f>
        <v>2250</v>
      </c>
      <c r="J1458" s="8">
        <f>'Sistema de Raridade e Evolução'!D6</f>
        <v>56</v>
      </c>
      <c r="K1458" s="8" t="s">
        <v>12</v>
      </c>
      <c r="L1458" s="9">
        <f t="shared" si="22"/>
        <v>1666666.67</v>
      </c>
    </row>
    <row r="1459" spans="1:12" ht="14.25" hidden="1" customHeight="1" x14ac:dyDescent="0.3">
      <c r="A1459" s="8">
        <v>1458</v>
      </c>
      <c r="B1459" s="8" t="str">
        <f>'Criaturas - Base de Dados'!B244</f>
        <v>Chama Vulcânica</v>
      </c>
      <c r="C1459" s="8" t="str">
        <f>'Criaturas - Base de Dados'!C244</f>
        <v>Lava</v>
      </c>
      <c r="D1459" s="8" t="str">
        <f>'Criaturas - Base de Dados'!D244</f>
        <v>Golem de Magma</v>
      </c>
      <c r="E1459" s="8" t="str">
        <f>'Sistema de Raridade e Evolução'!B7</f>
        <v>Lendário</v>
      </c>
      <c r="F1459" s="9">
        <f>ROUND(('Criaturas - Base de Dados'!H244*'Sistema de Raridade e Evolução'!E7)*1000,2)</f>
        <v>2100000</v>
      </c>
      <c r="G1459" s="8">
        <f>ROUND('Criaturas - Base de Dados'!I244*'Sistema de Raridade e Evolução'!E7,0)</f>
        <v>1200</v>
      </c>
      <c r="H1459" s="8">
        <f>ROUND('Criaturas - Base de Dados'!J244*'Sistema de Raridade e Evolução'!E7,0)</f>
        <v>1050</v>
      </c>
      <c r="I1459" s="8">
        <f>ROUND('Criaturas - Base de Dados'!K244*'Sistema de Raridade e Evolução'!E7,0)</f>
        <v>6750</v>
      </c>
      <c r="J1459" s="8">
        <f>'Sistema de Raridade e Evolução'!D7</f>
        <v>91</v>
      </c>
      <c r="K1459" s="8" t="s">
        <v>925</v>
      </c>
      <c r="L1459" s="9">
        <f t="shared" si="22"/>
        <v>5000000</v>
      </c>
    </row>
    <row r="1460" spans="1:12" ht="14.25" customHeight="1" x14ac:dyDescent="0.3">
      <c r="A1460" s="8">
        <v>1459</v>
      </c>
      <c r="B1460" s="8" t="str">
        <f>'Criaturas - Base de Dados'!B245</f>
        <v>Chama Vulcânica</v>
      </c>
      <c r="C1460" s="8" t="str">
        <f>'Criaturas - Base de Dados'!C245</f>
        <v>Lava</v>
      </c>
      <c r="D1460" s="8" t="str">
        <f>'Criaturas - Base de Dados'!D245</f>
        <v>Dragão de Obsidiana</v>
      </c>
      <c r="E1460" s="8" t="str">
        <f>'Sistema de Raridade e Evolução'!B2</f>
        <v>Default</v>
      </c>
      <c r="F1460" s="9" t="e">
        <f>ROUND(('Criaturas - Base de Dados'!H245*'Sistema de Raridade e Evolução'!E2)*1000,2)</f>
        <v>#VALUE!</v>
      </c>
      <c r="G1460" s="8" t="e">
        <f>ROUND('Criaturas - Base de Dados'!I245*'Sistema de Raridade e Evolução'!E2,0)</f>
        <v>#VALUE!</v>
      </c>
      <c r="H1460" s="8" t="e">
        <f>ROUND('Criaturas - Base de Dados'!J245*'Sistema de Raridade e Evolução'!E2,0)</f>
        <v>#VALUE!</v>
      </c>
      <c r="I1460" s="8" t="e">
        <f>ROUND('Criaturas - Base de Dados'!K245*'Sistema de Raridade e Evolução'!E2,0)</f>
        <v>#VALUE!</v>
      </c>
      <c r="J1460" s="8">
        <f>'Sistema de Raridade e Evolução'!D2</f>
        <v>1</v>
      </c>
      <c r="K1460" s="8" t="s">
        <v>8</v>
      </c>
      <c r="L1460" s="9" t="e">
        <f t="shared" si="22"/>
        <v>#VALUE!</v>
      </c>
    </row>
    <row r="1461" spans="1:12" ht="14.25" hidden="1" customHeight="1" x14ac:dyDescent="0.3">
      <c r="A1461" s="8">
        <v>1460</v>
      </c>
      <c r="B1461" s="8" t="str">
        <f>'Criaturas - Base de Dados'!B245</f>
        <v>Chama Vulcânica</v>
      </c>
      <c r="C1461" s="8" t="str">
        <f>'Criaturas - Base de Dados'!C245</f>
        <v>Lava</v>
      </c>
      <c r="D1461" s="8" t="str">
        <f>'Criaturas - Base de Dados'!D245</f>
        <v>Dragão de Obsidiana</v>
      </c>
      <c r="E1461" s="8" t="str">
        <f>'Sistema de Raridade e Evolução'!B3</f>
        <v>Bronze</v>
      </c>
      <c r="F1461" s="9">
        <f>ROUND(('Criaturas - Base de Dados'!H245*'Sistema de Raridade e Evolução'!E3)*1000,2)</f>
        <v>16000</v>
      </c>
      <c r="G1461" s="8">
        <f>ROUND('Criaturas - Base de Dados'!I245*'Sistema de Raridade e Evolução'!E3,0)</f>
        <v>10</v>
      </c>
      <c r="H1461" s="8">
        <f>ROUND('Criaturas - Base de Dados'!J245*'Sistema de Raridade e Evolução'!E3,0)</f>
        <v>8</v>
      </c>
      <c r="I1461" s="8">
        <f>ROUND('Criaturas - Base de Dados'!K245*'Sistema de Raridade e Evolução'!E3,0)</f>
        <v>51</v>
      </c>
      <c r="J1461" s="8">
        <f>'Sistema de Raridade e Evolução'!D3</f>
        <v>6</v>
      </c>
      <c r="K1461" s="8" t="s">
        <v>9</v>
      </c>
      <c r="L1461" s="9">
        <f t="shared" si="22"/>
        <v>38095.24</v>
      </c>
    </row>
    <row r="1462" spans="1:12" ht="14.25" hidden="1" customHeight="1" x14ac:dyDescent="0.3">
      <c r="A1462" s="8">
        <v>1461</v>
      </c>
      <c r="B1462" s="8" t="str">
        <f>'Criaturas - Base de Dados'!B245</f>
        <v>Chama Vulcânica</v>
      </c>
      <c r="C1462" s="8" t="str">
        <f>'Criaturas - Base de Dados'!C245</f>
        <v>Lava</v>
      </c>
      <c r="D1462" s="8" t="str">
        <f>'Criaturas - Base de Dados'!D245</f>
        <v>Dragão de Obsidiana</v>
      </c>
      <c r="E1462" s="8" t="str">
        <f>'Sistema de Raridade e Evolução'!B4</f>
        <v>Prata</v>
      </c>
      <c r="F1462" s="9">
        <f>ROUND(('Criaturas - Base de Dados'!H245*'Sistema de Raridade e Evolução'!E4)*1000,2)</f>
        <v>96000</v>
      </c>
      <c r="G1462" s="8">
        <f>ROUND('Criaturas - Base de Dados'!I245*'Sistema de Raridade e Evolução'!E4,0)</f>
        <v>60</v>
      </c>
      <c r="H1462" s="8">
        <f>ROUND('Criaturas - Base de Dados'!J245*'Sistema de Raridade e Evolução'!E4,0)</f>
        <v>48</v>
      </c>
      <c r="I1462" s="8">
        <f>ROUND('Criaturas - Base de Dados'!K245*'Sistema de Raridade e Evolução'!E4,0)</f>
        <v>306</v>
      </c>
      <c r="J1462" s="8">
        <f>'Sistema de Raridade e Evolução'!D4</f>
        <v>16</v>
      </c>
      <c r="K1462" s="8" t="s">
        <v>10</v>
      </c>
      <c r="L1462" s="9">
        <f t="shared" si="22"/>
        <v>228571.43</v>
      </c>
    </row>
    <row r="1463" spans="1:12" ht="14.25" hidden="1" customHeight="1" x14ac:dyDescent="0.3">
      <c r="A1463" s="8">
        <v>1462</v>
      </c>
      <c r="B1463" s="8" t="str">
        <f>'Criaturas - Base de Dados'!B245</f>
        <v>Chama Vulcânica</v>
      </c>
      <c r="C1463" s="8" t="str">
        <f>'Criaturas - Base de Dados'!C245</f>
        <v>Lava</v>
      </c>
      <c r="D1463" s="8" t="str">
        <f>'Criaturas - Base de Dados'!D245</f>
        <v>Dragão de Obsidiana</v>
      </c>
      <c r="E1463" s="8" t="str">
        <f>'Sistema de Raridade e Evolução'!B5</f>
        <v>Ouro</v>
      </c>
      <c r="F1463" s="9">
        <f>ROUND(('Criaturas - Base de Dados'!H245*'Sistema de Raridade e Evolução'!E5)*1000,2)</f>
        <v>288000</v>
      </c>
      <c r="G1463" s="8">
        <f>ROUND('Criaturas - Base de Dados'!I245*'Sistema de Raridade e Evolução'!E5,0)</f>
        <v>180</v>
      </c>
      <c r="H1463" s="8">
        <f>ROUND('Criaturas - Base de Dados'!J245*'Sistema de Raridade e Evolução'!E5,0)</f>
        <v>144</v>
      </c>
      <c r="I1463" s="8">
        <f>ROUND('Criaturas - Base de Dados'!K245*'Sistema de Raridade e Evolução'!E5,0)</f>
        <v>918</v>
      </c>
      <c r="J1463" s="8">
        <f>'Sistema de Raridade e Evolução'!D5</f>
        <v>31</v>
      </c>
      <c r="K1463" s="8" t="s">
        <v>11</v>
      </c>
      <c r="L1463" s="9">
        <f t="shared" si="22"/>
        <v>685714.29</v>
      </c>
    </row>
    <row r="1464" spans="1:12" ht="14.25" hidden="1" customHeight="1" x14ac:dyDescent="0.3">
      <c r="A1464" s="8">
        <v>1463</v>
      </c>
      <c r="B1464" s="8" t="str">
        <f>'Criaturas - Base de Dados'!B245</f>
        <v>Chama Vulcânica</v>
      </c>
      <c r="C1464" s="8" t="str">
        <f>'Criaturas - Base de Dados'!C245</f>
        <v>Lava</v>
      </c>
      <c r="D1464" s="8" t="str">
        <f>'Criaturas - Base de Dados'!D245</f>
        <v>Dragão de Obsidiana</v>
      </c>
      <c r="E1464" s="8" t="str">
        <f>'Sistema de Raridade e Evolução'!B6</f>
        <v>Platina</v>
      </c>
      <c r="F1464" s="9">
        <f>ROUND(('Criaturas - Base de Dados'!H245*'Sistema de Raridade e Evolução'!E6)*1000,2)</f>
        <v>800000</v>
      </c>
      <c r="G1464" s="8">
        <f>ROUND('Criaturas - Base de Dados'!I245*'Sistema de Raridade e Evolução'!E6,0)</f>
        <v>500</v>
      </c>
      <c r="H1464" s="8">
        <f>ROUND('Criaturas - Base de Dados'!J245*'Sistema de Raridade e Evolução'!E6,0)</f>
        <v>400</v>
      </c>
      <c r="I1464" s="8">
        <f>ROUND('Criaturas - Base de Dados'!K245*'Sistema de Raridade e Evolução'!E6,0)</f>
        <v>2550</v>
      </c>
      <c r="J1464" s="8">
        <f>'Sistema de Raridade e Evolução'!D6</f>
        <v>56</v>
      </c>
      <c r="K1464" s="8" t="s">
        <v>12</v>
      </c>
      <c r="L1464" s="9">
        <f t="shared" si="22"/>
        <v>1904761.9</v>
      </c>
    </row>
    <row r="1465" spans="1:12" ht="14.25" hidden="1" customHeight="1" x14ac:dyDescent="0.3">
      <c r="A1465" s="8">
        <v>1464</v>
      </c>
      <c r="B1465" s="8" t="str">
        <f>'Criaturas - Base de Dados'!B245</f>
        <v>Chama Vulcânica</v>
      </c>
      <c r="C1465" s="8" t="str">
        <f>'Criaturas - Base de Dados'!C245</f>
        <v>Lava</v>
      </c>
      <c r="D1465" s="8" t="str">
        <f>'Criaturas - Base de Dados'!D245</f>
        <v>Dragão de Obsidiana</v>
      </c>
      <c r="E1465" s="8" t="str">
        <f>'Sistema de Raridade e Evolução'!B7</f>
        <v>Lendário</v>
      </c>
      <c r="F1465" s="9">
        <f>ROUND(('Criaturas - Base de Dados'!H245*'Sistema de Raridade e Evolução'!E7)*1000,2)</f>
        <v>2400000</v>
      </c>
      <c r="G1465" s="8">
        <f>ROUND('Criaturas - Base de Dados'!I245*'Sistema de Raridade e Evolução'!E7,0)</f>
        <v>1500</v>
      </c>
      <c r="H1465" s="8">
        <f>ROUND('Criaturas - Base de Dados'!J245*'Sistema de Raridade e Evolução'!E7,0)</f>
        <v>1200</v>
      </c>
      <c r="I1465" s="8">
        <f>ROUND('Criaturas - Base de Dados'!K245*'Sistema de Raridade e Evolução'!E7,0)</f>
        <v>7650</v>
      </c>
      <c r="J1465" s="8">
        <f>'Sistema de Raridade e Evolução'!D7</f>
        <v>91</v>
      </c>
      <c r="K1465" s="8" t="s">
        <v>925</v>
      </c>
      <c r="L1465" s="9">
        <f t="shared" si="22"/>
        <v>5714285.71</v>
      </c>
    </row>
    <row r="1466" spans="1:12" ht="14.25" customHeight="1" x14ac:dyDescent="0.3">
      <c r="A1466" s="8">
        <v>1465</v>
      </c>
      <c r="B1466" s="8" t="str">
        <f>'Criaturas - Base de Dados'!B246</f>
        <v>Chama Vulcânica</v>
      </c>
      <c r="C1466" s="8" t="str">
        <f>'Criaturas - Base de Dados'!C246</f>
        <v>Lava</v>
      </c>
      <c r="D1466" s="8" t="str">
        <f>'Criaturas - Base de Dados'!D246</f>
        <v>Fênix das Cinzas</v>
      </c>
      <c r="E1466" s="8" t="str">
        <f>'Sistema de Raridade e Evolução'!B2</f>
        <v>Default</v>
      </c>
      <c r="F1466" s="9" t="e">
        <f>ROUND(('Criaturas - Base de Dados'!H246*'Sistema de Raridade e Evolução'!E2)*1000,2)</f>
        <v>#VALUE!</v>
      </c>
      <c r="G1466" s="8" t="e">
        <f>ROUND('Criaturas - Base de Dados'!I246*'Sistema de Raridade e Evolução'!E2,0)</f>
        <v>#VALUE!</v>
      </c>
      <c r="H1466" s="8" t="e">
        <f>ROUND('Criaturas - Base de Dados'!J246*'Sistema de Raridade e Evolução'!E2,0)</f>
        <v>#VALUE!</v>
      </c>
      <c r="I1466" s="8" t="e">
        <f>ROUND('Criaturas - Base de Dados'!K246*'Sistema de Raridade e Evolução'!E2,0)</f>
        <v>#VALUE!</v>
      </c>
      <c r="J1466" s="8">
        <f>'Sistema de Raridade e Evolução'!D2</f>
        <v>1</v>
      </c>
      <c r="K1466" s="8" t="s">
        <v>8</v>
      </c>
      <c r="L1466" s="9" t="e">
        <f t="shared" si="22"/>
        <v>#VALUE!</v>
      </c>
    </row>
    <row r="1467" spans="1:12" ht="14.25" hidden="1" customHeight="1" x14ac:dyDescent="0.3">
      <c r="A1467" s="8">
        <v>1466</v>
      </c>
      <c r="B1467" s="8" t="str">
        <f>'Criaturas - Base de Dados'!B246</f>
        <v>Chama Vulcânica</v>
      </c>
      <c r="C1467" s="8" t="str">
        <f>'Criaturas - Base de Dados'!C246</f>
        <v>Lava</v>
      </c>
      <c r="D1467" s="8" t="str">
        <f>'Criaturas - Base de Dados'!D246</f>
        <v>Fênix das Cinzas</v>
      </c>
      <c r="E1467" s="8" t="str">
        <f>'Sistema de Raridade e Evolução'!B3</f>
        <v>Bronze</v>
      </c>
      <c r="F1467" s="9">
        <f>ROUND(('Criaturas - Base de Dados'!H246*'Sistema de Raridade e Evolução'!E3)*1000,2)</f>
        <v>16000</v>
      </c>
      <c r="G1467" s="8">
        <f>ROUND('Criaturas - Base de Dados'!I246*'Sistema de Raridade e Evolução'!E3,0)</f>
        <v>10</v>
      </c>
      <c r="H1467" s="8">
        <f>ROUND('Criaturas - Base de Dados'!J246*'Sistema de Raridade e Evolução'!E3,0)</f>
        <v>8</v>
      </c>
      <c r="I1467" s="8">
        <f>ROUND('Criaturas - Base de Dados'!K246*'Sistema de Raridade e Evolução'!E3,0)</f>
        <v>51</v>
      </c>
      <c r="J1467" s="8">
        <f>'Sistema de Raridade e Evolução'!D3</f>
        <v>6</v>
      </c>
      <c r="K1467" s="8" t="s">
        <v>9</v>
      </c>
      <c r="L1467" s="9">
        <f t="shared" si="22"/>
        <v>38095.24</v>
      </c>
    </row>
    <row r="1468" spans="1:12" ht="14.25" hidden="1" customHeight="1" x14ac:dyDescent="0.3">
      <c r="A1468" s="8">
        <v>1467</v>
      </c>
      <c r="B1468" s="8" t="str">
        <f>'Criaturas - Base de Dados'!B246</f>
        <v>Chama Vulcânica</v>
      </c>
      <c r="C1468" s="8" t="str">
        <f>'Criaturas - Base de Dados'!C246</f>
        <v>Lava</v>
      </c>
      <c r="D1468" s="8" t="str">
        <f>'Criaturas - Base de Dados'!D246</f>
        <v>Fênix das Cinzas</v>
      </c>
      <c r="E1468" s="8" t="str">
        <f>'Sistema de Raridade e Evolução'!B4</f>
        <v>Prata</v>
      </c>
      <c r="F1468" s="9">
        <f>ROUND(('Criaturas - Base de Dados'!H246*'Sistema de Raridade e Evolução'!E4)*1000,2)</f>
        <v>96000</v>
      </c>
      <c r="G1468" s="8">
        <f>ROUND('Criaturas - Base de Dados'!I246*'Sistema de Raridade e Evolução'!E4,0)</f>
        <v>60</v>
      </c>
      <c r="H1468" s="8">
        <f>ROUND('Criaturas - Base de Dados'!J246*'Sistema de Raridade e Evolução'!E4,0)</f>
        <v>48</v>
      </c>
      <c r="I1468" s="8">
        <f>ROUND('Criaturas - Base de Dados'!K246*'Sistema de Raridade e Evolução'!E4,0)</f>
        <v>306</v>
      </c>
      <c r="J1468" s="8">
        <f>'Sistema de Raridade e Evolução'!D4</f>
        <v>16</v>
      </c>
      <c r="K1468" s="8" t="s">
        <v>10</v>
      </c>
      <c r="L1468" s="9">
        <f t="shared" si="22"/>
        <v>228571.43</v>
      </c>
    </row>
    <row r="1469" spans="1:12" ht="14.25" hidden="1" customHeight="1" x14ac:dyDescent="0.3">
      <c r="A1469" s="8">
        <v>1468</v>
      </c>
      <c r="B1469" s="8" t="str">
        <f>'Criaturas - Base de Dados'!B246</f>
        <v>Chama Vulcânica</v>
      </c>
      <c r="C1469" s="8" t="str">
        <f>'Criaturas - Base de Dados'!C246</f>
        <v>Lava</v>
      </c>
      <c r="D1469" s="8" t="str">
        <f>'Criaturas - Base de Dados'!D246</f>
        <v>Fênix das Cinzas</v>
      </c>
      <c r="E1469" s="8" t="str">
        <f>'Sistema de Raridade e Evolução'!B5</f>
        <v>Ouro</v>
      </c>
      <c r="F1469" s="9">
        <f>ROUND(('Criaturas - Base de Dados'!H246*'Sistema de Raridade e Evolução'!E5)*1000,2)</f>
        <v>288000</v>
      </c>
      <c r="G1469" s="8">
        <f>ROUND('Criaturas - Base de Dados'!I246*'Sistema de Raridade e Evolução'!E5,0)</f>
        <v>180</v>
      </c>
      <c r="H1469" s="8">
        <f>ROUND('Criaturas - Base de Dados'!J246*'Sistema de Raridade e Evolução'!E5,0)</f>
        <v>144</v>
      </c>
      <c r="I1469" s="8">
        <f>ROUND('Criaturas - Base de Dados'!K246*'Sistema de Raridade e Evolução'!E5,0)</f>
        <v>918</v>
      </c>
      <c r="J1469" s="8">
        <f>'Sistema de Raridade e Evolução'!D5</f>
        <v>31</v>
      </c>
      <c r="K1469" s="8" t="s">
        <v>11</v>
      </c>
      <c r="L1469" s="9">
        <f t="shared" si="22"/>
        <v>685714.29</v>
      </c>
    </row>
    <row r="1470" spans="1:12" ht="14.25" hidden="1" customHeight="1" x14ac:dyDescent="0.3">
      <c r="A1470" s="8">
        <v>1469</v>
      </c>
      <c r="B1470" s="8" t="str">
        <f>'Criaturas - Base de Dados'!B246</f>
        <v>Chama Vulcânica</v>
      </c>
      <c r="C1470" s="8" t="str">
        <f>'Criaturas - Base de Dados'!C246</f>
        <v>Lava</v>
      </c>
      <c r="D1470" s="8" t="str">
        <f>'Criaturas - Base de Dados'!D246</f>
        <v>Fênix das Cinzas</v>
      </c>
      <c r="E1470" s="8" t="str">
        <f>'Sistema de Raridade e Evolução'!B6</f>
        <v>Platina</v>
      </c>
      <c r="F1470" s="9">
        <f>ROUND(('Criaturas - Base de Dados'!H246*'Sistema de Raridade e Evolução'!E6)*1000,2)</f>
        <v>800000</v>
      </c>
      <c r="G1470" s="8">
        <f>ROUND('Criaturas - Base de Dados'!I246*'Sistema de Raridade e Evolução'!E6,0)</f>
        <v>500</v>
      </c>
      <c r="H1470" s="8">
        <f>ROUND('Criaturas - Base de Dados'!J246*'Sistema de Raridade e Evolução'!E6,0)</f>
        <v>400</v>
      </c>
      <c r="I1470" s="8">
        <f>ROUND('Criaturas - Base de Dados'!K246*'Sistema de Raridade e Evolução'!E6,0)</f>
        <v>2550</v>
      </c>
      <c r="J1470" s="8">
        <f>'Sistema de Raridade e Evolução'!D6</f>
        <v>56</v>
      </c>
      <c r="K1470" s="8" t="s">
        <v>12</v>
      </c>
      <c r="L1470" s="9">
        <f t="shared" si="22"/>
        <v>1904761.9</v>
      </c>
    </row>
    <row r="1471" spans="1:12" ht="14.25" hidden="1" customHeight="1" x14ac:dyDescent="0.3">
      <c r="A1471" s="8">
        <v>1470</v>
      </c>
      <c r="B1471" s="8" t="str">
        <f>'Criaturas - Base de Dados'!B246</f>
        <v>Chama Vulcânica</v>
      </c>
      <c r="C1471" s="8" t="str">
        <f>'Criaturas - Base de Dados'!C246</f>
        <v>Lava</v>
      </c>
      <c r="D1471" s="8" t="str">
        <f>'Criaturas - Base de Dados'!D246</f>
        <v>Fênix das Cinzas</v>
      </c>
      <c r="E1471" s="8" t="str">
        <f>'Sistema de Raridade e Evolução'!B7</f>
        <v>Lendário</v>
      </c>
      <c r="F1471" s="9">
        <f>ROUND(('Criaturas - Base de Dados'!H246*'Sistema de Raridade e Evolução'!E7)*1000,2)</f>
        <v>2400000</v>
      </c>
      <c r="G1471" s="8">
        <f>ROUND('Criaturas - Base de Dados'!I246*'Sistema de Raridade e Evolução'!E7,0)</f>
        <v>1500</v>
      </c>
      <c r="H1471" s="8">
        <f>ROUND('Criaturas - Base de Dados'!J246*'Sistema de Raridade e Evolução'!E7,0)</f>
        <v>1200</v>
      </c>
      <c r="I1471" s="8">
        <f>ROUND('Criaturas - Base de Dados'!K246*'Sistema de Raridade e Evolução'!E7,0)</f>
        <v>7650</v>
      </c>
      <c r="J1471" s="8">
        <f>'Sistema de Raridade e Evolução'!D7</f>
        <v>91</v>
      </c>
      <c r="K1471" s="8" t="s">
        <v>925</v>
      </c>
      <c r="L1471" s="9">
        <f t="shared" si="22"/>
        <v>5714285.71</v>
      </c>
    </row>
    <row r="1472" spans="1:12" ht="14.25" customHeight="1" x14ac:dyDescent="0.3">
      <c r="A1472" s="8">
        <v>1471</v>
      </c>
      <c r="B1472" s="8" t="str">
        <f>'Criaturas - Base de Dados'!B247</f>
        <v>Chama Vulcânica</v>
      </c>
      <c r="C1472" s="8" t="str">
        <f>'Criaturas - Base de Dados'!C247</f>
        <v>Lava</v>
      </c>
      <c r="D1472" s="8" t="str">
        <f>'Criaturas - Base de Dados'!D247</f>
        <v>Basilisco Magmático</v>
      </c>
      <c r="E1472" s="8" t="str">
        <f>'Sistema de Raridade e Evolução'!B2</f>
        <v>Default</v>
      </c>
      <c r="F1472" s="9" t="e">
        <f>ROUND(('Criaturas - Base de Dados'!H247*'Sistema de Raridade e Evolução'!E2)*1000,2)</f>
        <v>#VALUE!</v>
      </c>
      <c r="G1472" s="8" t="e">
        <f>ROUND('Criaturas - Base de Dados'!I247*'Sistema de Raridade e Evolução'!E2,0)</f>
        <v>#VALUE!</v>
      </c>
      <c r="H1472" s="8" t="e">
        <f>ROUND('Criaturas - Base de Dados'!J247*'Sistema de Raridade e Evolução'!E2,0)</f>
        <v>#VALUE!</v>
      </c>
      <c r="I1472" s="8" t="e">
        <f>ROUND('Criaturas - Base de Dados'!K247*'Sistema de Raridade e Evolução'!E2,0)</f>
        <v>#VALUE!</v>
      </c>
      <c r="J1472" s="8">
        <f>'Sistema de Raridade e Evolução'!D2</f>
        <v>1</v>
      </c>
      <c r="K1472" s="8" t="s">
        <v>8</v>
      </c>
      <c r="L1472" s="9" t="e">
        <f t="shared" si="22"/>
        <v>#VALUE!</v>
      </c>
    </row>
    <row r="1473" spans="1:12" ht="14.25" hidden="1" customHeight="1" x14ac:dyDescent="0.3">
      <c r="A1473" s="8">
        <v>1472</v>
      </c>
      <c r="B1473" s="8" t="str">
        <f>'Criaturas - Base de Dados'!B247</f>
        <v>Chama Vulcânica</v>
      </c>
      <c r="C1473" s="8" t="str">
        <f>'Criaturas - Base de Dados'!C247</f>
        <v>Lava</v>
      </c>
      <c r="D1473" s="8" t="str">
        <f>'Criaturas - Base de Dados'!D247</f>
        <v>Basilisco Magmático</v>
      </c>
      <c r="E1473" s="8" t="str">
        <f>'Sistema de Raridade e Evolução'!B3</f>
        <v>Bronze</v>
      </c>
      <c r="F1473" s="9">
        <f>ROUND(('Criaturas - Base de Dados'!H247*'Sistema de Raridade e Evolução'!E3)*1000,2)</f>
        <v>18000</v>
      </c>
      <c r="G1473" s="8">
        <f>ROUND('Criaturas - Base de Dados'!I247*'Sistema de Raridade e Evolução'!E3,0)</f>
        <v>11</v>
      </c>
      <c r="H1473" s="8">
        <f>ROUND('Criaturas - Base de Dados'!J247*'Sistema de Raridade e Evolução'!E3,0)</f>
        <v>9</v>
      </c>
      <c r="I1473" s="8">
        <f>ROUND('Criaturas - Base de Dados'!K247*'Sistema de Raridade e Evolução'!E3,0)</f>
        <v>58</v>
      </c>
      <c r="J1473" s="8">
        <f>'Sistema de Raridade e Evolução'!D3</f>
        <v>6</v>
      </c>
      <c r="K1473" s="8" t="s">
        <v>9</v>
      </c>
      <c r="L1473" s="9">
        <f t="shared" si="22"/>
        <v>42857.14</v>
      </c>
    </row>
    <row r="1474" spans="1:12" ht="14.25" hidden="1" customHeight="1" x14ac:dyDescent="0.3">
      <c r="A1474" s="8">
        <v>1473</v>
      </c>
      <c r="B1474" s="8" t="str">
        <f>'Criaturas - Base de Dados'!B247</f>
        <v>Chama Vulcânica</v>
      </c>
      <c r="C1474" s="8" t="str">
        <f>'Criaturas - Base de Dados'!C247</f>
        <v>Lava</v>
      </c>
      <c r="D1474" s="8" t="str">
        <f>'Criaturas - Base de Dados'!D247</f>
        <v>Basilisco Magmático</v>
      </c>
      <c r="E1474" s="8" t="str">
        <f>'Sistema de Raridade e Evolução'!B4</f>
        <v>Prata</v>
      </c>
      <c r="F1474" s="9">
        <f>ROUND(('Criaturas - Base de Dados'!H247*'Sistema de Raridade e Evolução'!E4)*1000,2)</f>
        <v>108000</v>
      </c>
      <c r="G1474" s="8">
        <f>ROUND('Criaturas - Base de Dados'!I247*'Sistema de Raridade e Evolução'!E4,0)</f>
        <v>66</v>
      </c>
      <c r="H1474" s="8">
        <f>ROUND('Criaturas - Base de Dados'!J247*'Sistema de Raridade e Evolução'!E4,0)</f>
        <v>54</v>
      </c>
      <c r="I1474" s="8">
        <f>ROUND('Criaturas - Base de Dados'!K247*'Sistema de Raridade e Evolução'!E4,0)</f>
        <v>348</v>
      </c>
      <c r="J1474" s="8">
        <f>'Sistema de Raridade e Evolução'!D4</f>
        <v>16</v>
      </c>
      <c r="K1474" s="8" t="s">
        <v>10</v>
      </c>
      <c r="L1474" s="9">
        <f t="shared" ref="L1474:L1537" si="23">ROUND(F1474*(2.5/1.05),2)</f>
        <v>257142.86</v>
      </c>
    </row>
    <row r="1475" spans="1:12" ht="14.25" hidden="1" customHeight="1" x14ac:dyDescent="0.3">
      <c r="A1475" s="8">
        <v>1474</v>
      </c>
      <c r="B1475" s="8" t="str">
        <f>'Criaturas - Base de Dados'!B247</f>
        <v>Chama Vulcânica</v>
      </c>
      <c r="C1475" s="8" t="str">
        <f>'Criaturas - Base de Dados'!C247</f>
        <v>Lava</v>
      </c>
      <c r="D1475" s="8" t="str">
        <f>'Criaturas - Base de Dados'!D247</f>
        <v>Basilisco Magmático</v>
      </c>
      <c r="E1475" s="8" t="str">
        <f>'Sistema de Raridade e Evolução'!B5</f>
        <v>Ouro</v>
      </c>
      <c r="F1475" s="9">
        <f>ROUND(('Criaturas - Base de Dados'!H247*'Sistema de Raridade e Evolução'!E5)*1000,2)</f>
        <v>324000</v>
      </c>
      <c r="G1475" s="8">
        <f>ROUND('Criaturas - Base de Dados'!I247*'Sistema de Raridade e Evolução'!E5,0)</f>
        <v>198</v>
      </c>
      <c r="H1475" s="8">
        <f>ROUND('Criaturas - Base de Dados'!J247*'Sistema de Raridade e Evolução'!E5,0)</f>
        <v>162</v>
      </c>
      <c r="I1475" s="8">
        <f>ROUND('Criaturas - Base de Dados'!K247*'Sistema de Raridade e Evolução'!E5,0)</f>
        <v>1044</v>
      </c>
      <c r="J1475" s="8">
        <f>'Sistema de Raridade e Evolução'!D5</f>
        <v>31</v>
      </c>
      <c r="K1475" s="8" t="s">
        <v>11</v>
      </c>
      <c r="L1475" s="9">
        <f t="shared" si="23"/>
        <v>771428.57</v>
      </c>
    </row>
    <row r="1476" spans="1:12" ht="14.25" hidden="1" customHeight="1" x14ac:dyDescent="0.3">
      <c r="A1476" s="8">
        <v>1475</v>
      </c>
      <c r="B1476" s="8" t="str">
        <f>'Criaturas - Base de Dados'!B247</f>
        <v>Chama Vulcânica</v>
      </c>
      <c r="C1476" s="8" t="str">
        <f>'Criaturas - Base de Dados'!C247</f>
        <v>Lava</v>
      </c>
      <c r="D1476" s="8" t="str">
        <f>'Criaturas - Base de Dados'!D247</f>
        <v>Basilisco Magmático</v>
      </c>
      <c r="E1476" s="8" t="str">
        <f>'Sistema de Raridade e Evolução'!B6</f>
        <v>Platina</v>
      </c>
      <c r="F1476" s="9">
        <f>ROUND(('Criaturas - Base de Dados'!H247*'Sistema de Raridade e Evolução'!E6)*1000,2)</f>
        <v>900000</v>
      </c>
      <c r="G1476" s="8">
        <f>ROUND('Criaturas - Base de Dados'!I247*'Sistema de Raridade e Evolução'!E6,0)</f>
        <v>550</v>
      </c>
      <c r="H1476" s="8">
        <f>ROUND('Criaturas - Base de Dados'!J247*'Sistema de Raridade e Evolução'!E6,0)</f>
        <v>450</v>
      </c>
      <c r="I1476" s="8">
        <f>ROUND('Criaturas - Base de Dados'!K247*'Sistema de Raridade e Evolução'!E6,0)</f>
        <v>2900</v>
      </c>
      <c r="J1476" s="8">
        <f>'Sistema de Raridade e Evolução'!D6</f>
        <v>56</v>
      </c>
      <c r="K1476" s="8" t="s">
        <v>12</v>
      </c>
      <c r="L1476" s="9">
        <f t="shared" si="23"/>
        <v>2142857.14</v>
      </c>
    </row>
    <row r="1477" spans="1:12" ht="14.25" hidden="1" customHeight="1" x14ac:dyDescent="0.3">
      <c r="A1477" s="8">
        <v>1476</v>
      </c>
      <c r="B1477" s="8" t="str">
        <f>'Criaturas - Base de Dados'!B247</f>
        <v>Chama Vulcânica</v>
      </c>
      <c r="C1477" s="8" t="str">
        <f>'Criaturas - Base de Dados'!C247</f>
        <v>Lava</v>
      </c>
      <c r="D1477" s="8" t="str">
        <f>'Criaturas - Base de Dados'!D247</f>
        <v>Basilisco Magmático</v>
      </c>
      <c r="E1477" s="8" t="str">
        <f>'Sistema de Raridade e Evolução'!B7</f>
        <v>Lendário</v>
      </c>
      <c r="F1477" s="9">
        <f>ROUND(('Criaturas - Base de Dados'!H247*'Sistema de Raridade e Evolução'!E7)*1000,2)</f>
        <v>2700000</v>
      </c>
      <c r="G1477" s="8">
        <f>ROUND('Criaturas - Base de Dados'!I247*'Sistema de Raridade e Evolução'!E7,0)</f>
        <v>1650</v>
      </c>
      <c r="H1477" s="8">
        <f>ROUND('Criaturas - Base de Dados'!J247*'Sistema de Raridade e Evolução'!E7,0)</f>
        <v>1350</v>
      </c>
      <c r="I1477" s="8">
        <f>ROUND('Criaturas - Base de Dados'!K247*'Sistema de Raridade e Evolução'!E7,0)</f>
        <v>8700</v>
      </c>
      <c r="J1477" s="8">
        <f>'Sistema de Raridade e Evolução'!D7</f>
        <v>91</v>
      </c>
      <c r="K1477" s="8" t="s">
        <v>925</v>
      </c>
      <c r="L1477" s="9">
        <f t="shared" si="23"/>
        <v>6428571.4299999997</v>
      </c>
    </row>
    <row r="1478" spans="1:12" ht="14.25" customHeight="1" x14ac:dyDescent="0.3">
      <c r="A1478" s="8">
        <v>1477</v>
      </c>
      <c r="B1478" s="8" t="str">
        <f>'Criaturas - Base de Dados'!B248</f>
        <v>Chama Vulcânica</v>
      </c>
      <c r="C1478" s="8" t="str">
        <f>'Criaturas - Base de Dados'!C248</f>
        <v>Lava</v>
      </c>
      <c r="D1478" s="8" t="str">
        <f>'Criaturas - Base de Dados'!D248</f>
        <v>Efrit Vulcânico</v>
      </c>
      <c r="E1478" s="8" t="str">
        <f>'Sistema de Raridade e Evolução'!B2</f>
        <v>Default</v>
      </c>
      <c r="F1478" s="9" t="e">
        <f>ROUND(('Criaturas - Base de Dados'!H248*'Sistema de Raridade e Evolução'!E2)*1000,2)</f>
        <v>#VALUE!</v>
      </c>
      <c r="G1478" s="8" t="e">
        <f>ROUND('Criaturas - Base de Dados'!I248*'Sistema de Raridade e Evolução'!E2,0)</f>
        <v>#VALUE!</v>
      </c>
      <c r="H1478" s="8" t="e">
        <f>ROUND('Criaturas - Base de Dados'!J248*'Sistema de Raridade e Evolução'!E2,0)</f>
        <v>#VALUE!</v>
      </c>
      <c r="I1478" s="8" t="e">
        <f>ROUND('Criaturas - Base de Dados'!K248*'Sistema de Raridade e Evolução'!E2,0)</f>
        <v>#VALUE!</v>
      </c>
      <c r="J1478" s="8">
        <f>'Sistema de Raridade e Evolução'!D2</f>
        <v>1</v>
      </c>
      <c r="K1478" s="8" t="s">
        <v>8</v>
      </c>
      <c r="L1478" s="9" t="e">
        <f t="shared" si="23"/>
        <v>#VALUE!</v>
      </c>
    </row>
    <row r="1479" spans="1:12" ht="14.25" hidden="1" customHeight="1" x14ac:dyDescent="0.3">
      <c r="A1479" s="8">
        <v>1478</v>
      </c>
      <c r="B1479" s="8" t="str">
        <f>'Criaturas - Base de Dados'!B248</f>
        <v>Chama Vulcânica</v>
      </c>
      <c r="C1479" s="8" t="str">
        <f>'Criaturas - Base de Dados'!C248</f>
        <v>Lava</v>
      </c>
      <c r="D1479" s="8" t="str">
        <f>'Criaturas - Base de Dados'!D248</f>
        <v>Efrit Vulcânico</v>
      </c>
      <c r="E1479" s="8" t="str">
        <f>'Sistema de Raridade e Evolução'!B3</f>
        <v>Bronze</v>
      </c>
      <c r="F1479" s="9">
        <f>ROUND(('Criaturas - Base de Dados'!H248*'Sistema de Raridade e Evolução'!E3)*1000,2)</f>
        <v>20000</v>
      </c>
      <c r="G1479" s="8">
        <f>ROUND('Criaturas - Base de Dados'!I248*'Sistema de Raridade e Evolução'!E3,0)</f>
        <v>12</v>
      </c>
      <c r="H1479" s="8">
        <f>ROUND('Criaturas - Base de Dados'!J248*'Sistema de Raridade e Evolução'!E3,0)</f>
        <v>10</v>
      </c>
      <c r="I1479" s="8">
        <f>ROUND('Criaturas - Base de Dados'!K248*'Sistema de Raridade e Evolução'!E3,0)</f>
        <v>64</v>
      </c>
      <c r="J1479" s="8">
        <f>'Sistema de Raridade e Evolução'!D3</f>
        <v>6</v>
      </c>
      <c r="K1479" s="8" t="s">
        <v>9</v>
      </c>
      <c r="L1479" s="9">
        <f t="shared" si="23"/>
        <v>47619.05</v>
      </c>
    </row>
    <row r="1480" spans="1:12" ht="14.25" hidden="1" customHeight="1" x14ac:dyDescent="0.3">
      <c r="A1480" s="8">
        <v>1479</v>
      </c>
      <c r="B1480" s="8" t="str">
        <f>'Criaturas - Base de Dados'!B248</f>
        <v>Chama Vulcânica</v>
      </c>
      <c r="C1480" s="8" t="str">
        <f>'Criaturas - Base de Dados'!C248</f>
        <v>Lava</v>
      </c>
      <c r="D1480" s="8" t="str">
        <f>'Criaturas - Base de Dados'!D248</f>
        <v>Efrit Vulcânico</v>
      </c>
      <c r="E1480" s="8" t="str">
        <f>'Sistema de Raridade e Evolução'!B4</f>
        <v>Prata</v>
      </c>
      <c r="F1480" s="9">
        <f>ROUND(('Criaturas - Base de Dados'!H248*'Sistema de Raridade e Evolução'!E4)*1000,2)</f>
        <v>120000</v>
      </c>
      <c r="G1480" s="8">
        <f>ROUND('Criaturas - Base de Dados'!I248*'Sistema de Raridade e Evolução'!E4,0)</f>
        <v>72</v>
      </c>
      <c r="H1480" s="8">
        <f>ROUND('Criaturas - Base de Dados'!J248*'Sistema de Raridade e Evolução'!E4,0)</f>
        <v>60</v>
      </c>
      <c r="I1480" s="8">
        <f>ROUND('Criaturas - Base de Dados'!K248*'Sistema de Raridade e Evolução'!E4,0)</f>
        <v>384</v>
      </c>
      <c r="J1480" s="8">
        <f>'Sistema de Raridade e Evolução'!D4</f>
        <v>16</v>
      </c>
      <c r="K1480" s="8" t="s">
        <v>10</v>
      </c>
      <c r="L1480" s="9">
        <f t="shared" si="23"/>
        <v>285714.28999999998</v>
      </c>
    </row>
    <row r="1481" spans="1:12" ht="14.25" hidden="1" customHeight="1" x14ac:dyDescent="0.3">
      <c r="A1481" s="8">
        <v>1480</v>
      </c>
      <c r="B1481" s="8" t="str">
        <f>'Criaturas - Base de Dados'!B248</f>
        <v>Chama Vulcânica</v>
      </c>
      <c r="C1481" s="8" t="str">
        <f>'Criaturas - Base de Dados'!C248</f>
        <v>Lava</v>
      </c>
      <c r="D1481" s="8" t="str">
        <f>'Criaturas - Base de Dados'!D248</f>
        <v>Efrit Vulcânico</v>
      </c>
      <c r="E1481" s="8" t="str">
        <f>'Sistema de Raridade e Evolução'!B5</f>
        <v>Ouro</v>
      </c>
      <c r="F1481" s="9">
        <f>ROUND(('Criaturas - Base de Dados'!H248*'Sistema de Raridade e Evolução'!E5)*1000,2)</f>
        <v>360000</v>
      </c>
      <c r="G1481" s="8">
        <f>ROUND('Criaturas - Base de Dados'!I248*'Sistema de Raridade e Evolução'!E5,0)</f>
        <v>216</v>
      </c>
      <c r="H1481" s="8">
        <f>ROUND('Criaturas - Base de Dados'!J248*'Sistema de Raridade e Evolução'!E5,0)</f>
        <v>180</v>
      </c>
      <c r="I1481" s="8">
        <f>ROUND('Criaturas - Base de Dados'!K248*'Sistema de Raridade e Evolução'!E5,0)</f>
        <v>1152</v>
      </c>
      <c r="J1481" s="8">
        <f>'Sistema de Raridade e Evolução'!D5</f>
        <v>31</v>
      </c>
      <c r="K1481" s="8" t="s">
        <v>11</v>
      </c>
      <c r="L1481" s="9">
        <f t="shared" si="23"/>
        <v>857142.86</v>
      </c>
    </row>
    <row r="1482" spans="1:12" ht="14.25" hidden="1" customHeight="1" x14ac:dyDescent="0.3">
      <c r="A1482" s="8">
        <v>1481</v>
      </c>
      <c r="B1482" s="8" t="str">
        <f>'Criaturas - Base de Dados'!B248</f>
        <v>Chama Vulcânica</v>
      </c>
      <c r="C1482" s="8" t="str">
        <f>'Criaturas - Base de Dados'!C248</f>
        <v>Lava</v>
      </c>
      <c r="D1482" s="8" t="str">
        <f>'Criaturas - Base de Dados'!D248</f>
        <v>Efrit Vulcânico</v>
      </c>
      <c r="E1482" s="8" t="str">
        <f>'Sistema de Raridade e Evolução'!B6</f>
        <v>Platina</v>
      </c>
      <c r="F1482" s="9">
        <f>ROUND(('Criaturas - Base de Dados'!H248*'Sistema de Raridade e Evolução'!E6)*1000,2)</f>
        <v>1000000</v>
      </c>
      <c r="G1482" s="8">
        <f>ROUND('Criaturas - Base de Dados'!I248*'Sistema de Raridade e Evolução'!E6,0)</f>
        <v>600</v>
      </c>
      <c r="H1482" s="8">
        <f>ROUND('Criaturas - Base de Dados'!J248*'Sistema de Raridade e Evolução'!E6,0)</f>
        <v>500</v>
      </c>
      <c r="I1482" s="8">
        <f>ROUND('Criaturas - Base de Dados'!K248*'Sistema de Raridade e Evolução'!E6,0)</f>
        <v>3200</v>
      </c>
      <c r="J1482" s="8">
        <f>'Sistema de Raridade e Evolução'!D6</f>
        <v>56</v>
      </c>
      <c r="K1482" s="8" t="s">
        <v>12</v>
      </c>
      <c r="L1482" s="9">
        <f t="shared" si="23"/>
        <v>2380952.38</v>
      </c>
    </row>
    <row r="1483" spans="1:12" ht="14.25" hidden="1" customHeight="1" x14ac:dyDescent="0.3">
      <c r="A1483" s="8">
        <v>1482</v>
      </c>
      <c r="B1483" s="8" t="str">
        <f>'Criaturas - Base de Dados'!B248</f>
        <v>Chama Vulcânica</v>
      </c>
      <c r="C1483" s="8" t="str">
        <f>'Criaturas - Base de Dados'!C248</f>
        <v>Lava</v>
      </c>
      <c r="D1483" s="8" t="str">
        <f>'Criaturas - Base de Dados'!D248</f>
        <v>Efrit Vulcânico</v>
      </c>
      <c r="E1483" s="8" t="str">
        <f>'Sistema de Raridade e Evolução'!B7</f>
        <v>Lendário</v>
      </c>
      <c r="F1483" s="9">
        <f>ROUND(('Criaturas - Base de Dados'!H248*'Sistema de Raridade e Evolução'!E7)*1000,2)</f>
        <v>3000000</v>
      </c>
      <c r="G1483" s="8">
        <f>ROUND('Criaturas - Base de Dados'!I248*'Sistema de Raridade e Evolução'!E7,0)</f>
        <v>1800</v>
      </c>
      <c r="H1483" s="8">
        <f>ROUND('Criaturas - Base de Dados'!J248*'Sistema de Raridade e Evolução'!E7,0)</f>
        <v>1500</v>
      </c>
      <c r="I1483" s="8">
        <f>ROUND('Criaturas - Base de Dados'!K248*'Sistema de Raridade e Evolução'!E7,0)</f>
        <v>9600</v>
      </c>
      <c r="J1483" s="8">
        <f>'Sistema de Raridade e Evolução'!D7</f>
        <v>91</v>
      </c>
      <c r="K1483" s="8" t="s">
        <v>925</v>
      </c>
      <c r="L1483" s="9">
        <f t="shared" si="23"/>
        <v>7142857.1399999997</v>
      </c>
    </row>
    <row r="1484" spans="1:12" ht="14.25" customHeight="1" x14ac:dyDescent="0.3">
      <c r="A1484" s="8">
        <v>1483</v>
      </c>
      <c r="B1484" s="8" t="str">
        <f>'Criaturas - Base de Dados'!B249</f>
        <v>Chama Vulcânica</v>
      </c>
      <c r="C1484" s="8" t="str">
        <f>'Criaturas - Base de Dados'!C249</f>
        <v>Lava</v>
      </c>
      <c r="D1484" s="8" t="str">
        <f>'Criaturas - Base de Dados'!D249</f>
        <v>Touro de Magma</v>
      </c>
      <c r="E1484" s="8" t="str">
        <f>'Sistema de Raridade e Evolução'!B2</f>
        <v>Default</v>
      </c>
      <c r="F1484" s="9" t="e">
        <f>ROUND(('Criaturas - Base de Dados'!H249*'Sistema de Raridade e Evolução'!E2)*1000,2)</f>
        <v>#VALUE!</v>
      </c>
      <c r="G1484" s="8" t="e">
        <f>ROUND('Criaturas - Base de Dados'!I249*'Sistema de Raridade e Evolução'!E2,0)</f>
        <v>#VALUE!</v>
      </c>
      <c r="H1484" s="8" t="e">
        <f>ROUND('Criaturas - Base de Dados'!J249*'Sistema de Raridade e Evolução'!E2,0)</f>
        <v>#VALUE!</v>
      </c>
      <c r="I1484" s="8" t="e">
        <f>ROUND('Criaturas - Base de Dados'!K249*'Sistema de Raridade e Evolução'!E2,0)</f>
        <v>#VALUE!</v>
      </c>
      <c r="J1484" s="8">
        <f>'Sistema de Raridade e Evolução'!D2</f>
        <v>1</v>
      </c>
      <c r="K1484" s="8" t="s">
        <v>8</v>
      </c>
      <c r="L1484" s="9" t="e">
        <f t="shared" si="23"/>
        <v>#VALUE!</v>
      </c>
    </row>
    <row r="1485" spans="1:12" ht="14.25" hidden="1" customHeight="1" x14ac:dyDescent="0.3">
      <c r="A1485" s="8">
        <v>1484</v>
      </c>
      <c r="B1485" s="8" t="str">
        <f>'Criaturas - Base de Dados'!B249</f>
        <v>Chama Vulcânica</v>
      </c>
      <c r="C1485" s="8" t="str">
        <f>'Criaturas - Base de Dados'!C249</f>
        <v>Lava</v>
      </c>
      <c r="D1485" s="8" t="str">
        <f>'Criaturas - Base de Dados'!D249</f>
        <v>Touro de Magma</v>
      </c>
      <c r="E1485" s="8" t="str">
        <f>'Sistema de Raridade e Evolução'!B3</f>
        <v>Bronze</v>
      </c>
      <c r="F1485" s="9">
        <f>ROUND(('Criaturas - Base de Dados'!H249*'Sistema de Raridade e Evolução'!E3)*1000,2)</f>
        <v>22000</v>
      </c>
      <c r="G1485" s="8">
        <f>ROUND('Criaturas - Base de Dados'!I249*'Sistema de Raridade e Evolução'!E3,0)</f>
        <v>13</v>
      </c>
      <c r="H1485" s="8">
        <f>ROUND('Criaturas - Base de Dados'!J249*'Sistema de Raridade e Evolução'!E3,0)</f>
        <v>11</v>
      </c>
      <c r="I1485" s="8">
        <f>ROUND('Criaturas - Base de Dados'!K249*'Sistema de Raridade e Evolução'!E3,0)</f>
        <v>70</v>
      </c>
      <c r="J1485" s="8">
        <f>'Sistema de Raridade e Evolução'!D3</f>
        <v>6</v>
      </c>
      <c r="K1485" s="8" t="s">
        <v>9</v>
      </c>
      <c r="L1485" s="9">
        <f t="shared" si="23"/>
        <v>52380.95</v>
      </c>
    </row>
    <row r="1486" spans="1:12" ht="14.25" hidden="1" customHeight="1" x14ac:dyDescent="0.3">
      <c r="A1486" s="8">
        <v>1485</v>
      </c>
      <c r="B1486" s="8" t="str">
        <f>'Criaturas - Base de Dados'!B249</f>
        <v>Chama Vulcânica</v>
      </c>
      <c r="C1486" s="8" t="str">
        <f>'Criaturas - Base de Dados'!C249</f>
        <v>Lava</v>
      </c>
      <c r="D1486" s="8" t="str">
        <f>'Criaturas - Base de Dados'!D249</f>
        <v>Touro de Magma</v>
      </c>
      <c r="E1486" s="8" t="str">
        <f>'Sistema de Raridade e Evolução'!B4</f>
        <v>Prata</v>
      </c>
      <c r="F1486" s="9">
        <f>ROUND(('Criaturas - Base de Dados'!H249*'Sistema de Raridade e Evolução'!E4)*1000,2)</f>
        <v>132000</v>
      </c>
      <c r="G1486" s="8">
        <f>ROUND('Criaturas - Base de Dados'!I249*'Sistema de Raridade e Evolução'!E4,0)</f>
        <v>78</v>
      </c>
      <c r="H1486" s="8">
        <f>ROUND('Criaturas - Base de Dados'!J249*'Sistema de Raridade e Evolução'!E4,0)</f>
        <v>66</v>
      </c>
      <c r="I1486" s="8">
        <f>ROUND('Criaturas - Base de Dados'!K249*'Sistema de Raridade e Evolução'!E4,0)</f>
        <v>420</v>
      </c>
      <c r="J1486" s="8">
        <f>'Sistema de Raridade e Evolução'!D4</f>
        <v>16</v>
      </c>
      <c r="K1486" s="8" t="s">
        <v>10</v>
      </c>
      <c r="L1486" s="9">
        <f t="shared" si="23"/>
        <v>314285.71000000002</v>
      </c>
    </row>
    <row r="1487" spans="1:12" ht="14.25" hidden="1" customHeight="1" x14ac:dyDescent="0.3">
      <c r="A1487" s="8">
        <v>1486</v>
      </c>
      <c r="B1487" s="8" t="str">
        <f>'Criaturas - Base de Dados'!B249</f>
        <v>Chama Vulcânica</v>
      </c>
      <c r="C1487" s="8" t="str">
        <f>'Criaturas - Base de Dados'!C249</f>
        <v>Lava</v>
      </c>
      <c r="D1487" s="8" t="str">
        <f>'Criaturas - Base de Dados'!D249</f>
        <v>Touro de Magma</v>
      </c>
      <c r="E1487" s="8" t="str">
        <f>'Sistema de Raridade e Evolução'!B5</f>
        <v>Ouro</v>
      </c>
      <c r="F1487" s="9">
        <f>ROUND(('Criaturas - Base de Dados'!H249*'Sistema de Raridade e Evolução'!E5)*1000,2)</f>
        <v>396000</v>
      </c>
      <c r="G1487" s="8">
        <f>ROUND('Criaturas - Base de Dados'!I249*'Sistema de Raridade e Evolução'!E5,0)</f>
        <v>234</v>
      </c>
      <c r="H1487" s="8">
        <f>ROUND('Criaturas - Base de Dados'!J249*'Sistema de Raridade e Evolução'!E5,0)</f>
        <v>198</v>
      </c>
      <c r="I1487" s="8">
        <f>ROUND('Criaturas - Base de Dados'!K249*'Sistema de Raridade e Evolução'!E5,0)</f>
        <v>1260</v>
      </c>
      <c r="J1487" s="8">
        <f>'Sistema de Raridade e Evolução'!D5</f>
        <v>31</v>
      </c>
      <c r="K1487" s="8" t="s">
        <v>11</v>
      </c>
      <c r="L1487" s="9">
        <f t="shared" si="23"/>
        <v>942857.14</v>
      </c>
    </row>
    <row r="1488" spans="1:12" ht="14.25" hidden="1" customHeight="1" x14ac:dyDescent="0.3">
      <c r="A1488" s="8">
        <v>1487</v>
      </c>
      <c r="B1488" s="8" t="str">
        <f>'Criaturas - Base de Dados'!B249</f>
        <v>Chama Vulcânica</v>
      </c>
      <c r="C1488" s="8" t="str">
        <f>'Criaturas - Base de Dados'!C249</f>
        <v>Lava</v>
      </c>
      <c r="D1488" s="8" t="str">
        <f>'Criaturas - Base de Dados'!D249</f>
        <v>Touro de Magma</v>
      </c>
      <c r="E1488" s="8" t="str">
        <f>'Sistema de Raridade e Evolução'!B6</f>
        <v>Platina</v>
      </c>
      <c r="F1488" s="9">
        <f>ROUND(('Criaturas - Base de Dados'!H249*'Sistema de Raridade e Evolução'!E6)*1000,2)</f>
        <v>1100000</v>
      </c>
      <c r="G1488" s="8">
        <f>ROUND('Criaturas - Base de Dados'!I249*'Sistema de Raridade e Evolução'!E6,0)</f>
        <v>650</v>
      </c>
      <c r="H1488" s="8">
        <f>ROUND('Criaturas - Base de Dados'!J249*'Sistema de Raridade e Evolução'!E6,0)</f>
        <v>550</v>
      </c>
      <c r="I1488" s="8">
        <f>ROUND('Criaturas - Base de Dados'!K249*'Sistema de Raridade e Evolução'!E6,0)</f>
        <v>3500</v>
      </c>
      <c r="J1488" s="8">
        <f>'Sistema de Raridade e Evolução'!D6</f>
        <v>56</v>
      </c>
      <c r="K1488" s="8" t="s">
        <v>12</v>
      </c>
      <c r="L1488" s="9">
        <f t="shared" si="23"/>
        <v>2619047.62</v>
      </c>
    </row>
    <row r="1489" spans="1:12" ht="14.25" hidden="1" customHeight="1" x14ac:dyDescent="0.3">
      <c r="A1489" s="8">
        <v>1488</v>
      </c>
      <c r="B1489" s="8" t="str">
        <f>'Criaturas - Base de Dados'!B249</f>
        <v>Chama Vulcânica</v>
      </c>
      <c r="C1489" s="8" t="str">
        <f>'Criaturas - Base de Dados'!C249</f>
        <v>Lava</v>
      </c>
      <c r="D1489" s="8" t="str">
        <f>'Criaturas - Base de Dados'!D249</f>
        <v>Touro de Magma</v>
      </c>
      <c r="E1489" s="8" t="str">
        <f>'Sistema de Raridade e Evolução'!B7</f>
        <v>Lendário</v>
      </c>
      <c r="F1489" s="9">
        <f>ROUND(('Criaturas - Base de Dados'!H249*'Sistema de Raridade e Evolução'!E7)*1000,2)</f>
        <v>3300000</v>
      </c>
      <c r="G1489" s="8">
        <f>ROUND('Criaturas - Base de Dados'!I249*'Sistema de Raridade e Evolução'!E7,0)</f>
        <v>1950</v>
      </c>
      <c r="H1489" s="8">
        <f>ROUND('Criaturas - Base de Dados'!J249*'Sistema de Raridade e Evolução'!E7,0)</f>
        <v>1650</v>
      </c>
      <c r="I1489" s="8">
        <f>ROUND('Criaturas - Base de Dados'!K249*'Sistema de Raridade e Evolução'!E7,0)</f>
        <v>10500</v>
      </c>
      <c r="J1489" s="8">
        <f>'Sistema de Raridade e Evolução'!D7</f>
        <v>91</v>
      </c>
      <c r="K1489" s="8" t="s">
        <v>925</v>
      </c>
      <c r="L1489" s="9">
        <f t="shared" si="23"/>
        <v>7857142.8600000003</v>
      </c>
    </row>
    <row r="1490" spans="1:12" ht="14.25" customHeight="1" x14ac:dyDescent="0.3">
      <c r="A1490" s="8">
        <v>1489</v>
      </c>
      <c r="B1490" s="8" t="str">
        <f>'Criaturas - Base de Dados'!B250</f>
        <v>Chama Vulcânica</v>
      </c>
      <c r="C1490" s="8" t="str">
        <f>'Criaturas - Base de Dados'!C250</f>
        <v>Lava</v>
      </c>
      <c r="D1490" s="8" t="str">
        <f>'Criaturas - Base de Dados'!D250</f>
        <v>Serpente de Obsidiana</v>
      </c>
      <c r="E1490" s="8" t="str">
        <f>'Sistema de Raridade e Evolução'!B2</f>
        <v>Default</v>
      </c>
      <c r="F1490" s="9" t="e">
        <f>ROUND(('Criaturas - Base de Dados'!H250*'Sistema de Raridade e Evolução'!E2)*1000,2)</f>
        <v>#VALUE!</v>
      </c>
      <c r="G1490" s="8" t="e">
        <f>ROUND('Criaturas - Base de Dados'!I250*'Sistema de Raridade e Evolução'!E2,0)</f>
        <v>#VALUE!</v>
      </c>
      <c r="H1490" s="8" t="e">
        <f>ROUND('Criaturas - Base de Dados'!J250*'Sistema de Raridade e Evolução'!E2,0)</f>
        <v>#VALUE!</v>
      </c>
      <c r="I1490" s="8" t="e">
        <f>ROUND('Criaturas - Base de Dados'!K250*'Sistema de Raridade e Evolução'!E2,0)</f>
        <v>#VALUE!</v>
      </c>
      <c r="J1490" s="8">
        <f>'Sistema de Raridade e Evolução'!D2</f>
        <v>1</v>
      </c>
      <c r="K1490" s="8" t="s">
        <v>8</v>
      </c>
      <c r="L1490" s="9" t="e">
        <f t="shared" si="23"/>
        <v>#VALUE!</v>
      </c>
    </row>
    <row r="1491" spans="1:12" ht="14.25" hidden="1" customHeight="1" x14ac:dyDescent="0.3">
      <c r="A1491" s="8">
        <v>1490</v>
      </c>
      <c r="B1491" s="8" t="str">
        <f>'Criaturas - Base de Dados'!B250</f>
        <v>Chama Vulcânica</v>
      </c>
      <c r="C1491" s="8" t="str">
        <f>'Criaturas - Base de Dados'!C250</f>
        <v>Lava</v>
      </c>
      <c r="D1491" s="8" t="str">
        <f>'Criaturas - Base de Dados'!D250</f>
        <v>Serpente de Obsidiana</v>
      </c>
      <c r="E1491" s="8" t="str">
        <f>'Sistema de Raridade e Evolução'!B3</f>
        <v>Bronze</v>
      </c>
      <c r="F1491" s="9">
        <f>ROUND(('Criaturas - Base de Dados'!H250*'Sistema de Raridade e Evolução'!E3)*1000,2)</f>
        <v>24000</v>
      </c>
      <c r="G1491" s="8">
        <f>ROUND('Criaturas - Base de Dados'!I250*'Sistema de Raridade e Evolução'!E3,0)</f>
        <v>14</v>
      </c>
      <c r="H1491" s="8">
        <f>ROUND('Criaturas - Base de Dados'!J250*'Sistema de Raridade e Evolução'!E3,0)</f>
        <v>12</v>
      </c>
      <c r="I1491" s="8">
        <f>ROUND('Criaturas - Base de Dados'!K250*'Sistema de Raridade e Evolução'!E3,0)</f>
        <v>77</v>
      </c>
      <c r="J1491" s="8">
        <f>'Sistema de Raridade e Evolução'!D3</f>
        <v>6</v>
      </c>
      <c r="K1491" s="8" t="s">
        <v>9</v>
      </c>
      <c r="L1491" s="9">
        <f t="shared" si="23"/>
        <v>57142.86</v>
      </c>
    </row>
    <row r="1492" spans="1:12" ht="14.25" hidden="1" customHeight="1" x14ac:dyDescent="0.3">
      <c r="A1492" s="8">
        <v>1491</v>
      </c>
      <c r="B1492" s="8" t="str">
        <f>'Criaturas - Base de Dados'!B250</f>
        <v>Chama Vulcânica</v>
      </c>
      <c r="C1492" s="8" t="str">
        <f>'Criaturas - Base de Dados'!C250</f>
        <v>Lava</v>
      </c>
      <c r="D1492" s="8" t="str">
        <f>'Criaturas - Base de Dados'!D250</f>
        <v>Serpente de Obsidiana</v>
      </c>
      <c r="E1492" s="8" t="str">
        <f>'Sistema de Raridade e Evolução'!B4</f>
        <v>Prata</v>
      </c>
      <c r="F1492" s="9">
        <f>ROUND(('Criaturas - Base de Dados'!H250*'Sistema de Raridade e Evolução'!E4)*1000,2)</f>
        <v>144000</v>
      </c>
      <c r="G1492" s="8">
        <f>ROUND('Criaturas - Base de Dados'!I250*'Sistema de Raridade e Evolução'!E4,0)</f>
        <v>84</v>
      </c>
      <c r="H1492" s="8">
        <f>ROUND('Criaturas - Base de Dados'!J250*'Sistema de Raridade e Evolução'!E4,0)</f>
        <v>72</v>
      </c>
      <c r="I1492" s="8">
        <f>ROUND('Criaturas - Base de Dados'!K250*'Sistema de Raridade e Evolução'!E4,0)</f>
        <v>462</v>
      </c>
      <c r="J1492" s="8">
        <f>'Sistema de Raridade e Evolução'!D4</f>
        <v>16</v>
      </c>
      <c r="K1492" s="8" t="s">
        <v>10</v>
      </c>
      <c r="L1492" s="9">
        <f t="shared" si="23"/>
        <v>342857.14</v>
      </c>
    </row>
    <row r="1493" spans="1:12" ht="14.25" hidden="1" customHeight="1" x14ac:dyDescent="0.3">
      <c r="A1493" s="8">
        <v>1492</v>
      </c>
      <c r="B1493" s="8" t="str">
        <f>'Criaturas - Base de Dados'!B250</f>
        <v>Chama Vulcânica</v>
      </c>
      <c r="C1493" s="8" t="str">
        <f>'Criaturas - Base de Dados'!C250</f>
        <v>Lava</v>
      </c>
      <c r="D1493" s="8" t="str">
        <f>'Criaturas - Base de Dados'!D250</f>
        <v>Serpente de Obsidiana</v>
      </c>
      <c r="E1493" s="8" t="str">
        <f>'Sistema de Raridade e Evolução'!B5</f>
        <v>Ouro</v>
      </c>
      <c r="F1493" s="9">
        <f>ROUND(('Criaturas - Base de Dados'!H250*'Sistema de Raridade e Evolução'!E5)*1000,2)</f>
        <v>432000</v>
      </c>
      <c r="G1493" s="8">
        <f>ROUND('Criaturas - Base de Dados'!I250*'Sistema de Raridade e Evolução'!E5,0)</f>
        <v>252</v>
      </c>
      <c r="H1493" s="8">
        <f>ROUND('Criaturas - Base de Dados'!J250*'Sistema de Raridade e Evolução'!E5,0)</f>
        <v>216</v>
      </c>
      <c r="I1493" s="8">
        <f>ROUND('Criaturas - Base de Dados'!K250*'Sistema de Raridade e Evolução'!E5,0)</f>
        <v>1386</v>
      </c>
      <c r="J1493" s="8">
        <f>'Sistema de Raridade e Evolução'!D5</f>
        <v>31</v>
      </c>
      <c r="K1493" s="8" t="s">
        <v>11</v>
      </c>
      <c r="L1493" s="9">
        <f t="shared" si="23"/>
        <v>1028571.43</v>
      </c>
    </row>
    <row r="1494" spans="1:12" ht="14.25" hidden="1" customHeight="1" x14ac:dyDescent="0.3">
      <c r="A1494" s="8">
        <v>1493</v>
      </c>
      <c r="B1494" s="8" t="str">
        <f>'Criaturas - Base de Dados'!B250</f>
        <v>Chama Vulcânica</v>
      </c>
      <c r="C1494" s="8" t="str">
        <f>'Criaturas - Base de Dados'!C250</f>
        <v>Lava</v>
      </c>
      <c r="D1494" s="8" t="str">
        <f>'Criaturas - Base de Dados'!D250</f>
        <v>Serpente de Obsidiana</v>
      </c>
      <c r="E1494" s="8" t="str">
        <f>'Sistema de Raridade e Evolução'!B6</f>
        <v>Platina</v>
      </c>
      <c r="F1494" s="9">
        <f>ROUND(('Criaturas - Base de Dados'!H250*'Sistema de Raridade e Evolução'!E6)*1000,2)</f>
        <v>1200000</v>
      </c>
      <c r="G1494" s="8">
        <f>ROUND('Criaturas - Base de Dados'!I250*'Sistema de Raridade e Evolução'!E6,0)</f>
        <v>700</v>
      </c>
      <c r="H1494" s="8">
        <f>ROUND('Criaturas - Base de Dados'!J250*'Sistema de Raridade e Evolução'!E6,0)</f>
        <v>600</v>
      </c>
      <c r="I1494" s="8">
        <f>ROUND('Criaturas - Base de Dados'!K250*'Sistema de Raridade e Evolução'!E6,0)</f>
        <v>3850</v>
      </c>
      <c r="J1494" s="8">
        <f>'Sistema de Raridade e Evolução'!D6</f>
        <v>56</v>
      </c>
      <c r="K1494" s="8" t="s">
        <v>12</v>
      </c>
      <c r="L1494" s="9">
        <f t="shared" si="23"/>
        <v>2857142.86</v>
      </c>
    </row>
    <row r="1495" spans="1:12" ht="14.25" hidden="1" customHeight="1" x14ac:dyDescent="0.3">
      <c r="A1495" s="8">
        <v>1494</v>
      </c>
      <c r="B1495" s="8" t="str">
        <f>'Criaturas - Base de Dados'!B250</f>
        <v>Chama Vulcânica</v>
      </c>
      <c r="C1495" s="8" t="str">
        <f>'Criaturas - Base de Dados'!C250</f>
        <v>Lava</v>
      </c>
      <c r="D1495" s="8" t="str">
        <f>'Criaturas - Base de Dados'!D250</f>
        <v>Serpente de Obsidiana</v>
      </c>
      <c r="E1495" s="8" t="str">
        <f>'Sistema de Raridade e Evolução'!B7</f>
        <v>Lendário</v>
      </c>
      <c r="F1495" s="9">
        <f>ROUND(('Criaturas - Base de Dados'!H250*'Sistema de Raridade e Evolução'!E7)*1000,2)</f>
        <v>3600000</v>
      </c>
      <c r="G1495" s="8">
        <f>ROUND('Criaturas - Base de Dados'!I250*'Sistema de Raridade e Evolução'!E7,0)</f>
        <v>2100</v>
      </c>
      <c r="H1495" s="8">
        <f>ROUND('Criaturas - Base de Dados'!J250*'Sistema de Raridade e Evolução'!E7,0)</f>
        <v>1800</v>
      </c>
      <c r="I1495" s="8">
        <f>ROUND('Criaturas - Base de Dados'!K250*'Sistema de Raridade e Evolução'!E7,0)</f>
        <v>11550</v>
      </c>
      <c r="J1495" s="8">
        <f>'Sistema de Raridade e Evolução'!D7</f>
        <v>91</v>
      </c>
      <c r="K1495" s="8" t="s">
        <v>925</v>
      </c>
      <c r="L1495" s="9">
        <f t="shared" si="23"/>
        <v>8571428.5700000003</v>
      </c>
    </row>
    <row r="1496" spans="1:12" ht="14.25" customHeight="1" x14ac:dyDescent="0.3">
      <c r="A1496" s="8">
        <v>1495</v>
      </c>
      <c r="B1496" s="8" t="str">
        <f>'Criaturas - Base de Dados'!B251</f>
        <v>Chama Vulcânica</v>
      </c>
      <c r="C1496" s="8" t="str">
        <f>'Criaturas - Base de Dados'!C251</f>
        <v>Lava</v>
      </c>
      <c r="D1496" s="8" t="str">
        <f>'Criaturas - Base de Dados'!D251</f>
        <v>Titã Vulcânico</v>
      </c>
      <c r="E1496" s="8" t="str">
        <f>'Sistema de Raridade e Evolução'!B2</f>
        <v>Default</v>
      </c>
      <c r="F1496" s="9" t="e">
        <f>ROUND(('Criaturas - Base de Dados'!H251*'Sistema de Raridade e Evolução'!E2)*1000,2)</f>
        <v>#VALUE!</v>
      </c>
      <c r="G1496" s="8" t="e">
        <f>ROUND('Criaturas - Base de Dados'!I251*'Sistema de Raridade e Evolução'!E2,0)</f>
        <v>#VALUE!</v>
      </c>
      <c r="H1496" s="8" t="e">
        <f>ROUND('Criaturas - Base de Dados'!J251*'Sistema de Raridade e Evolução'!E2,0)</f>
        <v>#VALUE!</v>
      </c>
      <c r="I1496" s="8" t="e">
        <f>ROUND('Criaturas - Base de Dados'!K251*'Sistema de Raridade e Evolução'!E2,0)</f>
        <v>#VALUE!</v>
      </c>
      <c r="J1496" s="8">
        <f>'Sistema de Raridade e Evolução'!D2</f>
        <v>1</v>
      </c>
      <c r="K1496" s="8" t="s">
        <v>8</v>
      </c>
      <c r="L1496" s="9" t="e">
        <f t="shared" si="23"/>
        <v>#VALUE!</v>
      </c>
    </row>
    <row r="1497" spans="1:12" ht="14.25" hidden="1" customHeight="1" x14ac:dyDescent="0.3">
      <c r="A1497" s="8">
        <v>1496</v>
      </c>
      <c r="B1497" s="8" t="str">
        <f>'Criaturas - Base de Dados'!B251</f>
        <v>Chama Vulcânica</v>
      </c>
      <c r="C1497" s="8" t="str">
        <f>'Criaturas - Base de Dados'!C251</f>
        <v>Lava</v>
      </c>
      <c r="D1497" s="8" t="str">
        <f>'Criaturas - Base de Dados'!D251</f>
        <v>Titã Vulcânico</v>
      </c>
      <c r="E1497" s="8" t="str">
        <f>'Sistema de Raridade e Evolução'!B3</f>
        <v>Bronze</v>
      </c>
      <c r="F1497" s="9">
        <f>ROUND(('Criaturas - Base de Dados'!H251*'Sistema de Raridade e Evolução'!E3)*1000,2)</f>
        <v>26000</v>
      </c>
      <c r="G1497" s="8">
        <f>ROUND('Criaturas - Base de Dados'!I251*'Sistema de Raridade e Evolução'!E3,0)</f>
        <v>16</v>
      </c>
      <c r="H1497" s="8">
        <f>ROUND('Criaturas - Base de Dados'!J251*'Sistema de Raridade e Evolução'!E3,0)</f>
        <v>13</v>
      </c>
      <c r="I1497" s="8">
        <f>ROUND('Criaturas - Base de Dados'!K251*'Sistema de Raridade e Evolução'!E3,0)</f>
        <v>83</v>
      </c>
      <c r="J1497" s="8">
        <f>'Sistema de Raridade e Evolução'!D3</f>
        <v>6</v>
      </c>
      <c r="K1497" s="8" t="s">
        <v>9</v>
      </c>
      <c r="L1497" s="9">
        <f t="shared" si="23"/>
        <v>61904.76</v>
      </c>
    </row>
    <row r="1498" spans="1:12" ht="14.25" hidden="1" customHeight="1" x14ac:dyDescent="0.3">
      <c r="A1498" s="8">
        <v>1497</v>
      </c>
      <c r="B1498" s="8" t="str">
        <f>'Criaturas - Base de Dados'!B251</f>
        <v>Chama Vulcânica</v>
      </c>
      <c r="C1498" s="8" t="str">
        <f>'Criaturas - Base de Dados'!C251</f>
        <v>Lava</v>
      </c>
      <c r="D1498" s="8" t="str">
        <f>'Criaturas - Base de Dados'!D251</f>
        <v>Titã Vulcânico</v>
      </c>
      <c r="E1498" s="8" t="str">
        <f>'Sistema de Raridade e Evolução'!B4</f>
        <v>Prata</v>
      </c>
      <c r="F1498" s="9">
        <f>ROUND(('Criaturas - Base de Dados'!H251*'Sistema de Raridade e Evolução'!E4)*1000,2)</f>
        <v>156000</v>
      </c>
      <c r="G1498" s="8">
        <f>ROUND('Criaturas - Base de Dados'!I251*'Sistema de Raridade e Evolução'!E4,0)</f>
        <v>96</v>
      </c>
      <c r="H1498" s="8">
        <f>ROUND('Criaturas - Base de Dados'!J251*'Sistema de Raridade e Evolução'!E4,0)</f>
        <v>78</v>
      </c>
      <c r="I1498" s="8">
        <f>ROUND('Criaturas - Base de Dados'!K251*'Sistema de Raridade e Evolução'!E4,0)</f>
        <v>498</v>
      </c>
      <c r="J1498" s="8">
        <f>'Sistema de Raridade e Evolução'!D4</f>
        <v>16</v>
      </c>
      <c r="K1498" s="8" t="s">
        <v>10</v>
      </c>
      <c r="L1498" s="9">
        <f t="shared" si="23"/>
        <v>371428.57</v>
      </c>
    </row>
    <row r="1499" spans="1:12" ht="14.25" hidden="1" customHeight="1" x14ac:dyDescent="0.3">
      <c r="A1499" s="8">
        <v>1498</v>
      </c>
      <c r="B1499" s="8" t="str">
        <f>'Criaturas - Base de Dados'!B251</f>
        <v>Chama Vulcânica</v>
      </c>
      <c r="C1499" s="8" t="str">
        <f>'Criaturas - Base de Dados'!C251</f>
        <v>Lava</v>
      </c>
      <c r="D1499" s="8" t="str">
        <f>'Criaturas - Base de Dados'!D251</f>
        <v>Titã Vulcânico</v>
      </c>
      <c r="E1499" s="8" t="str">
        <f>'Sistema de Raridade e Evolução'!B5</f>
        <v>Ouro</v>
      </c>
      <c r="F1499" s="9">
        <f>ROUND(('Criaturas - Base de Dados'!H251*'Sistema de Raridade e Evolução'!E5)*1000,2)</f>
        <v>468000</v>
      </c>
      <c r="G1499" s="8">
        <f>ROUND('Criaturas - Base de Dados'!I251*'Sistema de Raridade e Evolução'!E5,0)</f>
        <v>288</v>
      </c>
      <c r="H1499" s="8">
        <f>ROUND('Criaturas - Base de Dados'!J251*'Sistema de Raridade e Evolução'!E5,0)</f>
        <v>234</v>
      </c>
      <c r="I1499" s="8">
        <f>ROUND('Criaturas - Base de Dados'!K251*'Sistema de Raridade e Evolução'!E5,0)</f>
        <v>1494</v>
      </c>
      <c r="J1499" s="8">
        <f>'Sistema de Raridade e Evolução'!D5</f>
        <v>31</v>
      </c>
      <c r="K1499" s="8" t="s">
        <v>11</v>
      </c>
      <c r="L1499" s="9">
        <f t="shared" si="23"/>
        <v>1114285.71</v>
      </c>
    </row>
    <row r="1500" spans="1:12" ht="14.25" hidden="1" customHeight="1" x14ac:dyDescent="0.3">
      <c r="A1500" s="8">
        <v>1499</v>
      </c>
      <c r="B1500" s="8" t="str">
        <f>'Criaturas - Base de Dados'!B251</f>
        <v>Chama Vulcânica</v>
      </c>
      <c r="C1500" s="8" t="str">
        <f>'Criaturas - Base de Dados'!C251</f>
        <v>Lava</v>
      </c>
      <c r="D1500" s="8" t="str">
        <f>'Criaturas - Base de Dados'!D251</f>
        <v>Titã Vulcânico</v>
      </c>
      <c r="E1500" s="8" t="str">
        <f>'Sistema de Raridade e Evolução'!B6</f>
        <v>Platina</v>
      </c>
      <c r="F1500" s="9">
        <f>ROUND(('Criaturas - Base de Dados'!H251*'Sistema de Raridade e Evolução'!E6)*1000,2)</f>
        <v>1300000</v>
      </c>
      <c r="G1500" s="8">
        <f>ROUND('Criaturas - Base de Dados'!I251*'Sistema de Raridade e Evolução'!E6,0)</f>
        <v>800</v>
      </c>
      <c r="H1500" s="8">
        <f>ROUND('Criaturas - Base de Dados'!J251*'Sistema de Raridade e Evolução'!E6,0)</f>
        <v>650</v>
      </c>
      <c r="I1500" s="8">
        <f>ROUND('Criaturas - Base de Dados'!K251*'Sistema de Raridade e Evolução'!E6,0)</f>
        <v>4150</v>
      </c>
      <c r="J1500" s="8">
        <f>'Sistema de Raridade e Evolução'!D6</f>
        <v>56</v>
      </c>
      <c r="K1500" s="8" t="s">
        <v>12</v>
      </c>
      <c r="L1500" s="9">
        <f t="shared" si="23"/>
        <v>3095238.1</v>
      </c>
    </row>
    <row r="1501" spans="1:12" ht="14.25" hidden="1" customHeight="1" x14ac:dyDescent="0.3">
      <c r="A1501" s="8">
        <v>1500</v>
      </c>
      <c r="B1501" s="8" t="str">
        <f>'Criaturas - Base de Dados'!B251</f>
        <v>Chama Vulcânica</v>
      </c>
      <c r="C1501" s="8" t="str">
        <f>'Criaturas - Base de Dados'!C251</f>
        <v>Lava</v>
      </c>
      <c r="D1501" s="8" t="str">
        <f>'Criaturas - Base de Dados'!D251</f>
        <v>Titã Vulcânico</v>
      </c>
      <c r="E1501" s="8" t="str">
        <f>'Sistema de Raridade e Evolução'!B7</f>
        <v>Lendário</v>
      </c>
      <c r="F1501" s="9">
        <f>ROUND(('Criaturas - Base de Dados'!H251*'Sistema de Raridade e Evolução'!E7)*1000,2)</f>
        <v>3900000</v>
      </c>
      <c r="G1501" s="8">
        <f>ROUND('Criaturas - Base de Dados'!I251*'Sistema de Raridade e Evolução'!E7,0)</f>
        <v>2400</v>
      </c>
      <c r="H1501" s="8">
        <f>ROUND('Criaturas - Base de Dados'!J251*'Sistema de Raridade e Evolução'!E7,0)</f>
        <v>1950</v>
      </c>
      <c r="I1501" s="8">
        <f>ROUND('Criaturas - Base de Dados'!K251*'Sistema de Raridade e Evolução'!E7,0)</f>
        <v>12450</v>
      </c>
      <c r="J1501" s="8">
        <f>'Sistema de Raridade e Evolução'!D7</f>
        <v>91</v>
      </c>
      <c r="K1501" s="8" t="s">
        <v>925</v>
      </c>
      <c r="L1501" s="9">
        <f t="shared" si="23"/>
        <v>9285714.2899999991</v>
      </c>
    </row>
    <row r="1502" spans="1:12" ht="14.25" customHeight="1" x14ac:dyDescent="0.3">
      <c r="A1502" s="8">
        <v>1501</v>
      </c>
      <c r="B1502" s="8" t="str">
        <f>'Criaturas - Base de Dados'!B252</f>
        <v>Chama Vulcânica</v>
      </c>
      <c r="C1502" s="8" t="str">
        <f>'Criaturas - Base de Dados'!C252</f>
        <v>Lava</v>
      </c>
      <c r="D1502" s="8" t="str">
        <f>'Criaturas - Base de Dados'!D252</f>
        <v>Salamandra Magmática</v>
      </c>
      <c r="E1502" s="8" t="str">
        <f>'Sistema de Raridade e Evolução'!B2</f>
        <v>Default</v>
      </c>
      <c r="F1502" s="9" t="e">
        <f>ROUND(('Criaturas - Base de Dados'!H252*'Sistema de Raridade e Evolução'!E2)*1000,2)</f>
        <v>#VALUE!</v>
      </c>
      <c r="G1502" s="8" t="e">
        <f>ROUND('Criaturas - Base de Dados'!I252*'Sistema de Raridade e Evolução'!E2,0)</f>
        <v>#VALUE!</v>
      </c>
      <c r="H1502" s="8" t="e">
        <f>ROUND('Criaturas - Base de Dados'!J252*'Sistema de Raridade e Evolução'!E2,0)</f>
        <v>#VALUE!</v>
      </c>
      <c r="I1502" s="8" t="e">
        <f>ROUND('Criaturas - Base de Dados'!K252*'Sistema de Raridade e Evolução'!E2,0)</f>
        <v>#VALUE!</v>
      </c>
      <c r="J1502" s="8">
        <f>'Sistema de Raridade e Evolução'!D2</f>
        <v>1</v>
      </c>
      <c r="K1502" s="8" t="s">
        <v>8</v>
      </c>
      <c r="L1502" s="9" t="e">
        <f t="shared" si="23"/>
        <v>#VALUE!</v>
      </c>
    </row>
    <row r="1503" spans="1:12" ht="14.25" hidden="1" customHeight="1" x14ac:dyDescent="0.3">
      <c r="A1503" s="8">
        <v>1502</v>
      </c>
      <c r="B1503" s="8" t="str">
        <f>'Criaturas - Base de Dados'!B252</f>
        <v>Chama Vulcânica</v>
      </c>
      <c r="C1503" s="8" t="str">
        <f>'Criaturas - Base de Dados'!C252</f>
        <v>Lava</v>
      </c>
      <c r="D1503" s="8" t="str">
        <f>'Criaturas - Base de Dados'!D252</f>
        <v>Salamandra Magmática</v>
      </c>
      <c r="E1503" s="8" t="str">
        <f>'Sistema de Raridade e Evolução'!B3</f>
        <v>Bronze</v>
      </c>
      <c r="F1503" s="9">
        <f>ROUND(('Criaturas - Base de Dados'!H252*'Sistema de Raridade e Evolução'!E3)*1000,2)</f>
        <v>28000</v>
      </c>
      <c r="G1503" s="8">
        <f>ROUND('Criaturas - Base de Dados'!I252*'Sistema de Raridade e Evolução'!E3,0)</f>
        <v>17</v>
      </c>
      <c r="H1503" s="8">
        <f>ROUND('Criaturas - Base de Dados'!J252*'Sistema de Raridade e Evolução'!E3,0)</f>
        <v>14</v>
      </c>
      <c r="I1503" s="8">
        <f>ROUND('Criaturas - Base de Dados'!K252*'Sistema de Raridade e Evolução'!E3,0)</f>
        <v>90</v>
      </c>
      <c r="J1503" s="8">
        <f>'Sistema de Raridade e Evolução'!D3</f>
        <v>6</v>
      </c>
      <c r="K1503" s="8" t="s">
        <v>9</v>
      </c>
      <c r="L1503" s="9">
        <f t="shared" si="23"/>
        <v>66666.67</v>
      </c>
    </row>
    <row r="1504" spans="1:12" ht="14.25" hidden="1" customHeight="1" x14ac:dyDescent="0.3">
      <c r="A1504" s="8">
        <v>1503</v>
      </c>
      <c r="B1504" s="8" t="str">
        <f>'Criaturas - Base de Dados'!B252</f>
        <v>Chama Vulcânica</v>
      </c>
      <c r="C1504" s="8" t="str">
        <f>'Criaturas - Base de Dados'!C252</f>
        <v>Lava</v>
      </c>
      <c r="D1504" s="8" t="str">
        <f>'Criaturas - Base de Dados'!D252</f>
        <v>Salamandra Magmática</v>
      </c>
      <c r="E1504" s="8" t="str">
        <f>'Sistema de Raridade e Evolução'!B4</f>
        <v>Prata</v>
      </c>
      <c r="F1504" s="9">
        <f>ROUND(('Criaturas - Base de Dados'!H252*'Sistema de Raridade e Evolução'!E4)*1000,2)</f>
        <v>168000</v>
      </c>
      <c r="G1504" s="8">
        <f>ROUND('Criaturas - Base de Dados'!I252*'Sistema de Raridade e Evolução'!E4,0)</f>
        <v>102</v>
      </c>
      <c r="H1504" s="8">
        <f>ROUND('Criaturas - Base de Dados'!J252*'Sistema de Raridade e Evolução'!E4,0)</f>
        <v>84</v>
      </c>
      <c r="I1504" s="8">
        <f>ROUND('Criaturas - Base de Dados'!K252*'Sistema de Raridade e Evolução'!E4,0)</f>
        <v>540</v>
      </c>
      <c r="J1504" s="8">
        <f>'Sistema de Raridade e Evolução'!D4</f>
        <v>16</v>
      </c>
      <c r="K1504" s="8" t="s">
        <v>10</v>
      </c>
      <c r="L1504" s="9">
        <f t="shared" si="23"/>
        <v>400000</v>
      </c>
    </row>
    <row r="1505" spans="1:12" ht="14.25" hidden="1" customHeight="1" x14ac:dyDescent="0.3">
      <c r="A1505" s="8">
        <v>1504</v>
      </c>
      <c r="B1505" s="8" t="str">
        <f>'Criaturas - Base de Dados'!B252</f>
        <v>Chama Vulcânica</v>
      </c>
      <c r="C1505" s="8" t="str">
        <f>'Criaturas - Base de Dados'!C252</f>
        <v>Lava</v>
      </c>
      <c r="D1505" s="8" t="str">
        <f>'Criaturas - Base de Dados'!D252</f>
        <v>Salamandra Magmática</v>
      </c>
      <c r="E1505" s="8" t="str">
        <f>'Sistema de Raridade e Evolução'!B5</f>
        <v>Ouro</v>
      </c>
      <c r="F1505" s="9">
        <f>ROUND(('Criaturas - Base de Dados'!H252*'Sistema de Raridade e Evolução'!E5)*1000,2)</f>
        <v>504000</v>
      </c>
      <c r="G1505" s="8">
        <f>ROUND('Criaturas - Base de Dados'!I252*'Sistema de Raridade e Evolução'!E5,0)</f>
        <v>306</v>
      </c>
      <c r="H1505" s="8">
        <f>ROUND('Criaturas - Base de Dados'!J252*'Sistema de Raridade e Evolução'!E5,0)</f>
        <v>252</v>
      </c>
      <c r="I1505" s="8">
        <f>ROUND('Criaturas - Base de Dados'!K252*'Sistema de Raridade e Evolução'!E5,0)</f>
        <v>1620</v>
      </c>
      <c r="J1505" s="8">
        <f>'Sistema de Raridade e Evolução'!D5</f>
        <v>31</v>
      </c>
      <c r="K1505" s="8" t="s">
        <v>11</v>
      </c>
      <c r="L1505" s="9">
        <f t="shared" si="23"/>
        <v>1200000</v>
      </c>
    </row>
    <row r="1506" spans="1:12" ht="14.25" hidden="1" customHeight="1" x14ac:dyDescent="0.3">
      <c r="A1506" s="8">
        <v>1505</v>
      </c>
      <c r="B1506" s="8" t="str">
        <f>'Criaturas - Base de Dados'!B252</f>
        <v>Chama Vulcânica</v>
      </c>
      <c r="C1506" s="8" t="str">
        <f>'Criaturas - Base de Dados'!C252</f>
        <v>Lava</v>
      </c>
      <c r="D1506" s="8" t="str">
        <f>'Criaturas - Base de Dados'!D252</f>
        <v>Salamandra Magmática</v>
      </c>
      <c r="E1506" s="8" t="str">
        <f>'Sistema de Raridade e Evolução'!B6</f>
        <v>Platina</v>
      </c>
      <c r="F1506" s="9">
        <f>ROUND(('Criaturas - Base de Dados'!H252*'Sistema de Raridade e Evolução'!E6)*1000,2)</f>
        <v>1400000</v>
      </c>
      <c r="G1506" s="8">
        <f>ROUND('Criaturas - Base de Dados'!I252*'Sistema de Raridade e Evolução'!E6,0)</f>
        <v>850</v>
      </c>
      <c r="H1506" s="8">
        <f>ROUND('Criaturas - Base de Dados'!J252*'Sistema de Raridade e Evolução'!E6,0)</f>
        <v>700</v>
      </c>
      <c r="I1506" s="8">
        <f>ROUND('Criaturas - Base de Dados'!K252*'Sistema de Raridade e Evolução'!E6,0)</f>
        <v>4500</v>
      </c>
      <c r="J1506" s="8">
        <f>'Sistema de Raridade e Evolução'!D6</f>
        <v>56</v>
      </c>
      <c r="K1506" s="8" t="s">
        <v>12</v>
      </c>
      <c r="L1506" s="9">
        <f t="shared" si="23"/>
        <v>3333333.33</v>
      </c>
    </row>
    <row r="1507" spans="1:12" ht="14.25" hidden="1" customHeight="1" x14ac:dyDescent="0.3">
      <c r="A1507" s="8">
        <v>1506</v>
      </c>
      <c r="B1507" s="8" t="str">
        <f>'Criaturas - Base de Dados'!B252</f>
        <v>Chama Vulcânica</v>
      </c>
      <c r="C1507" s="8" t="str">
        <f>'Criaturas - Base de Dados'!C252</f>
        <v>Lava</v>
      </c>
      <c r="D1507" s="8" t="str">
        <f>'Criaturas - Base de Dados'!D252</f>
        <v>Salamandra Magmática</v>
      </c>
      <c r="E1507" s="8" t="str">
        <f>'Sistema de Raridade e Evolução'!B7</f>
        <v>Lendário</v>
      </c>
      <c r="F1507" s="9">
        <f>ROUND(('Criaturas - Base de Dados'!H252*'Sistema de Raridade e Evolução'!E7)*1000,2)</f>
        <v>4200000</v>
      </c>
      <c r="G1507" s="8">
        <f>ROUND('Criaturas - Base de Dados'!I252*'Sistema de Raridade e Evolução'!E7,0)</f>
        <v>2550</v>
      </c>
      <c r="H1507" s="8">
        <f>ROUND('Criaturas - Base de Dados'!J252*'Sistema de Raridade e Evolução'!E7,0)</f>
        <v>2100</v>
      </c>
      <c r="I1507" s="8">
        <f>ROUND('Criaturas - Base de Dados'!K252*'Sistema de Raridade e Evolução'!E7,0)</f>
        <v>13500</v>
      </c>
      <c r="J1507" s="8">
        <f>'Sistema de Raridade e Evolução'!D7</f>
        <v>91</v>
      </c>
      <c r="K1507" s="8" t="s">
        <v>925</v>
      </c>
      <c r="L1507" s="9">
        <f t="shared" si="23"/>
        <v>10000000</v>
      </c>
    </row>
    <row r="1508" spans="1:12" ht="14.25" customHeight="1" x14ac:dyDescent="0.3">
      <c r="A1508" s="8">
        <v>1507</v>
      </c>
      <c r="B1508" s="8" t="str">
        <f>'Criaturas - Base de Dados'!B253</f>
        <v>Chama Vulcânica</v>
      </c>
      <c r="C1508" s="8" t="str">
        <f>'Criaturas - Base de Dados'!C253</f>
        <v>Lava</v>
      </c>
      <c r="D1508" s="8" t="str">
        <f>'Criaturas - Base de Dados'!D253</f>
        <v>Fúria do Crater</v>
      </c>
      <c r="E1508" s="8" t="str">
        <f>'Sistema de Raridade e Evolução'!B2</f>
        <v>Default</v>
      </c>
      <c r="F1508" s="9" t="e">
        <f>ROUND(('Criaturas - Base de Dados'!H253*'Sistema de Raridade e Evolução'!E2)*1000,2)</f>
        <v>#VALUE!</v>
      </c>
      <c r="G1508" s="8" t="e">
        <f>ROUND('Criaturas - Base de Dados'!I253*'Sistema de Raridade e Evolução'!E2,0)</f>
        <v>#VALUE!</v>
      </c>
      <c r="H1508" s="8" t="e">
        <f>ROUND('Criaturas - Base de Dados'!J253*'Sistema de Raridade e Evolução'!E2,0)</f>
        <v>#VALUE!</v>
      </c>
      <c r="I1508" s="8" t="e">
        <f>ROUND('Criaturas - Base de Dados'!K253*'Sistema de Raridade e Evolução'!E2,0)</f>
        <v>#VALUE!</v>
      </c>
      <c r="J1508" s="8">
        <f>'Sistema de Raridade e Evolução'!D2</f>
        <v>1</v>
      </c>
      <c r="K1508" s="8" t="s">
        <v>8</v>
      </c>
      <c r="L1508" s="9" t="e">
        <f t="shared" si="23"/>
        <v>#VALUE!</v>
      </c>
    </row>
    <row r="1509" spans="1:12" ht="14.25" hidden="1" customHeight="1" x14ac:dyDescent="0.3">
      <c r="A1509" s="8">
        <v>1508</v>
      </c>
      <c r="B1509" s="8" t="str">
        <f>'Criaturas - Base de Dados'!B253</f>
        <v>Chama Vulcânica</v>
      </c>
      <c r="C1509" s="8" t="str">
        <f>'Criaturas - Base de Dados'!C253</f>
        <v>Lava</v>
      </c>
      <c r="D1509" s="8" t="str">
        <f>'Criaturas - Base de Dados'!D253</f>
        <v>Fúria do Crater</v>
      </c>
      <c r="E1509" s="8" t="str">
        <f>'Sistema de Raridade e Evolução'!B3</f>
        <v>Bronze</v>
      </c>
      <c r="F1509" s="9">
        <f>ROUND(('Criaturas - Base de Dados'!H253*'Sistema de Raridade e Evolução'!E3)*1000,2)</f>
        <v>30000</v>
      </c>
      <c r="G1509" s="8">
        <f>ROUND('Criaturas - Base de Dados'!I253*'Sistema de Raridade e Evolução'!E3,0)</f>
        <v>18</v>
      </c>
      <c r="H1509" s="8">
        <f>ROUND('Criaturas - Base de Dados'!J253*'Sistema de Raridade e Evolução'!E3,0)</f>
        <v>15</v>
      </c>
      <c r="I1509" s="8">
        <f>ROUND('Criaturas - Base de Dados'!K253*'Sistema de Raridade e Evolução'!E3,0)</f>
        <v>96</v>
      </c>
      <c r="J1509" s="8">
        <f>'Sistema de Raridade e Evolução'!D3</f>
        <v>6</v>
      </c>
      <c r="K1509" s="8" t="s">
        <v>9</v>
      </c>
      <c r="L1509" s="9">
        <f t="shared" si="23"/>
        <v>71428.570000000007</v>
      </c>
    </row>
    <row r="1510" spans="1:12" ht="14.25" hidden="1" customHeight="1" x14ac:dyDescent="0.3">
      <c r="A1510" s="8">
        <v>1509</v>
      </c>
      <c r="B1510" s="8" t="str">
        <f>'Criaturas - Base de Dados'!B253</f>
        <v>Chama Vulcânica</v>
      </c>
      <c r="C1510" s="8" t="str">
        <f>'Criaturas - Base de Dados'!C253</f>
        <v>Lava</v>
      </c>
      <c r="D1510" s="8" t="str">
        <f>'Criaturas - Base de Dados'!D253</f>
        <v>Fúria do Crater</v>
      </c>
      <c r="E1510" s="8" t="str">
        <f>'Sistema de Raridade e Evolução'!B4</f>
        <v>Prata</v>
      </c>
      <c r="F1510" s="9">
        <f>ROUND(('Criaturas - Base de Dados'!H253*'Sistema de Raridade e Evolução'!E4)*1000,2)</f>
        <v>180000</v>
      </c>
      <c r="G1510" s="8">
        <f>ROUND('Criaturas - Base de Dados'!I253*'Sistema de Raridade e Evolução'!E4,0)</f>
        <v>108</v>
      </c>
      <c r="H1510" s="8">
        <f>ROUND('Criaturas - Base de Dados'!J253*'Sistema de Raridade e Evolução'!E4,0)</f>
        <v>90</v>
      </c>
      <c r="I1510" s="8">
        <f>ROUND('Criaturas - Base de Dados'!K253*'Sistema de Raridade e Evolução'!E4,0)</f>
        <v>576</v>
      </c>
      <c r="J1510" s="8">
        <f>'Sistema de Raridade e Evolução'!D4</f>
        <v>16</v>
      </c>
      <c r="K1510" s="8" t="s">
        <v>10</v>
      </c>
      <c r="L1510" s="9">
        <f t="shared" si="23"/>
        <v>428571.43</v>
      </c>
    </row>
    <row r="1511" spans="1:12" ht="14.25" hidden="1" customHeight="1" x14ac:dyDescent="0.3">
      <c r="A1511" s="8">
        <v>1510</v>
      </c>
      <c r="B1511" s="8" t="str">
        <f>'Criaturas - Base de Dados'!B253</f>
        <v>Chama Vulcânica</v>
      </c>
      <c r="C1511" s="8" t="str">
        <f>'Criaturas - Base de Dados'!C253</f>
        <v>Lava</v>
      </c>
      <c r="D1511" s="8" t="str">
        <f>'Criaturas - Base de Dados'!D253</f>
        <v>Fúria do Crater</v>
      </c>
      <c r="E1511" s="8" t="str">
        <f>'Sistema de Raridade e Evolução'!B5</f>
        <v>Ouro</v>
      </c>
      <c r="F1511" s="9">
        <f>ROUND(('Criaturas - Base de Dados'!H253*'Sistema de Raridade e Evolução'!E5)*1000,2)</f>
        <v>540000</v>
      </c>
      <c r="G1511" s="8">
        <f>ROUND('Criaturas - Base de Dados'!I253*'Sistema de Raridade e Evolução'!E5,0)</f>
        <v>324</v>
      </c>
      <c r="H1511" s="8">
        <f>ROUND('Criaturas - Base de Dados'!J253*'Sistema de Raridade e Evolução'!E5,0)</f>
        <v>270</v>
      </c>
      <c r="I1511" s="8">
        <f>ROUND('Criaturas - Base de Dados'!K253*'Sistema de Raridade e Evolução'!E5,0)</f>
        <v>1728</v>
      </c>
      <c r="J1511" s="8">
        <f>'Sistema de Raridade e Evolução'!D5</f>
        <v>31</v>
      </c>
      <c r="K1511" s="8" t="s">
        <v>11</v>
      </c>
      <c r="L1511" s="9">
        <f t="shared" si="23"/>
        <v>1285714.29</v>
      </c>
    </row>
    <row r="1512" spans="1:12" ht="14.25" hidden="1" customHeight="1" x14ac:dyDescent="0.3">
      <c r="A1512" s="8">
        <v>1511</v>
      </c>
      <c r="B1512" s="8" t="str">
        <f>'Criaturas - Base de Dados'!B253</f>
        <v>Chama Vulcânica</v>
      </c>
      <c r="C1512" s="8" t="str">
        <f>'Criaturas - Base de Dados'!C253</f>
        <v>Lava</v>
      </c>
      <c r="D1512" s="8" t="str">
        <f>'Criaturas - Base de Dados'!D253</f>
        <v>Fúria do Crater</v>
      </c>
      <c r="E1512" s="8" t="str">
        <f>'Sistema de Raridade e Evolução'!B6</f>
        <v>Platina</v>
      </c>
      <c r="F1512" s="9">
        <f>ROUND(('Criaturas - Base de Dados'!H253*'Sistema de Raridade e Evolução'!E6)*1000,2)</f>
        <v>1500000</v>
      </c>
      <c r="G1512" s="8">
        <f>ROUND('Criaturas - Base de Dados'!I253*'Sistema de Raridade e Evolução'!E6,0)</f>
        <v>900</v>
      </c>
      <c r="H1512" s="8">
        <f>ROUND('Criaturas - Base de Dados'!J253*'Sistema de Raridade e Evolução'!E6,0)</f>
        <v>750</v>
      </c>
      <c r="I1512" s="8">
        <f>ROUND('Criaturas - Base de Dados'!K253*'Sistema de Raridade e Evolução'!E6,0)</f>
        <v>4800</v>
      </c>
      <c r="J1512" s="8">
        <f>'Sistema de Raridade e Evolução'!D6</f>
        <v>56</v>
      </c>
      <c r="K1512" s="8" t="s">
        <v>12</v>
      </c>
      <c r="L1512" s="9">
        <f t="shared" si="23"/>
        <v>3571428.57</v>
      </c>
    </row>
    <row r="1513" spans="1:12" ht="14.25" hidden="1" customHeight="1" x14ac:dyDescent="0.3">
      <c r="A1513" s="8">
        <v>1512</v>
      </c>
      <c r="B1513" s="8" t="str">
        <f>'Criaturas - Base de Dados'!B253</f>
        <v>Chama Vulcânica</v>
      </c>
      <c r="C1513" s="8" t="str">
        <f>'Criaturas - Base de Dados'!C253</f>
        <v>Lava</v>
      </c>
      <c r="D1513" s="8" t="str">
        <f>'Criaturas - Base de Dados'!D253</f>
        <v>Fúria do Crater</v>
      </c>
      <c r="E1513" s="8" t="str">
        <f>'Sistema de Raridade e Evolução'!B7</f>
        <v>Lendário</v>
      </c>
      <c r="F1513" s="9">
        <f>ROUND(('Criaturas - Base de Dados'!H253*'Sistema de Raridade e Evolução'!E7)*1000,2)</f>
        <v>4500000</v>
      </c>
      <c r="G1513" s="8">
        <f>ROUND('Criaturas - Base de Dados'!I253*'Sistema de Raridade e Evolução'!E7,0)</f>
        <v>2700</v>
      </c>
      <c r="H1513" s="8">
        <f>ROUND('Criaturas - Base de Dados'!J253*'Sistema de Raridade e Evolução'!E7,0)</f>
        <v>2250</v>
      </c>
      <c r="I1513" s="8">
        <f>ROUND('Criaturas - Base de Dados'!K253*'Sistema de Raridade e Evolução'!E7,0)</f>
        <v>14400</v>
      </c>
      <c r="J1513" s="8">
        <f>'Sistema de Raridade e Evolução'!D7</f>
        <v>91</v>
      </c>
      <c r="K1513" s="8" t="s">
        <v>925</v>
      </c>
      <c r="L1513" s="9">
        <f t="shared" si="23"/>
        <v>10714285.710000001</v>
      </c>
    </row>
    <row r="1514" spans="1:12" ht="14.25" customHeight="1" x14ac:dyDescent="0.3">
      <c r="A1514" s="8">
        <v>1513</v>
      </c>
      <c r="B1514" s="8" t="str">
        <f>'Criaturas - Base de Dados'!B254</f>
        <v>Chama Vulcânica</v>
      </c>
      <c r="C1514" s="8" t="str">
        <f>'Criaturas - Base de Dados'!C254</f>
        <v>Lava</v>
      </c>
      <c r="D1514" s="8" t="str">
        <f>'Criaturas - Base de Dados'!D254</f>
        <v>Wyrm Vulcânico</v>
      </c>
      <c r="E1514" s="8" t="str">
        <f>'Sistema de Raridade e Evolução'!B2</f>
        <v>Default</v>
      </c>
      <c r="F1514" s="9" t="e">
        <f>ROUND(('Criaturas - Base de Dados'!H254*'Sistema de Raridade e Evolução'!E2)*1000,2)</f>
        <v>#VALUE!</v>
      </c>
      <c r="G1514" s="8" t="e">
        <f>ROUND('Criaturas - Base de Dados'!I254*'Sistema de Raridade e Evolução'!E2,0)</f>
        <v>#VALUE!</v>
      </c>
      <c r="H1514" s="8" t="e">
        <f>ROUND('Criaturas - Base de Dados'!J254*'Sistema de Raridade e Evolução'!E2,0)</f>
        <v>#VALUE!</v>
      </c>
      <c r="I1514" s="8" t="e">
        <f>ROUND('Criaturas - Base de Dados'!K254*'Sistema de Raridade e Evolução'!E2,0)</f>
        <v>#VALUE!</v>
      </c>
      <c r="J1514" s="8">
        <f>'Sistema de Raridade e Evolução'!D2</f>
        <v>1</v>
      </c>
      <c r="K1514" s="8" t="s">
        <v>8</v>
      </c>
      <c r="L1514" s="9" t="e">
        <f t="shared" si="23"/>
        <v>#VALUE!</v>
      </c>
    </row>
    <row r="1515" spans="1:12" ht="14.25" hidden="1" customHeight="1" x14ac:dyDescent="0.3">
      <c r="A1515" s="8">
        <v>1514</v>
      </c>
      <c r="B1515" s="8" t="str">
        <f>'Criaturas - Base de Dados'!B254</f>
        <v>Chama Vulcânica</v>
      </c>
      <c r="C1515" s="8" t="str">
        <f>'Criaturas - Base de Dados'!C254</f>
        <v>Lava</v>
      </c>
      <c r="D1515" s="8" t="str">
        <f>'Criaturas - Base de Dados'!D254</f>
        <v>Wyrm Vulcânico</v>
      </c>
      <c r="E1515" s="8" t="str">
        <f>'Sistema de Raridade e Evolução'!B3</f>
        <v>Bronze</v>
      </c>
      <c r="F1515" s="9">
        <f>ROUND(('Criaturas - Base de Dados'!H254*'Sistema de Raridade e Evolução'!E3)*1000,2)</f>
        <v>34000</v>
      </c>
      <c r="G1515" s="8">
        <f>ROUND('Criaturas - Base de Dados'!I254*'Sistema de Raridade e Evolução'!E3,0)</f>
        <v>20</v>
      </c>
      <c r="H1515" s="8">
        <f>ROUND('Criaturas - Base de Dados'!J254*'Sistema de Raridade e Evolução'!E3,0)</f>
        <v>17</v>
      </c>
      <c r="I1515" s="8">
        <f>ROUND('Criaturas - Base de Dados'!K254*'Sistema de Raridade e Evolução'!E3,0)</f>
        <v>109</v>
      </c>
      <c r="J1515" s="8">
        <f>'Sistema de Raridade e Evolução'!D3</f>
        <v>6</v>
      </c>
      <c r="K1515" s="8" t="s">
        <v>9</v>
      </c>
      <c r="L1515" s="9">
        <f t="shared" si="23"/>
        <v>80952.38</v>
      </c>
    </row>
    <row r="1516" spans="1:12" ht="14.25" hidden="1" customHeight="1" x14ac:dyDescent="0.3">
      <c r="A1516" s="8">
        <v>1515</v>
      </c>
      <c r="B1516" s="8" t="str">
        <f>'Criaturas - Base de Dados'!B254</f>
        <v>Chama Vulcânica</v>
      </c>
      <c r="C1516" s="8" t="str">
        <f>'Criaturas - Base de Dados'!C254</f>
        <v>Lava</v>
      </c>
      <c r="D1516" s="8" t="str">
        <f>'Criaturas - Base de Dados'!D254</f>
        <v>Wyrm Vulcânico</v>
      </c>
      <c r="E1516" s="8" t="str">
        <f>'Sistema de Raridade e Evolução'!B4</f>
        <v>Prata</v>
      </c>
      <c r="F1516" s="9">
        <f>ROUND(('Criaturas - Base de Dados'!H254*'Sistema de Raridade e Evolução'!E4)*1000,2)</f>
        <v>204000</v>
      </c>
      <c r="G1516" s="8">
        <f>ROUND('Criaturas - Base de Dados'!I254*'Sistema de Raridade e Evolução'!E4,0)</f>
        <v>120</v>
      </c>
      <c r="H1516" s="8">
        <f>ROUND('Criaturas - Base de Dados'!J254*'Sistema de Raridade e Evolução'!E4,0)</f>
        <v>102</v>
      </c>
      <c r="I1516" s="8">
        <f>ROUND('Criaturas - Base de Dados'!K254*'Sistema de Raridade e Evolução'!E4,0)</f>
        <v>654</v>
      </c>
      <c r="J1516" s="8">
        <f>'Sistema de Raridade e Evolução'!D4</f>
        <v>16</v>
      </c>
      <c r="K1516" s="8" t="s">
        <v>10</v>
      </c>
      <c r="L1516" s="9">
        <f t="shared" si="23"/>
        <v>485714.29</v>
      </c>
    </row>
    <row r="1517" spans="1:12" ht="14.25" hidden="1" customHeight="1" x14ac:dyDescent="0.3">
      <c r="A1517" s="8">
        <v>1516</v>
      </c>
      <c r="B1517" s="8" t="str">
        <f>'Criaturas - Base de Dados'!B254</f>
        <v>Chama Vulcânica</v>
      </c>
      <c r="C1517" s="8" t="str">
        <f>'Criaturas - Base de Dados'!C254</f>
        <v>Lava</v>
      </c>
      <c r="D1517" s="8" t="str">
        <f>'Criaturas - Base de Dados'!D254</f>
        <v>Wyrm Vulcânico</v>
      </c>
      <c r="E1517" s="8" t="str">
        <f>'Sistema de Raridade e Evolução'!B5</f>
        <v>Ouro</v>
      </c>
      <c r="F1517" s="9">
        <f>ROUND(('Criaturas - Base de Dados'!H254*'Sistema de Raridade e Evolução'!E5)*1000,2)</f>
        <v>612000</v>
      </c>
      <c r="G1517" s="8">
        <f>ROUND('Criaturas - Base de Dados'!I254*'Sistema de Raridade e Evolução'!E5,0)</f>
        <v>360</v>
      </c>
      <c r="H1517" s="8">
        <f>ROUND('Criaturas - Base de Dados'!J254*'Sistema de Raridade e Evolução'!E5,0)</f>
        <v>306</v>
      </c>
      <c r="I1517" s="8">
        <f>ROUND('Criaturas - Base de Dados'!K254*'Sistema de Raridade e Evolução'!E5,0)</f>
        <v>1962</v>
      </c>
      <c r="J1517" s="8">
        <f>'Sistema de Raridade e Evolução'!D5</f>
        <v>31</v>
      </c>
      <c r="K1517" s="8" t="s">
        <v>11</v>
      </c>
      <c r="L1517" s="9">
        <f t="shared" si="23"/>
        <v>1457142.86</v>
      </c>
    </row>
    <row r="1518" spans="1:12" ht="14.25" hidden="1" customHeight="1" x14ac:dyDescent="0.3">
      <c r="A1518" s="8">
        <v>1517</v>
      </c>
      <c r="B1518" s="8" t="str">
        <f>'Criaturas - Base de Dados'!B254</f>
        <v>Chama Vulcânica</v>
      </c>
      <c r="C1518" s="8" t="str">
        <f>'Criaturas - Base de Dados'!C254</f>
        <v>Lava</v>
      </c>
      <c r="D1518" s="8" t="str">
        <f>'Criaturas - Base de Dados'!D254</f>
        <v>Wyrm Vulcânico</v>
      </c>
      <c r="E1518" s="8" t="str">
        <f>'Sistema de Raridade e Evolução'!B6</f>
        <v>Platina</v>
      </c>
      <c r="F1518" s="9">
        <f>ROUND(('Criaturas - Base de Dados'!H254*'Sistema de Raridade e Evolução'!E6)*1000,2)</f>
        <v>1700000</v>
      </c>
      <c r="G1518" s="8">
        <f>ROUND('Criaturas - Base de Dados'!I254*'Sistema de Raridade e Evolução'!E6,0)</f>
        <v>1000</v>
      </c>
      <c r="H1518" s="8">
        <f>ROUND('Criaturas - Base de Dados'!J254*'Sistema de Raridade e Evolução'!E6,0)</f>
        <v>850</v>
      </c>
      <c r="I1518" s="8">
        <f>ROUND('Criaturas - Base de Dados'!K254*'Sistema de Raridade e Evolução'!E6,0)</f>
        <v>5450</v>
      </c>
      <c r="J1518" s="8">
        <f>'Sistema de Raridade e Evolução'!D6</f>
        <v>56</v>
      </c>
      <c r="K1518" s="8" t="s">
        <v>12</v>
      </c>
      <c r="L1518" s="9">
        <f t="shared" si="23"/>
        <v>4047619.05</v>
      </c>
    </row>
    <row r="1519" spans="1:12" ht="14.25" hidden="1" customHeight="1" x14ac:dyDescent="0.3">
      <c r="A1519" s="8">
        <v>1518</v>
      </c>
      <c r="B1519" s="8" t="str">
        <f>'Criaturas - Base de Dados'!B254</f>
        <v>Chama Vulcânica</v>
      </c>
      <c r="C1519" s="8" t="str">
        <f>'Criaturas - Base de Dados'!C254</f>
        <v>Lava</v>
      </c>
      <c r="D1519" s="8" t="str">
        <f>'Criaturas - Base de Dados'!D254</f>
        <v>Wyrm Vulcânico</v>
      </c>
      <c r="E1519" s="8" t="str">
        <f>'Sistema de Raridade e Evolução'!B7</f>
        <v>Lendário</v>
      </c>
      <c r="F1519" s="9">
        <f>ROUND(('Criaturas - Base de Dados'!H254*'Sistema de Raridade e Evolução'!E7)*1000,2)</f>
        <v>5100000</v>
      </c>
      <c r="G1519" s="8">
        <f>ROUND('Criaturas - Base de Dados'!I254*'Sistema de Raridade e Evolução'!E7,0)</f>
        <v>3000</v>
      </c>
      <c r="H1519" s="8">
        <f>ROUND('Criaturas - Base de Dados'!J254*'Sistema de Raridade e Evolução'!E7,0)</f>
        <v>2550</v>
      </c>
      <c r="I1519" s="8">
        <f>ROUND('Criaturas - Base de Dados'!K254*'Sistema de Raridade e Evolução'!E7,0)</f>
        <v>16350</v>
      </c>
      <c r="J1519" s="8">
        <f>'Sistema de Raridade e Evolução'!D7</f>
        <v>91</v>
      </c>
      <c r="K1519" s="8" t="s">
        <v>925</v>
      </c>
      <c r="L1519" s="9">
        <f t="shared" si="23"/>
        <v>12142857.140000001</v>
      </c>
    </row>
    <row r="1520" spans="1:12" ht="14.25" customHeight="1" x14ac:dyDescent="0.3">
      <c r="A1520" s="8">
        <v>1519</v>
      </c>
      <c r="B1520" s="8" t="str">
        <f>'Criaturas - Base de Dados'!B255</f>
        <v>Chama Vulcânica</v>
      </c>
      <c r="C1520" s="8" t="str">
        <f>'Criaturas - Base de Dados'!C255</f>
        <v>Lava</v>
      </c>
      <c r="D1520" s="8" t="str">
        <f>'Criaturas - Base de Dados'!D255</f>
        <v>Espírito da Erupção</v>
      </c>
      <c r="E1520" s="8" t="str">
        <f>'Sistema de Raridade e Evolução'!B2</f>
        <v>Default</v>
      </c>
      <c r="F1520" s="9" t="e">
        <f>ROUND(('Criaturas - Base de Dados'!H255*'Sistema de Raridade e Evolução'!E2)*1000,2)</f>
        <v>#VALUE!</v>
      </c>
      <c r="G1520" s="8" t="e">
        <f>ROUND('Criaturas - Base de Dados'!I255*'Sistema de Raridade e Evolução'!E2,0)</f>
        <v>#VALUE!</v>
      </c>
      <c r="H1520" s="8" t="e">
        <f>ROUND('Criaturas - Base de Dados'!J255*'Sistema de Raridade e Evolução'!E2,0)</f>
        <v>#VALUE!</v>
      </c>
      <c r="I1520" s="8" t="e">
        <f>ROUND('Criaturas - Base de Dados'!K255*'Sistema de Raridade e Evolução'!E2,0)</f>
        <v>#VALUE!</v>
      </c>
      <c r="J1520" s="8">
        <f>'Sistema de Raridade e Evolução'!D2</f>
        <v>1</v>
      </c>
      <c r="K1520" s="8" t="s">
        <v>8</v>
      </c>
      <c r="L1520" s="9" t="e">
        <f t="shared" si="23"/>
        <v>#VALUE!</v>
      </c>
    </row>
    <row r="1521" spans="1:12" ht="14.25" hidden="1" customHeight="1" x14ac:dyDescent="0.3">
      <c r="A1521" s="8">
        <v>1520</v>
      </c>
      <c r="B1521" s="8" t="str">
        <f>'Criaturas - Base de Dados'!B255</f>
        <v>Chama Vulcânica</v>
      </c>
      <c r="C1521" s="8" t="str">
        <f>'Criaturas - Base de Dados'!C255</f>
        <v>Lava</v>
      </c>
      <c r="D1521" s="8" t="str">
        <f>'Criaturas - Base de Dados'!D255</f>
        <v>Espírito da Erupção</v>
      </c>
      <c r="E1521" s="8" t="str">
        <f>'Sistema de Raridade e Evolução'!B3</f>
        <v>Bronze</v>
      </c>
      <c r="F1521" s="9">
        <f>ROUND(('Criaturas - Base de Dados'!H255*'Sistema de Raridade e Evolução'!E3)*1000,2)</f>
        <v>36000</v>
      </c>
      <c r="G1521" s="8">
        <f>ROUND('Criaturas - Base de Dados'!I255*'Sistema de Raridade e Evolução'!E3,0)</f>
        <v>22</v>
      </c>
      <c r="H1521" s="8">
        <f>ROUND('Criaturas - Base de Dados'!J255*'Sistema de Raridade e Evolução'!E3,0)</f>
        <v>18</v>
      </c>
      <c r="I1521" s="8">
        <f>ROUND('Criaturas - Base de Dados'!K255*'Sistema de Raridade e Evolução'!E3,0)</f>
        <v>115</v>
      </c>
      <c r="J1521" s="8">
        <f>'Sistema de Raridade e Evolução'!D3</f>
        <v>6</v>
      </c>
      <c r="K1521" s="8" t="s">
        <v>9</v>
      </c>
      <c r="L1521" s="9">
        <f t="shared" si="23"/>
        <v>85714.29</v>
      </c>
    </row>
    <row r="1522" spans="1:12" ht="14.25" hidden="1" customHeight="1" x14ac:dyDescent="0.3">
      <c r="A1522" s="8">
        <v>1521</v>
      </c>
      <c r="B1522" s="8" t="str">
        <f>'Criaturas - Base de Dados'!B255</f>
        <v>Chama Vulcânica</v>
      </c>
      <c r="C1522" s="8" t="str">
        <f>'Criaturas - Base de Dados'!C255</f>
        <v>Lava</v>
      </c>
      <c r="D1522" s="8" t="str">
        <f>'Criaturas - Base de Dados'!D255</f>
        <v>Espírito da Erupção</v>
      </c>
      <c r="E1522" s="8" t="str">
        <f>'Sistema de Raridade e Evolução'!B4</f>
        <v>Prata</v>
      </c>
      <c r="F1522" s="9">
        <f>ROUND(('Criaturas - Base de Dados'!H255*'Sistema de Raridade e Evolução'!E4)*1000,2)</f>
        <v>216000</v>
      </c>
      <c r="G1522" s="8">
        <f>ROUND('Criaturas - Base de Dados'!I255*'Sistema de Raridade e Evolução'!E4,0)</f>
        <v>132</v>
      </c>
      <c r="H1522" s="8">
        <f>ROUND('Criaturas - Base de Dados'!J255*'Sistema de Raridade e Evolução'!E4,0)</f>
        <v>108</v>
      </c>
      <c r="I1522" s="8">
        <f>ROUND('Criaturas - Base de Dados'!K255*'Sistema de Raridade e Evolução'!E4,0)</f>
        <v>690</v>
      </c>
      <c r="J1522" s="8">
        <f>'Sistema de Raridade e Evolução'!D4</f>
        <v>16</v>
      </c>
      <c r="K1522" s="8" t="s">
        <v>10</v>
      </c>
      <c r="L1522" s="9">
        <f t="shared" si="23"/>
        <v>514285.71</v>
      </c>
    </row>
    <row r="1523" spans="1:12" ht="14.25" hidden="1" customHeight="1" x14ac:dyDescent="0.3">
      <c r="A1523" s="8">
        <v>1522</v>
      </c>
      <c r="B1523" s="8" t="str">
        <f>'Criaturas - Base de Dados'!B255</f>
        <v>Chama Vulcânica</v>
      </c>
      <c r="C1523" s="8" t="str">
        <f>'Criaturas - Base de Dados'!C255</f>
        <v>Lava</v>
      </c>
      <c r="D1523" s="8" t="str">
        <f>'Criaturas - Base de Dados'!D255</f>
        <v>Espírito da Erupção</v>
      </c>
      <c r="E1523" s="8" t="str">
        <f>'Sistema de Raridade e Evolução'!B5</f>
        <v>Ouro</v>
      </c>
      <c r="F1523" s="9">
        <f>ROUND(('Criaturas - Base de Dados'!H255*'Sistema de Raridade e Evolução'!E5)*1000,2)</f>
        <v>648000</v>
      </c>
      <c r="G1523" s="8">
        <f>ROUND('Criaturas - Base de Dados'!I255*'Sistema de Raridade e Evolução'!E5,0)</f>
        <v>396</v>
      </c>
      <c r="H1523" s="8">
        <f>ROUND('Criaturas - Base de Dados'!J255*'Sistema de Raridade e Evolução'!E5,0)</f>
        <v>324</v>
      </c>
      <c r="I1523" s="8">
        <f>ROUND('Criaturas - Base de Dados'!K255*'Sistema de Raridade e Evolução'!E5,0)</f>
        <v>2070</v>
      </c>
      <c r="J1523" s="8">
        <f>'Sistema de Raridade e Evolução'!D5</f>
        <v>31</v>
      </c>
      <c r="K1523" s="8" t="s">
        <v>11</v>
      </c>
      <c r="L1523" s="9">
        <f t="shared" si="23"/>
        <v>1542857.14</v>
      </c>
    </row>
    <row r="1524" spans="1:12" ht="14.25" hidden="1" customHeight="1" x14ac:dyDescent="0.3">
      <c r="A1524" s="8">
        <v>1523</v>
      </c>
      <c r="B1524" s="8" t="str">
        <f>'Criaturas - Base de Dados'!B255</f>
        <v>Chama Vulcânica</v>
      </c>
      <c r="C1524" s="8" t="str">
        <f>'Criaturas - Base de Dados'!C255</f>
        <v>Lava</v>
      </c>
      <c r="D1524" s="8" t="str">
        <f>'Criaturas - Base de Dados'!D255</f>
        <v>Espírito da Erupção</v>
      </c>
      <c r="E1524" s="8" t="str">
        <f>'Sistema de Raridade e Evolução'!B6</f>
        <v>Platina</v>
      </c>
      <c r="F1524" s="9">
        <f>ROUND(('Criaturas - Base de Dados'!H255*'Sistema de Raridade e Evolução'!E6)*1000,2)</f>
        <v>1800000</v>
      </c>
      <c r="G1524" s="8">
        <f>ROUND('Criaturas - Base de Dados'!I255*'Sistema de Raridade e Evolução'!E6,0)</f>
        <v>1100</v>
      </c>
      <c r="H1524" s="8">
        <f>ROUND('Criaturas - Base de Dados'!J255*'Sistema de Raridade e Evolução'!E6,0)</f>
        <v>900</v>
      </c>
      <c r="I1524" s="8">
        <f>ROUND('Criaturas - Base de Dados'!K255*'Sistema de Raridade e Evolução'!E6,0)</f>
        <v>5750</v>
      </c>
      <c r="J1524" s="8">
        <f>'Sistema de Raridade e Evolução'!D6</f>
        <v>56</v>
      </c>
      <c r="K1524" s="8" t="s">
        <v>12</v>
      </c>
      <c r="L1524" s="9">
        <f t="shared" si="23"/>
        <v>4285714.29</v>
      </c>
    </row>
    <row r="1525" spans="1:12" ht="14.25" hidden="1" customHeight="1" x14ac:dyDescent="0.3">
      <c r="A1525" s="8">
        <v>1524</v>
      </c>
      <c r="B1525" s="8" t="str">
        <f>'Criaturas - Base de Dados'!B255</f>
        <v>Chama Vulcânica</v>
      </c>
      <c r="C1525" s="8" t="str">
        <f>'Criaturas - Base de Dados'!C255</f>
        <v>Lava</v>
      </c>
      <c r="D1525" s="8" t="str">
        <f>'Criaturas - Base de Dados'!D255</f>
        <v>Espírito da Erupção</v>
      </c>
      <c r="E1525" s="8" t="str">
        <f>'Sistema de Raridade e Evolução'!B7</f>
        <v>Lendário</v>
      </c>
      <c r="F1525" s="9">
        <f>ROUND(('Criaturas - Base de Dados'!H255*'Sistema de Raridade e Evolução'!E7)*1000,2)</f>
        <v>5400000</v>
      </c>
      <c r="G1525" s="8">
        <f>ROUND('Criaturas - Base de Dados'!I255*'Sistema de Raridade e Evolução'!E7,0)</f>
        <v>3300</v>
      </c>
      <c r="H1525" s="8">
        <f>ROUND('Criaturas - Base de Dados'!J255*'Sistema de Raridade e Evolução'!E7,0)</f>
        <v>2700</v>
      </c>
      <c r="I1525" s="8">
        <f>ROUND('Criaturas - Base de Dados'!K255*'Sistema de Raridade e Evolução'!E7,0)</f>
        <v>17250</v>
      </c>
      <c r="J1525" s="8">
        <f>'Sistema de Raridade e Evolução'!D7</f>
        <v>91</v>
      </c>
      <c r="K1525" s="8" t="s">
        <v>925</v>
      </c>
      <c r="L1525" s="9">
        <f t="shared" si="23"/>
        <v>12857142.859999999</v>
      </c>
    </row>
    <row r="1526" spans="1:12" ht="14.25" customHeight="1" x14ac:dyDescent="0.3">
      <c r="A1526" s="8">
        <v>1525</v>
      </c>
      <c r="B1526" s="8" t="str">
        <f>'Criaturas - Base de Dados'!B256</f>
        <v>Chama Vulcânica</v>
      </c>
      <c r="C1526" s="8" t="str">
        <f>'Criaturas - Base de Dados'!C256</f>
        <v>Lava</v>
      </c>
      <c r="D1526" s="8" t="str">
        <f>'Criaturas - Base de Dados'!D256</f>
        <v>Cão de Magma</v>
      </c>
      <c r="E1526" s="8" t="str">
        <f>'Sistema de Raridade e Evolução'!B2</f>
        <v>Default</v>
      </c>
      <c r="F1526" s="9" t="e">
        <f>ROUND(('Criaturas - Base de Dados'!H256*'Sistema de Raridade e Evolução'!E2)*1000,2)</f>
        <v>#VALUE!</v>
      </c>
      <c r="G1526" s="8" t="e">
        <f>ROUND('Criaturas - Base de Dados'!I256*'Sistema de Raridade e Evolução'!E2,0)</f>
        <v>#VALUE!</v>
      </c>
      <c r="H1526" s="8" t="e">
        <f>ROUND('Criaturas - Base de Dados'!J256*'Sistema de Raridade e Evolução'!E2,0)</f>
        <v>#VALUE!</v>
      </c>
      <c r="I1526" s="8" t="e">
        <f>ROUND('Criaturas - Base de Dados'!K256*'Sistema de Raridade e Evolução'!E2,0)</f>
        <v>#VALUE!</v>
      </c>
      <c r="J1526" s="8">
        <f>'Sistema de Raridade e Evolução'!D2</f>
        <v>1</v>
      </c>
      <c r="K1526" s="8" t="s">
        <v>8</v>
      </c>
      <c r="L1526" s="9" t="e">
        <f t="shared" si="23"/>
        <v>#VALUE!</v>
      </c>
    </row>
    <row r="1527" spans="1:12" ht="14.25" hidden="1" customHeight="1" x14ac:dyDescent="0.3">
      <c r="A1527" s="8">
        <v>1526</v>
      </c>
      <c r="B1527" s="8" t="str">
        <f>'Criaturas - Base de Dados'!B256</f>
        <v>Chama Vulcânica</v>
      </c>
      <c r="C1527" s="8" t="str">
        <f>'Criaturas - Base de Dados'!C256</f>
        <v>Lava</v>
      </c>
      <c r="D1527" s="8" t="str">
        <f>'Criaturas - Base de Dados'!D256</f>
        <v>Cão de Magma</v>
      </c>
      <c r="E1527" s="8" t="str">
        <f>'Sistema de Raridade e Evolução'!B3</f>
        <v>Bronze</v>
      </c>
      <c r="F1527" s="9">
        <f>ROUND(('Criaturas - Base de Dados'!H256*'Sistema de Raridade e Evolução'!E3)*1000,2)</f>
        <v>38000</v>
      </c>
      <c r="G1527" s="8">
        <f>ROUND('Criaturas - Base de Dados'!I256*'Sistema de Raridade e Evolução'!E3,0)</f>
        <v>23</v>
      </c>
      <c r="H1527" s="8">
        <f>ROUND('Criaturas - Base de Dados'!J256*'Sistema de Raridade e Evolução'!E3,0)</f>
        <v>19</v>
      </c>
      <c r="I1527" s="8">
        <f>ROUND('Criaturas - Base de Dados'!K256*'Sistema de Raridade e Evolução'!E3,0)</f>
        <v>122</v>
      </c>
      <c r="J1527" s="8">
        <f>'Sistema de Raridade e Evolução'!D3</f>
        <v>6</v>
      </c>
      <c r="K1527" s="8" t="s">
        <v>9</v>
      </c>
      <c r="L1527" s="9">
        <f t="shared" si="23"/>
        <v>90476.19</v>
      </c>
    </row>
    <row r="1528" spans="1:12" ht="14.25" hidden="1" customHeight="1" x14ac:dyDescent="0.3">
      <c r="A1528" s="8">
        <v>1527</v>
      </c>
      <c r="B1528" s="8" t="str">
        <f>'Criaturas - Base de Dados'!B256</f>
        <v>Chama Vulcânica</v>
      </c>
      <c r="C1528" s="8" t="str">
        <f>'Criaturas - Base de Dados'!C256</f>
        <v>Lava</v>
      </c>
      <c r="D1528" s="8" t="str">
        <f>'Criaturas - Base de Dados'!D256</f>
        <v>Cão de Magma</v>
      </c>
      <c r="E1528" s="8" t="str">
        <f>'Sistema de Raridade e Evolução'!B4</f>
        <v>Prata</v>
      </c>
      <c r="F1528" s="9">
        <f>ROUND(('Criaturas - Base de Dados'!H256*'Sistema de Raridade e Evolução'!E4)*1000,2)</f>
        <v>228000</v>
      </c>
      <c r="G1528" s="8">
        <f>ROUND('Criaturas - Base de Dados'!I256*'Sistema de Raridade e Evolução'!E4,0)</f>
        <v>138</v>
      </c>
      <c r="H1528" s="8">
        <f>ROUND('Criaturas - Base de Dados'!J256*'Sistema de Raridade e Evolução'!E4,0)</f>
        <v>114</v>
      </c>
      <c r="I1528" s="8">
        <f>ROUND('Criaturas - Base de Dados'!K256*'Sistema de Raridade e Evolução'!E4,0)</f>
        <v>732</v>
      </c>
      <c r="J1528" s="8">
        <f>'Sistema de Raridade e Evolução'!D4</f>
        <v>16</v>
      </c>
      <c r="K1528" s="8" t="s">
        <v>10</v>
      </c>
      <c r="L1528" s="9">
        <f t="shared" si="23"/>
        <v>542857.14</v>
      </c>
    </row>
    <row r="1529" spans="1:12" ht="14.25" hidden="1" customHeight="1" x14ac:dyDescent="0.3">
      <c r="A1529" s="8">
        <v>1528</v>
      </c>
      <c r="B1529" s="8" t="str">
        <f>'Criaturas - Base de Dados'!B256</f>
        <v>Chama Vulcânica</v>
      </c>
      <c r="C1529" s="8" t="str">
        <f>'Criaturas - Base de Dados'!C256</f>
        <v>Lava</v>
      </c>
      <c r="D1529" s="8" t="str">
        <f>'Criaturas - Base de Dados'!D256</f>
        <v>Cão de Magma</v>
      </c>
      <c r="E1529" s="8" t="str">
        <f>'Sistema de Raridade e Evolução'!B5</f>
        <v>Ouro</v>
      </c>
      <c r="F1529" s="9">
        <f>ROUND(('Criaturas - Base de Dados'!H256*'Sistema de Raridade e Evolução'!E5)*1000,2)</f>
        <v>684000</v>
      </c>
      <c r="G1529" s="8">
        <f>ROUND('Criaturas - Base de Dados'!I256*'Sistema de Raridade e Evolução'!E5,0)</f>
        <v>414</v>
      </c>
      <c r="H1529" s="8">
        <f>ROUND('Criaturas - Base de Dados'!J256*'Sistema de Raridade e Evolução'!E5,0)</f>
        <v>342</v>
      </c>
      <c r="I1529" s="8">
        <f>ROUND('Criaturas - Base de Dados'!K256*'Sistema de Raridade e Evolução'!E5,0)</f>
        <v>2196</v>
      </c>
      <c r="J1529" s="8">
        <f>'Sistema de Raridade e Evolução'!D5</f>
        <v>31</v>
      </c>
      <c r="K1529" s="8" t="s">
        <v>11</v>
      </c>
      <c r="L1529" s="9">
        <f t="shared" si="23"/>
        <v>1628571.43</v>
      </c>
    </row>
    <row r="1530" spans="1:12" ht="14.25" hidden="1" customHeight="1" x14ac:dyDescent="0.3">
      <c r="A1530" s="8">
        <v>1529</v>
      </c>
      <c r="B1530" s="8" t="str">
        <f>'Criaturas - Base de Dados'!B256</f>
        <v>Chama Vulcânica</v>
      </c>
      <c r="C1530" s="8" t="str">
        <f>'Criaturas - Base de Dados'!C256</f>
        <v>Lava</v>
      </c>
      <c r="D1530" s="8" t="str">
        <f>'Criaturas - Base de Dados'!D256</f>
        <v>Cão de Magma</v>
      </c>
      <c r="E1530" s="8" t="str">
        <f>'Sistema de Raridade e Evolução'!B6</f>
        <v>Platina</v>
      </c>
      <c r="F1530" s="9">
        <f>ROUND(('Criaturas - Base de Dados'!H256*'Sistema de Raridade e Evolução'!E6)*1000,2)</f>
        <v>1900000</v>
      </c>
      <c r="G1530" s="8">
        <f>ROUND('Criaturas - Base de Dados'!I256*'Sistema de Raridade e Evolução'!E6,0)</f>
        <v>1150</v>
      </c>
      <c r="H1530" s="8">
        <f>ROUND('Criaturas - Base de Dados'!J256*'Sistema de Raridade e Evolução'!E6,0)</f>
        <v>950</v>
      </c>
      <c r="I1530" s="8">
        <f>ROUND('Criaturas - Base de Dados'!K256*'Sistema de Raridade e Evolução'!E6,0)</f>
        <v>6100</v>
      </c>
      <c r="J1530" s="8">
        <f>'Sistema de Raridade e Evolução'!D6</f>
        <v>56</v>
      </c>
      <c r="K1530" s="8" t="s">
        <v>12</v>
      </c>
      <c r="L1530" s="9">
        <f t="shared" si="23"/>
        <v>4523809.5199999996</v>
      </c>
    </row>
    <row r="1531" spans="1:12" ht="14.25" hidden="1" customHeight="1" x14ac:dyDescent="0.3">
      <c r="A1531" s="8">
        <v>1530</v>
      </c>
      <c r="B1531" s="8" t="str">
        <f>'Criaturas - Base de Dados'!B256</f>
        <v>Chama Vulcânica</v>
      </c>
      <c r="C1531" s="8" t="str">
        <f>'Criaturas - Base de Dados'!C256</f>
        <v>Lava</v>
      </c>
      <c r="D1531" s="8" t="str">
        <f>'Criaturas - Base de Dados'!D256</f>
        <v>Cão de Magma</v>
      </c>
      <c r="E1531" s="8" t="str">
        <f>'Sistema de Raridade e Evolução'!B7</f>
        <v>Lendário</v>
      </c>
      <c r="F1531" s="9">
        <f>ROUND(('Criaturas - Base de Dados'!H256*'Sistema de Raridade e Evolução'!E7)*1000,2)</f>
        <v>5700000</v>
      </c>
      <c r="G1531" s="8">
        <f>ROUND('Criaturas - Base de Dados'!I256*'Sistema de Raridade e Evolução'!E7,0)</f>
        <v>3450</v>
      </c>
      <c r="H1531" s="8">
        <f>ROUND('Criaturas - Base de Dados'!J256*'Sistema de Raridade e Evolução'!E7,0)</f>
        <v>2850</v>
      </c>
      <c r="I1531" s="8">
        <f>ROUND('Criaturas - Base de Dados'!K256*'Sistema de Raridade e Evolução'!E7,0)</f>
        <v>18300</v>
      </c>
      <c r="J1531" s="8">
        <f>'Sistema de Raridade e Evolução'!D7</f>
        <v>91</v>
      </c>
      <c r="K1531" s="8" t="s">
        <v>925</v>
      </c>
      <c r="L1531" s="9">
        <f t="shared" si="23"/>
        <v>13571428.57</v>
      </c>
    </row>
    <row r="1532" spans="1:12" ht="14.25" customHeight="1" x14ac:dyDescent="0.3">
      <c r="A1532" s="8">
        <v>1531</v>
      </c>
      <c r="B1532" s="8" t="str">
        <f>'Criaturas - Base de Dados'!B257</f>
        <v>Chama Vulcânica</v>
      </c>
      <c r="C1532" s="8" t="str">
        <f>'Criaturas - Base de Dados'!C257</f>
        <v>Lava</v>
      </c>
      <c r="D1532" s="8" t="str">
        <f>'Criaturas - Base de Dados'!D257</f>
        <v>Rocha Viva Incandescente</v>
      </c>
      <c r="E1532" s="8" t="str">
        <f>'Sistema de Raridade e Evolução'!B2</f>
        <v>Default</v>
      </c>
      <c r="F1532" s="9" t="e">
        <f>ROUND(('Criaturas - Base de Dados'!H257*'Sistema de Raridade e Evolução'!E2)*1000,2)</f>
        <v>#VALUE!</v>
      </c>
      <c r="G1532" s="8" t="e">
        <f>ROUND('Criaturas - Base de Dados'!I257*'Sistema de Raridade e Evolução'!E2,0)</f>
        <v>#VALUE!</v>
      </c>
      <c r="H1532" s="8" t="e">
        <f>ROUND('Criaturas - Base de Dados'!J257*'Sistema de Raridade e Evolução'!E2,0)</f>
        <v>#VALUE!</v>
      </c>
      <c r="I1532" s="8" t="e">
        <f>ROUND('Criaturas - Base de Dados'!K257*'Sistema de Raridade e Evolução'!E2,0)</f>
        <v>#VALUE!</v>
      </c>
      <c r="J1532" s="8">
        <f>'Sistema de Raridade e Evolução'!D2</f>
        <v>1</v>
      </c>
      <c r="K1532" s="8" t="s">
        <v>8</v>
      </c>
      <c r="L1532" s="9" t="e">
        <f t="shared" si="23"/>
        <v>#VALUE!</v>
      </c>
    </row>
    <row r="1533" spans="1:12" ht="14.25" hidden="1" customHeight="1" x14ac:dyDescent="0.3">
      <c r="A1533" s="8">
        <v>1532</v>
      </c>
      <c r="B1533" s="8" t="str">
        <f>'Criaturas - Base de Dados'!B257</f>
        <v>Chama Vulcânica</v>
      </c>
      <c r="C1533" s="8" t="str">
        <f>'Criaturas - Base de Dados'!C257</f>
        <v>Lava</v>
      </c>
      <c r="D1533" s="8" t="str">
        <f>'Criaturas - Base de Dados'!D257</f>
        <v>Rocha Viva Incandescente</v>
      </c>
      <c r="E1533" s="8" t="str">
        <f>'Sistema de Raridade e Evolução'!B3</f>
        <v>Bronze</v>
      </c>
      <c r="F1533" s="9">
        <f>ROUND(('Criaturas - Base de Dados'!H257*'Sistema de Raridade e Evolução'!E3)*1000,2)</f>
        <v>54000</v>
      </c>
      <c r="G1533" s="8">
        <f>ROUND('Criaturas - Base de Dados'!I257*'Sistema de Raridade e Evolução'!E3,0)</f>
        <v>32</v>
      </c>
      <c r="H1533" s="8">
        <f>ROUND('Criaturas - Base de Dados'!J257*'Sistema de Raridade e Evolução'!E3,0)</f>
        <v>27</v>
      </c>
      <c r="I1533" s="8">
        <f>ROUND('Criaturas - Base de Dados'!K257*'Sistema de Raridade e Evolução'!E3,0)</f>
        <v>173</v>
      </c>
      <c r="J1533" s="8">
        <f>'Sistema de Raridade e Evolução'!D3</f>
        <v>6</v>
      </c>
      <c r="K1533" s="8" t="s">
        <v>9</v>
      </c>
      <c r="L1533" s="9">
        <f t="shared" si="23"/>
        <v>128571.43</v>
      </c>
    </row>
    <row r="1534" spans="1:12" ht="14.25" hidden="1" customHeight="1" x14ac:dyDescent="0.3">
      <c r="A1534" s="8">
        <v>1533</v>
      </c>
      <c r="B1534" s="8" t="str">
        <f>'Criaturas - Base de Dados'!B257</f>
        <v>Chama Vulcânica</v>
      </c>
      <c r="C1534" s="8" t="str">
        <f>'Criaturas - Base de Dados'!C257</f>
        <v>Lava</v>
      </c>
      <c r="D1534" s="8" t="str">
        <f>'Criaturas - Base de Dados'!D257</f>
        <v>Rocha Viva Incandescente</v>
      </c>
      <c r="E1534" s="8" t="str">
        <f>'Sistema de Raridade e Evolução'!B4</f>
        <v>Prata</v>
      </c>
      <c r="F1534" s="9">
        <f>ROUND(('Criaturas - Base de Dados'!H257*'Sistema de Raridade e Evolução'!E4)*1000,2)</f>
        <v>324000</v>
      </c>
      <c r="G1534" s="8">
        <f>ROUND('Criaturas - Base de Dados'!I257*'Sistema de Raridade e Evolução'!E4,0)</f>
        <v>192</v>
      </c>
      <c r="H1534" s="8">
        <f>ROUND('Criaturas - Base de Dados'!J257*'Sistema de Raridade e Evolução'!E4,0)</f>
        <v>162</v>
      </c>
      <c r="I1534" s="8">
        <f>ROUND('Criaturas - Base de Dados'!K257*'Sistema de Raridade e Evolução'!E4,0)</f>
        <v>1038</v>
      </c>
      <c r="J1534" s="8">
        <f>'Sistema de Raridade e Evolução'!D4</f>
        <v>16</v>
      </c>
      <c r="K1534" s="8" t="s">
        <v>10</v>
      </c>
      <c r="L1534" s="9">
        <f t="shared" si="23"/>
        <v>771428.57</v>
      </c>
    </row>
    <row r="1535" spans="1:12" ht="14.25" hidden="1" customHeight="1" x14ac:dyDescent="0.3">
      <c r="A1535" s="8">
        <v>1534</v>
      </c>
      <c r="B1535" s="8" t="str">
        <f>'Criaturas - Base de Dados'!B257</f>
        <v>Chama Vulcânica</v>
      </c>
      <c r="C1535" s="8" t="str">
        <f>'Criaturas - Base de Dados'!C257</f>
        <v>Lava</v>
      </c>
      <c r="D1535" s="8" t="str">
        <f>'Criaturas - Base de Dados'!D257</f>
        <v>Rocha Viva Incandescente</v>
      </c>
      <c r="E1535" s="8" t="str">
        <f>'Sistema de Raridade e Evolução'!B5</f>
        <v>Ouro</v>
      </c>
      <c r="F1535" s="9">
        <f>ROUND(('Criaturas - Base de Dados'!H257*'Sistema de Raridade e Evolução'!E5)*1000,2)</f>
        <v>972000</v>
      </c>
      <c r="G1535" s="8">
        <f>ROUND('Criaturas - Base de Dados'!I257*'Sistema de Raridade e Evolução'!E5,0)</f>
        <v>576</v>
      </c>
      <c r="H1535" s="8">
        <f>ROUND('Criaturas - Base de Dados'!J257*'Sistema de Raridade e Evolução'!E5,0)</f>
        <v>486</v>
      </c>
      <c r="I1535" s="8">
        <f>ROUND('Criaturas - Base de Dados'!K257*'Sistema de Raridade e Evolução'!E5,0)</f>
        <v>3114</v>
      </c>
      <c r="J1535" s="8">
        <f>'Sistema de Raridade e Evolução'!D5</f>
        <v>31</v>
      </c>
      <c r="K1535" s="8" t="s">
        <v>11</v>
      </c>
      <c r="L1535" s="9">
        <f t="shared" si="23"/>
        <v>2314285.71</v>
      </c>
    </row>
    <row r="1536" spans="1:12" ht="14.25" hidden="1" customHeight="1" x14ac:dyDescent="0.3">
      <c r="A1536" s="8">
        <v>1535</v>
      </c>
      <c r="B1536" s="8" t="str">
        <f>'Criaturas - Base de Dados'!B257</f>
        <v>Chama Vulcânica</v>
      </c>
      <c r="C1536" s="8" t="str">
        <f>'Criaturas - Base de Dados'!C257</f>
        <v>Lava</v>
      </c>
      <c r="D1536" s="8" t="str">
        <f>'Criaturas - Base de Dados'!D257</f>
        <v>Rocha Viva Incandescente</v>
      </c>
      <c r="E1536" s="8" t="str">
        <f>'Sistema de Raridade e Evolução'!B6</f>
        <v>Platina</v>
      </c>
      <c r="F1536" s="9">
        <f>ROUND(('Criaturas - Base de Dados'!H257*'Sistema de Raridade e Evolução'!E6)*1000,2)</f>
        <v>2700000</v>
      </c>
      <c r="G1536" s="8">
        <f>ROUND('Criaturas - Base de Dados'!I257*'Sistema de Raridade e Evolução'!E6,0)</f>
        <v>1600</v>
      </c>
      <c r="H1536" s="8">
        <f>ROUND('Criaturas - Base de Dados'!J257*'Sistema de Raridade e Evolução'!E6,0)</f>
        <v>1350</v>
      </c>
      <c r="I1536" s="8">
        <f>ROUND('Criaturas - Base de Dados'!K257*'Sistema de Raridade e Evolução'!E6,0)</f>
        <v>8650</v>
      </c>
      <c r="J1536" s="8">
        <f>'Sistema de Raridade e Evolução'!D6</f>
        <v>56</v>
      </c>
      <c r="K1536" s="8" t="s">
        <v>12</v>
      </c>
      <c r="L1536" s="9">
        <f t="shared" si="23"/>
        <v>6428571.4299999997</v>
      </c>
    </row>
    <row r="1537" spans="1:12" ht="14.25" hidden="1" customHeight="1" x14ac:dyDescent="0.3">
      <c r="A1537" s="8">
        <v>1536</v>
      </c>
      <c r="B1537" s="8" t="str">
        <f>'Criaturas - Base de Dados'!B257</f>
        <v>Chama Vulcânica</v>
      </c>
      <c r="C1537" s="8" t="str">
        <f>'Criaturas - Base de Dados'!C257</f>
        <v>Lava</v>
      </c>
      <c r="D1537" s="8" t="str">
        <f>'Criaturas - Base de Dados'!D257</f>
        <v>Rocha Viva Incandescente</v>
      </c>
      <c r="E1537" s="8" t="str">
        <f>'Sistema de Raridade e Evolução'!B7</f>
        <v>Lendário</v>
      </c>
      <c r="F1537" s="9">
        <f>ROUND(('Criaturas - Base de Dados'!H257*'Sistema de Raridade e Evolução'!E7)*1000,2)</f>
        <v>8100000</v>
      </c>
      <c r="G1537" s="8">
        <f>ROUND('Criaturas - Base de Dados'!I257*'Sistema de Raridade e Evolução'!E7,0)</f>
        <v>4800</v>
      </c>
      <c r="H1537" s="8">
        <f>ROUND('Criaturas - Base de Dados'!J257*'Sistema de Raridade e Evolução'!E7,0)</f>
        <v>4050</v>
      </c>
      <c r="I1537" s="8">
        <f>ROUND('Criaturas - Base de Dados'!K257*'Sistema de Raridade e Evolução'!E7,0)</f>
        <v>25950</v>
      </c>
      <c r="J1537" s="8">
        <f>'Sistema de Raridade e Evolução'!D7</f>
        <v>91</v>
      </c>
      <c r="K1537" s="8" t="s">
        <v>925</v>
      </c>
      <c r="L1537" s="9">
        <f t="shared" si="23"/>
        <v>19285714.289999999</v>
      </c>
    </row>
    <row r="1538" spans="1:12" ht="14.25" customHeight="1" x14ac:dyDescent="0.3">
      <c r="A1538" s="8">
        <v>1537</v>
      </c>
      <c r="B1538" s="8" t="str">
        <f>'Criaturas - Base de Dados'!B258</f>
        <v>Chama Vulcânica</v>
      </c>
      <c r="C1538" s="8" t="str">
        <f>'Criaturas - Base de Dados'!C258</f>
        <v>Lava</v>
      </c>
      <c r="D1538" s="8" t="str">
        <f>'Criaturas - Base de Dados'!D258</f>
        <v>Fera das Cinzas</v>
      </c>
      <c r="E1538" s="8" t="str">
        <f>'Sistema de Raridade e Evolução'!B2</f>
        <v>Default</v>
      </c>
      <c r="F1538" s="9" t="e">
        <f>ROUND(('Criaturas - Base de Dados'!H258*'Sistema de Raridade e Evolução'!E2)*1000,2)</f>
        <v>#VALUE!</v>
      </c>
      <c r="G1538" s="8" t="e">
        <f>ROUND('Criaturas - Base de Dados'!I258*'Sistema de Raridade e Evolução'!E2,0)</f>
        <v>#VALUE!</v>
      </c>
      <c r="H1538" s="8" t="e">
        <f>ROUND('Criaturas - Base de Dados'!J258*'Sistema de Raridade e Evolução'!E2,0)</f>
        <v>#VALUE!</v>
      </c>
      <c r="I1538" s="8" t="e">
        <f>ROUND('Criaturas - Base de Dados'!K258*'Sistema de Raridade e Evolução'!E2,0)</f>
        <v>#VALUE!</v>
      </c>
      <c r="J1538" s="8">
        <f>'Sistema de Raridade e Evolução'!D2</f>
        <v>1</v>
      </c>
      <c r="K1538" s="8" t="s">
        <v>8</v>
      </c>
      <c r="L1538" s="9" t="e">
        <f t="shared" ref="L1538:L1601" si="24">ROUND(F1538*(2.5/1.05),2)</f>
        <v>#VALUE!</v>
      </c>
    </row>
    <row r="1539" spans="1:12" ht="14.25" hidden="1" customHeight="1" x14ac:dyDescent="0.3">
      <c r="A1539" s="8">
        <v>1538</v>
      </c>
      <c r="B1539" s="8" t="str">
        <f>'Criaturas - Base de Dados'!B258</f>
        <v>Chama Vulcânica</v>
      </c>
      <c r="C1539" s="8" t="str">
        <f>'Criaturas - Base de Dados'!C258</f>
        <v>Lava</v>
      </c>
      <c r="D1539" s="8" t="str">
        <f>'Criaturas - Base de Dados'!D258</f>
        <v>Fera das Cinzas</v>
      </c>
      <c r="E1539" s="8" t="str">
        <f>'Sistema de Raridade e Evolução'!B3</f>
        <v>Bronze</v>
      </c>
      <c r="F1539" s="9">
        <f>ROUND(('Criaturas - Base de Dados'!H258*'Sistema de Raridade e Evolução'!E3)*1000,2)</f>
        <v>48000</v>
      </c>
      <c r="G1539" s="8">
        <f>ROUND('Criaturas - Base de Dados'!I258*'Sistema de Raridade e Evolução'!E3,0)</f>
        <v>29</v>
      </c>
      <c r="H1539" s="8">
        <f>ROUND('Criaturas - Base de Dados'!J258*'Sistema de Raridade e Evolução'!E3,0)</f>
        <v>24</v>
      </c>
      <c r="I1539" s="8">
        <f>ROUND('Criaturas - Base de Dados'!K258*'Sistema de Raridade e Evolução'!E3,0)</f>
        <v>154</v>
      </c>
      <c r="J1539" s="8">
        <f>'Sistema de Raridade e Evolução'!D3</f>
        <v>6</v>
      </c>
      <c r="K1539" s="8" t="s">
        <v>9</v>
      </c>
      <c r="L1539" s="9">
        <f t="shared" si="24"/>
        <v>114285.71</v>
      </c>
    </row>
    <row r="1540" spans="1:12" ht="14.25" hidden="1" customHeight="1" x14ac:dyDescent="0.3">
      <c r="A1540" s="8">
        <v>1539</v>
      </c>
      <c r="B1540" s="8" t="str">
        <f>'Criaturas - Base de Dados'!B258</f>
        <v>Chama Vulcânica</v>
      </c>
      <c r="C1540" s="8" t="str">
        <f>'Criaturas - Base de Dados'!C258</f>
        <v>Lava</v>
      </c>
      <c r="D1540" s="8" t="str">
        <f>'Criaturas - Base de Dados'!D258</f>
        <v>Fera das Cinzas</v>
      </c>
      <c r="E1540" s="8" t="str">
        <f>'Sistema de Raridade e Evolução'!B4</f>
        <v>Prata</v>
      </c>
      <c r="F1540" s="9">
        <f>ROUND(('Criaturas - Base de Dados'!H258*'Sistema de Raridade e Evolução'!E4)*1000,2)</f>
        <v>288000</v>
      </c>
      <c r="G1540" s="8">
        <f>ROUND('Criaturas - Base de Dados'!I258*'Sistema de Raridade e Evolução'!E4,0)</f>
        <v>174</v>
      </c>
      <c r="H1540" s="8">
        <f>ROUND('Criaturas - Base de Dados'!J258*'Sistema de Raridade e Evolução'!E4,0)</f>
        <v>144</v>
      </c>
      <c r="I1540" s="8">
        <f>ROUND('Criaturas - Base de Dados'!K258*'Sistema de Raridade e Evolução'!E4,0)</f>
        <v>924</v>
      </c>
      <c r="J1540" s="8">
        <f>'Sistema de Raridade e Evolução'!D4</f>
        <v>16</v>
      </c>
      <c r="K1540" s="8" t="s">
        <v>10</v>
      </c>
      <c r="L1540" s="9">
        <f t="shared" si="24"/>
        <v>685714.29</v>
      </c>
    </row>
    <row r="1541" spans="1:12" ht="14.25" hidden="1" customHeight="1" x14ac:dyDescent="0.3">
      <c r="A1541" s="8">
        <v>1540</v>
      </c>
      <c r="B1541" s="8" t="str">
        <f>'Criaturas - Base de Dados'!B258</f>
        <v>Chama Vulcânica</v>
      </c>
      <c r="C1541" s="8" t="str">
        <f>'Criaturas - Base de Dados'!C258</f>
        <v>Lava</v>
      </c>
      <c r="D1541" s="8" t="str">
        <f>'Criaturas - Base de Dados'!D258</f>
        <v>Fera das Cinzas</v>
      </c>
      <c r="E1541" s="8" t="str">
        <f>'Sistema de Raridade e Evolução'!B5</f>
        <v>Ouro</v>
      </c>
      <c r="F1541" s="9">
        <f>ROUND(('Criaturas - Base de Dados'!H258*'Sistema de Raridade e Evolução'!E5)*1000,2)</f>
        <v>864000</v>
      </c>
      <c r="G1541" s="8">
        <f>ROUND('Criaturas - Base de Dados'!I258*'Sistema de Raridade e Evolução'!E5,0)</f>
        <v>522</v>
      </c>
      <c r="H1541" s="8">
        <f>ROUND('Criaturas - Base de Dados'!J258*'Sistema de Raridade e Evolução'!E5,0)</f>
        <v>432</v>
      </c>
      <c r="I1541" s="8">
        <f>ROUND('Criaturas - Base de Dados'!K258*'Sistema de Raridade e Evolução'!E5,0)</f>
        <v>2772</v>
      </c>
      <c r="J1541" s="8">
        <f>'Sistema de Raridade e Evolução'!D5</f>
        <v>31</v>
      </c>
      <c r="K1541" s="8" t="s">
        <v>11</v>
      </c>
      <c r="L1541" s="9">
        <f t="shared" si="24"/>
        <v>2057142.86</v>
      </c>
    </row>
    <row r="1542" spans="1:12" ht="14.25" hidden="1" customHeight="1" x14ac:dyDescent="0.3">
      <c r="A1542" s="8">
        <v>1541</v>
      </c>
      <c r="B1542" s="8" t="str">
        <f>'Criaturas - Base de Dados'!B258</f>
        <v>Chama Vulcânica</v>
      </c>
      <c r="C1542" s="8" t="str">
        <f>'Criaturas - Base de Dados'!C258</f>
        <v>Lava</v>
      </c>
      <c r="D1542" s="8" t="str">
        <f>'Criaturas - Base de Dados'!D258</f>
        <v>Fera das Cinzas</v>
      </c>
      <c r="E1542" s="8" t="str">
        <f>'Sistema de Raridade e Evolução'!B6</f>
        <v>Platina</v>
      </c>
      <c r="F1542" s="9">
        <f>ROUND(('Criaturas - Base de Dados'!H258*'Sistema de Raridade e Evolução'!E6)*1000,2)</f>
        <v>2400000</v>
      </c>
      <c r="G1542" s="8">
        <f>ROUND('Criaturas - Base de Dados'!I258*'Sistema de Raridade e Evolução'!E6,0)</f>
        <v>1450</v>
      </c>
      <c r="H1542" s="8">
        <f>ROUND('Criaturas - Base de Dados'!J258*'Sistema de Raridade e Evolução'!E6,0)</f>
        <v>1200</v>
      </c>
      <c r="I1542" s="8">
        <f>ROUND('Criaturas - Base de Dados'!K258*'Sistema de Raridade e Evolução'!E6,0)</f>
        <v>7700</v>
      </c>
      <c r="J1542" s="8">
        <f>'Sistema de Raridade e Evolução'!D6</f>
        <v>56</v>
      </c>
      <c r="K1542" s="8" t="s">
        <v>12</v>
      </c>
      <c r="L1542" s="9">
        <f t="shared" si="24"/>
        <v>5714285.71</v>
      </c>
    </row>
    <row r="1543" spans="1:12" ht="14.25" hidden="1" customHeight="1" x14ac:dyDescent="0.3">
      <c r="A1543" s="8">
        <v>1542</v>
      </c>
      <c r="B1543" s="8" t="str">
        <f>'Criaturas - Base de Dados'!B258</f>
        <v>Chama Vulcânica</v>
      </c>
      <c r="C1543" s="8" t="str">
        <f>'Criaturas - Base de Dados'!C258</f>
        <v>Lava</v>
      </c>
      <c r="D1543" s="8" t="str">
        <f>'Criaturas - Base de Dados'!D258</f>
        <v>Fera das Cinzas</v>
      </c>
      <c r="E1543" s="8" t="str">
        <f>'Sistema de Raridade e Evolução'!B7</f>
        <v>Lendário</v>
      </c>
      <c r="F1543" s="9">
        <f>ROUND(('Criaturas - Base de Dados'!H258*'Sistema de Raridade e Evolução'!E7)*1000,2)</f>
        <v>7200000</v>
      </c>
      <c r="G1543" s="8">
        <f>ROUND('Criaturas - Base de Dados'!I258*'Sistema de Raridade e Evolução'!E7,0)</f>
        <v>4350</v>
      </c>
      <c r="H1543" s="8">
        <f>ROUND('Criaturas - Base de Dados'!J258*'Sistema de Raridade e Evolução'!E7,0)</f>
        <v>3600</v>
      </c>
      <c r="I1543" s="8">
        <f>ROUND('Criaturas - Base de Dados'!K258*'Sistema de Raridade e Evolução'!E7,0)</f>
        <v>23100</v>
      </c>
      <c r="J1543" s="8">
        <f>'Sistema de Raridade e Evolução'!D7</f>
        <v>91</v>
      </c>
      <c r="K1543" s="8" t="s">
        <v>925</v>
      </c>
      <c r="L1543" s="9">
        <f t="shared" si="24"/>
        <v>17142857.140000001</v>
      </c>
    </row>
    <row r="1544" spans="1:12" ht="14.25" customHeight="1" x14ac:dyDescent="0.3">
      <c r="A1544" s="8">
        <v>1543</v>
      </c>
      <c r="B1544" s="8" t="str">
        <f>'Criaturas - Base de Dados'!B259</f>
        <v>Chama Vulcânica</v>
      </c>
      <c r="C1544" s="8" t="str">
        <f>'Criaturas - Base de Dados'!C259</f>
        <v>Lava</v>
      </c>
      <c r="D1544" s="8" t="str">
        <f>'Criaturas - Base de Dados'!D259</f>
        <v>Corvo de Cinzas</v>
      </c>
      <c r="E1544" s="8" t="str">
        <f>'Sistema de Raridade e Evolução'!B2</f>
        <v>Default</v>
      </c>
      <c r="F1544" s="9" t="e">
        <f>ROUND(('Criaturas - Base de Dados'!H259*'Sistema de Raridade e Evolução'!E2)*1000,2)</f>
        <v>#VALUE!</v>
      </c>
      <c r="G1544" s="8" t="e">
        <f>ROUND('Criaturas - Base de Dados'!I259*'Sistema de Raridade e Evolução'!E2,0)</f>
        <v>#VALUE!</v>
      </c>
      <c r="H1544" s="8" t="e">
        <f>ROUND('Criaturas - Base de Dados'!J259*'Sistema de Raridade e Evolução'!E2,0)</f>
        <v>#VALUE!</v>
      </c>
      <c r="I1544" s="8" t="e">
        <f>ROUND('Criaturas - Base de Dados'!K259*'Sistema de Raridade e Evolução'!E2,0)</f>
        <v>#VALUE!</v>
      </c>
      <c r="J1544" s="8">
        <f>'Sistema de Raridade e Evolução'!D2</f>
        <v>1</v>
      </c>
      <c r="K1544" s="8" t="s">
        <v>8</v>
      </c>
      <c r="L1544" s="9" t="e">
        <f t="shared" si="24"/>
        <v>#VALUE!</v>
      </c>
    </row>
    <row r="1545" spans="1:12" ht="14.25" hidden="1" customHeight="1" x14ac:dyDescent="0.3">
      <c r="A1545" s="8">
        <v>1544</v>
      </c>
      <c r="B1545" s="8" t="str">
        <f>'Criaturas - Base de Dados'!B259</f>
        <v>Chama Vulcânica</v>
      </c>
      <c r="C1545" s="8" t="str">
        <f>'Criaturas - Base de Dados'!C259</f>
        <v>Lava</v>
      </c>
      <c r="D1545" s="8" t="str">
        <f>'Criaturas - Base de Dados'!D259</f>
        <v>Corvo de Cinzas</v>
      </c>
      <c r="E1545" s="8" t="str">
        <f>'Sistema de Raridade e Evolução'!B3</f>
        <v>Bronze</v>
      </c>
      <c r="F1545" s="9">
        <f>ROUND(('Criaturas - Base de Dados'!H259*'Sistema de Raridade e Evolução'!E3)*1000,2)</f>
        <v>50000</v>
      </c>
      <c r="G1545" s="8">
        <f>ROUND('Criaturas - Base de Dados'!I259*'Sistema de Raridade e Evolução'!E3,0)</f>
        <v>30</v>
      </c>
      <c r="H1545" s="8">
        <f>ROUND('Criaturas - Base de Dados'!J259*'Sistema de Raridade e Evolução'!E3,0)</f>
        <v>25</v>
      </c>
      <c r="I1545" s="8">
        <f>ROUND('Criaturas - Base de Dados'!K259*'Sistema de Raridade e Evolução'!E3,0)</f>
        <v>160</v>
      </c>
      <c r="J1545" s="8">
        <f>'Sistema de Raridade e Evolução'!D3</f>
        <v>6</v>
      </c>
      <c r="K1545" s="8" t="s">
        <v>9</v>
      </c>
      <c r="L1545" s="9">
        <f t="shared" si="24"/>
        <v>119047.62</v>
      </c>
    </row>
    <row r="1546" spans="1:12" ht="14.25" hidden="1" customHeight="1" x14ac:dyDescent="0.3">
      <c r="A1546" s="8">
        <v>1545</v>
      </c>
      <c r="B1546" s="8" t="str">
        <f>'Criaturas - Base de Dados'!B259</f>
        <v>Chama Vulcânica</v>
      </c>
      <c r="C1546" s="8" t="str">
        <f>'Criaturas - Base de Dados'!C259</f>
        <v>Lava</v>
      </c>
      <c r="D1546" s="8" t="str">
        <f>'Criaturas - Base de Dados'!D259</f>
        <v>Corvo de Cinzas</v>
      </c>
      <c r="E1546" s="8" t="str">
        <f>'Sistema de Raridade e Evolução'!B4</f>
        <v>Prata</v>
      </c>
      <c r="F1546" s="9">
        <f>ROUND(('Criaturas - Base de Dados'!H259*'Sistema de Raridade e Evolução'!E4)*1000,2)</f>
        <v>300000</v>
      </c>
      <c r="G1546" s="8">
        <f>ROUND('Criaturas - Base de Dados'!I259*'Sistema de Raridade e Evolução'!E4,0)</f>
        <v>180</v>
      </c>
      <c r="H1546" s="8">
        <f>ROUND('Criaturas - Base de Dados'!J259*'Sistema de Raridade e Evolução'!E4,0)</f>
        <v>150</v>
      </c>
      <c r="I1546" s="8">
        <f>ROUND('Criaturas - Base de Dados'!K259*'Sistema de Raridade e Evolução'!E4,0)</f>
        <v>960</v>
      </c>
      <c r="J1546" s="8">
        <f>'Sistema de Raridade e Evolução'!D4</f>
        <v>16</v>
      </c>
      <c r="K1546" s="8" t="s">
        <v>10</v>
      </c>
      <c r="L1546" s="9">
        <f t="shared" si="24"/>
        <v>714285.71</v>
      </c>
    </row>
    <row r="1547" spans="1:12" ht="14.25" hidden="1" customHeight="1" x14ac:dyDescent="0.3">
      <c r="A1547" s="8">
        <v>1546</v>
      </c>
      <c r="B1547" s="8" t="str">
        <f>'Criaturas - Base de Dados'!B259</f>
        <v>Chama Vulcânica</v>
      </c>
      <c r="C1547" s="8" t="str">
        <f>'Criaturas - Base de Dados'!C259</f>
        <v>Lava</v>
      </c>
      <c r="D1547" s="8" t="str">
        <f>'Criaturas - Base de Dados'!D259</f>
        <v>Corvo de Cinzas</v>
      </c>
      <c r="E1547" s="8" t="str">
        <f>'Sistema de Raridade e Evolução'!B5</f>
        <v>Ouro</v>
      </c>
      <c r="F1547" s="9">
        <f>ROUND(('Criaturas - Base de Dados'!H259*'Sistema de Raridade e Evolução'!E5)*1000,2)</f>
        <v>900000</v>
      </c>
      <c r="G1547" s="8">
        <f>ROUND('Criaturas - Base de Dados'!I259*'Sistema de Raridade e Evolução'!E5,0)</f>
        <v>540</v>
      </c>
      <c r="H1547" s="8">
        <f>ROUND('Criaturas - Base de Dados'!J259*'Sistema de Raridade e Evolução'!E5,0)</f>
        <v>450</v>
      </c>
      <c r="I1547" s="8">
        <f>ROUND('Criaturas - Base de Dados'!K259*'Sistema de Raridade e Evolução'!E5,0)</f>
        <v>2880</v>
      </c>
      <c r="J1547" s="8">
        <f>'Sistema de Raridade e Evolução'!D5</f>
        <v>31</v>
      </c>
      <c r="K1547" s="8" t="s">
        <v>11</v>
      </c>
      <c r="L1547" s="9">
        <f t="shared" si="24"/>
        <v>2142857.14</v>
      </c>
    </row>
    <row r="1548" spans="1:12" ht="14.25" hidden="1" customHeight="1" x14ac:dyDescent="0.3">
      <c r="A1548" s="8">
        <v>1547</v>
      </c>
      <c r="B1548" s="8" t="str">
        <f>'Criaturas - Base de Dados'!B259</f>
        <v>Chama Vulcânica</v>
      </c>
      <c r="C1548" s="8" t="str">
        <f>'Criaturas - Base de Dados'!C259</f>
        <v>Lava</v>
      </c>
      <c r="D1548" s="8" t="str">
        <f>'Criaturas - Base de Dados'!D259</f>
        <v>Corvo de Cinzas</v>
      </c>
      <c r="E1548" s="8" t="str">
        <f>'Sistema de Raridade e Evolução'!B6</f>
        <v>Platina</v>
      </c>
      <c r="F1548" s="9">
        <f>ROUND(('Criaturas - Base de Dados'!H259*'Sistema de Raridade e Evolução'!E6)*1000,2)</f>
        <v>2500000</v>
      </c>
      <c r="G1548" s="8">
        <f>ROUND('Criaturas - Base de Dados'!I259*'Sistema de Raridade e Evolução'!E6,0)</f>
        <v>1500</v>
      </c>
      <c r="H1548" s="8">
        <f>ROUND('Criaturas - Base de Dados'!J259*'Sistema de Raridade e Evolução'!E6,0)</f>
        <v>1250</v>
      </c>
      <c r="I1548" s="8">
        <f>ROUND('Criaturas - Base de Dados'!K259*'Sistema de Raridade e Evolução'!E6,0)</f>
        <v>8000</v>
      </c>
      <c r="J1548" s="8">
        <f>'Sistema de Raridade e Evolução'!D6</f>
        <v>56</v>
      </c>
      <c r="K1548" s="8" t="s">
        <v>12</v>
      </c>
      <c r="L1548" s="9">
        <f t="shared" si="24"/>
        <v>5952380.9500000002</v>
      </c>
    </row>
    <row r="1549" spans="1:12" ht="14.25" hidden="1" customHeight="1" x14ac:dyDescent="0.3">
      <c r="A1549" s="8">
        <v>1548</v>
      </c>
      <c r="B1549" s="8" t="str">
        <f>'Criaturas - Base de Dados'!B259</f>
        <v>Chama Vulcânica</v>
      </c>
      <c r="C1549" s="8" t="str">
        <f>'Criaturas - Base de Dados'!C259</f>
        <v>Lava</v>
      </c>
      <c r="D1549" s="8" t="str">
        <f>'Criaturas - Base de Dados'!D259</f>
        <v>Corvo de Cinzas</v>
      </c>
      <c r="E1549" s="8" t="str">
        <f>'Sistema de Raridade e Evolução'!B7</f>
        <v>Lendário</v>
      </c>
      <c r="F1549" s="9">
        <f>ROUND(('Criaturas - Base de Dados'!H259*'Sistema de Raridade e Evolução'!E7)*1000,2)</f>
        <v>7500000</v>
      </c>
      <c r="G1549" s="8">
        <f>ROUND('Criaturas - Base de Dados'!I259*'Sistema de Raridade e Evolução'!E7,0)</f>
        <v>4500</v>
      </c>
      <c r="H1549" s="8">
        <f>ROUND('Criaturas - Base de Dados'!J259*'Sistema de Raridade e Evolução'!E7,0)</f>
        <v>3750</v>
      </c>
      <c r="I1549" s="8">
        <f>ROUND('Criaturas - Base de Dados'!K259*'Sistema de Raridade e Evolução'!E7,0)</f>
        <v>24000</v>
      </c>
      <c r="J1549" s="8">
        <f>'Sistema de Raridade e Evolução'!D7</f>
        <v>91</v>
      </c>
      <c r="K1549" s="8" t="s">
        <v>925</v>
      </c>
      <c r="L1549" s="9">
        <f t="shared" si="24"/>
        <v>17857142.859999999</v>
      </c>
    </row>
    <row r="1550" spans="1:12" ht="14.25" customHeight="1" x14ac:dyDescent="0.3">
      <c r="A1550" s="8">
        <v>1549</v>
      </c>
      <c r="B1550" s="8" t="str">
        <f>'Criaturas - Base de Dados'!B260</f>
        <v>Chama Vulcânica</v>
      </c>
      <c r="C1550" s="8" t="str">
        <f>'Criaturas - Base de Dados'!C260</f>
        <v>Lava</v>
      </c>
      <c r="D1550" s="8" t="str">
        <f>'Criaturas - Base de Dados'!D260</f>
        <v>Colosso de Lava</v>
      </c>
      <c r="E1550" s="8" t="str">
        <f>'Sistema de Raridade e Evolução'!B2</f>
        <v>Default</v>
      </c>
      <c r="F1550" s="9" t="e">
        <f>ROUND(('Criaturas - Base de Dados'!H260*'Sistema de Raridade e Evolução'!E2)*1000,2)</f>
        <v>#VALUE!</v>
      </c>
      <c r="G1550" s="8" t="e">
        <f>ROUND('Criaturas - Base de Dados'!I260*'Sistema de Raridade e Evolução'!E2,0)</f>
        <v>#VALUE!</v>
      </c>
      <c r="H1550" s="8" t="e">
        <f>ROUND('Criaturas - Base de Dados'!J260*'Sistema de Raridade e Evolução'!E2,0)</f>
        <v>#VALUE!</v>
      </c>
      <c r="I1550" s="8" t="e">
        <f>ROUND('Criaturas - Base de Dados'!K260*'Sistema de Raridade e Evolução'!E2,0)</f>
        <v>#VALUE!</v>
      </c>
      <c r="J1550" s="8">
        <f>'Sistema de Raridade e Evolução'!D2</f>
        <v>1</v>
      </c>
      <c r="K1550" s="8" t="s">
        <v>8</v>
      </c>
      <c r="L1550" s="9" t="e">
        <f t="shared" si="24"/>
        <v>#VALUE!</v>
      </c>
    </row>
    <row r="1551" spans="1:12" ht="14.25" hidden="1" customHeight="1" x14ac:dyDescent="0.3">
      <c r="A1551" s="8">
        <v>1550</v>
      </c>
      <c r="B1551" s="8" t="str">
        <f>'Criaturas - Base de Dados'!B260</f>
        <v>Chama Vulcânica</v>
      </c>
      <c r="C1551" s="8" t="str">
        <f>'Criaturas - Base de Dados'!C260</f>
        <v>Lava</v>
      </c>
      <c r="D1551" s="8" t="str">
        <f>'Criaturas - Base de Dados'!D260</f>
        <v>Colosso de Lava</v>
      </c>
      <c r="E1551" s="8" t="str">
        <f>'Sistema de Raridade e Evolução'!B3</f>
        <v>Bronze</v>
      </c>
      <c r="F1551" s="9">
        <f>ROUND(('Criaturas - Base de Dados'!H260*'Sistema de Raridade e Evolução'!E3)*1000,2)</f>
        <v>69000</v>
      </c>
      <c r="G1551" s="8">
        <f>ROUND('Criaturas - Base de Dados'!I260*'Sistema de Raridade e Evolução'!E3,0)</f>
        <v>41</v>
      </c>
      <c r="H1551" s="8">
        <f>ROUND('Criaturas - Base de Dados'!J260*'Sistema de Raridade e Evolução'!E3,0)</f>
        <v>34</v>
      </c>
      <c r="I1551" s="8">
        <f>ROUND('Criaturas - Base de Dados'!K260*'Sistema de Raridade e Evolução'!E3,0)</f>
        <v>221</v>
      </c>
      <c r="J1551" s="8">
        <f>'Sistema de Raridade e Evolução'!D3</f>
        <v>6</v>
      </c>
      <c r="K1551" s="8" t="s">
        <v>9</v>
      </c>
      <c r="L1551" s="9">
        <f t="shared" si="24"/>
        <v>164285.71</v>
      </c>
    </row>
    <row r="1552" spans="1:12" ht="14.25" hidden="1" customHeight="1" x14ac:dyDescent="0.3">
      <c r="A1552" s="8">
        <v>1551</v>
      </c>
      <c r="B1552" s="8" t="str">
        <f>'Criaturas - Base de Dados'!B260</f>
        <v>Chama Vulcânica</v>
      </c>
      <c r="C1552" s="8" t="str">
        <f>'Criaturas - Base de Dados'!C260</f>
        <v>Lava</v>
      </c>
      <c r="D1552" s="8" t="str">
        <f>'Criaturas - Base de Dados'!D260</f>
        <v>Colosso de Lava</v>
      </c>
      <c r="E1552" s="8" t="str">
        <f>'Sistema de Raridade e Evolução'!B4</f>
        <v>Prata</v>
      </c>
      <c r="F1552" s="9">
        <f>ROUND(('Criaturas - Base de Dados'!H260*'Sistema de Raridade e Evolução'!E4)*1000,2)</f>
        <v>414000</v>
      </c>
      <c r="G1552" s="8">
        <f>ROUND('Criaturas - Base de Dados'!I260*'Sistema de Raridade e Evolução'!E4,0)</f>
        <v>246</v>
      </c>
      <c r="H1552" s="8">
        <f>ROUND('Criaturas - Base de Dados'!J260*'Sistema de Raridade e Evolução'!E4,0)</f>
        <v>204</v>
      </c>
      <c r="I1552" s="8">
        <f>ROUND('Criaturas - Base de Dados'!K260*'Sistema de Raridade e Evolução'!E4,0)</f>
        <v>1326</v>
      </c>
      <c r="J1552" s="8">
        <f>'Sistema de Raridade e Evolução'!D4</f>
        <v>16</v>
      </c>
      <c r="K1552" s="8" t="s">
        <v>10</v>
      </c>
      <c r="L1552" s="9">
        <f t="shared" si="24"/>
        <v>985714.29</v>
      </c>
    </row>
    <row r="1553" spans="1:12" ht="14.25" hidden="1" customHeight="1" x14ac:dyDescent="0.3">
      <c r="A1553" s="8">
        <v>1552</v>
      </c>
      <c r="B1553" s="8" t="str">
        <f>'Criaturas - Base de Dados'!B260</f>
        <v>Chama Vulcânica</v>
      </c>
      <c r="C1553" s="8" t="str">
        <f>'Criaturas - Base de Dados'!C260</f>
        <v>Lava</v>
      </c>
      <c r="D1553" s="8" t="str">
        <f>'Criaturas - Base de Dados'!D260</f>
        <v>Colosso de Lava</v>
      </c>
      <c r="E1553" s="8" t="str">
        <f>'Sistema de Raridade e Evolução'!B5</f>
        <v>Ouro</v>
      </c>
      <c r="F1553" s="9">
        <f>ROUND(('Criaturas - Base de Dados'!H260*'Sistema de Raridade e Evolução'!E5)*1000,2)</f>
        <v>1242000</v>
      </c>
      <c r="G1553" s="8">
        <f>ROUND('Criaturas - Base de Dados'!I260*'Sistema de Raridade e Evolução'!E5,0)</f>
        <v>738</v>
      </c>
      <c r="H1553" s="8">
        <f>ROUND('Criaturas - Base de Dados'!J260*'Sistema de Raridade e Evolução'!E5,0)</f>
        <v>612</v>
      </c>
      <c r="I1553" s="8">
        <f>ROUND('Criaturas - Base de Dados'!K260*'Sistema de Raridade e Evolução'!E5,0)</f>
        <v>3978</v>
      </c>
      <c r="J1553" s="8">
        <f>'Sistema de Raridade e Evolução'!D5</f>
        <v>31</v>
      </c>
      <c r="K1553" s="8" t="s">
        <v>11</v>
      </c>
      <c r="L1553" s="9">
        <f t="shared" si="24"/>
        <v>2957142.86</v>
      </c>
    </row>
    <row r="1554" spans="1:12" ht="14.25" hidden="1" customHeight="1" x14ac:dyDescent="0.3">
      <c r="A1554" s="8">
        <v>1553</v>
      </c>
      <c r="B1554" s="8" t="str">
        <f>'Criaturas - Base de Dados'!B260</f>
        <v>Chama Vulcânica</v>
      </c>
      <c r="C1554" s="8" t="str">
        <f>'Criaturas - Base de Dados'!C260</f>
        <v>Lava</v>
      </c>
      <c r="D1554" s="8" t="str">
        <f>'Criaturas - Base de Dados'!D260</f>
        <v>Colosso de Lava</v>
      </c>
      <c r="E1554" s="8" t="str">
        <f>'Sistema de Raridade e Evolução'!B6</f>
        <v>Platina</v>
      </c>
      <c r="F1554" s="9">
        <f>ROUND(('Criaturas - Base de Dados'!H260*'Sistema de Raridade e Evolução'!E6)*1000,2)</f>
        <v>3450000</v>
      </c>
      <c r="G1554" s="8">
        <f>ROUND('Criaturas - Base de Dados'!I260*'Sistema de Raridade e Evolução'!E6,0)</f>
        <v>2050</v>
      </c>
      <c r="H1554" s="8">
        <f>ROUND('Criaturas - Base de Dados'!J260*'Sistema de Raridade e Evolução'!E6,0)</f>
        <v>1700</v>
      </c>
      <c r="I1554" s="8">
        <f>ROUND('Criaturas - Base de Dados'!K260*'Sistema de Raridade e Evolução'!E6,0)</f>
        <v>11050</v>
      </c>
      <c r="J1554" s="8">
        <f>'Sistema de Raridade e Evolução'!D6</f>
        <v>56</v>
      </c>
      <c r="K1554" s="8" t="s">
        <v>12</v>
      </c>
      <c r="L1554" s="9">
        <f t="shared" si="24"/>
        <v>8214285.71</v>
      </c>
    </row>
    <row r="1555" spans="1:12" ht="14.25" hidden="1" customHeight="1" x14ac:dyDescent="0.3">
      <c r="A1555" s="8">
        <v>1554</v>
      </c>
      <c r="B1555" s="8" t="str">
        <f>'Criaturas - Base de Dados'!B260</f>
        <v>Chama Vulcânica</v>
      </c>
      <c r="C1555" s="8" t="str">
        <f>'Criaturas - Base de Dados'!C260</f>
        <v>Lava</v>
      </c>
      <c r="D1555" s="8" t="str">
        <f>'Criaturas - Base de Dados'!D260</f>
        <v>Colosso de Lava</v>
      </c>
      <c r="E1555" s="8" t="str">
        <f>'Sistema de Raridade e Evolução'!B7</f>
        <v>Lendário</v>
      </c>
      <c r="F1555" s="9">
        <f>ROUND(('Criaturas - Base de Dados'!H260*'Sistema de Raridade e Evolução'!E7)*1000,2)</f>
        <v>10350000</v>
      </c>
      <c r="G1555" s="8">
        <f>ROUND('Criaturas - Base de Dados'!I260*'Sistema de Raridade e Evolução'!E7,0)</f>
        <v>6150</v>
      </c>
      <c r="H1555" s="8">
        <f>ROUND('Criaturas - Base de Dados'!J260*'Sistema de Raridade e Evolução'!E7,0)</f>
        <v>5100</v>
      </c>
      <c r="I1555" s="8">
        <f>ROUND('Criaturas - Base de Dados'!K260*'Sistema de Raridade e Evolução'!E7,0)</f>
        <v>33150</v>
      </c>
      <c r="J1555" s="8">
        <f>'Sistema de Raridade e Evolução'!D7</f>
        <v>91</v>
      </c>
      <c r="K1555" s="8" t="s">
        <v>925</v>
      </c>
      <c r="L1555" s="9">
        <f t="shared" si="24"/>
        <v>24642857.140000001</v>
      </c>
    </row>
    <row r="1556" spans="1:12" ht="14.25" customHeight="1" x14ac:dyDescent="0.3">
      <c r="A1556" s="8">
        <v>1555</v>
      </c>
      <c r="B1556" s="8" t="str">
        <f>'Criaturas - Base de Dados'!B261</f>
        <v>Chama Vulcânica</v>
      </c>
      <c r="C1556" s="8" t="str">
        <f>'Criaturas - Base de Dados'!C261</f>
        <v>Lava</v>
      </c>
      <c r="D1556" s="8" t="str">
        <f>'Criaturas - Base de Dados'!D261</f>
        <v>Núcleo Ardente</v>
      </c>
      <c r="E1556" s="8" t="str">
        <f>'Sistema de Raridade e Evolução'!B2</f>
        <v>Default</v>
      </c>
      <c r="F1556" s="9" t="e">
        <f>ROUND(('Criaturas - Base de Dados'!H261*'Sistema de Raridade e Evolução'!E2)*1000,2)</f>
        <v>#VALUE!</v>
      </c>
      <c r="G1556" s="8" t="e">
        <f>ROUND('Criaturas - Base de Dados'!I261*'Sistema de Raridade e Evolução'!E2,0)</f>
        <v>#VALUE!</v>
      </c>
      <c r="H1556" s="8" t="e">
        <f>ROUND('Criaturas - Base de Dados'!J261*'Sistema de Raridade e Evolução'!E2,0)</f>
        <v>#VALUE!</v>
      </c>
      <c r="I1556" s="8" t="e">
        <f>ROUND('Criaturas - Base de Dados'!K261*'Sistema de Raridade e Evolução'!E2,0)</f>
        <v>#VALUE!</v>
      </c>
      <c r="J1556" s="8">
        <f>'Sistema de Raridade e Evolução'!D2</f>
        <v>1</v>
      </c>
      <c r="K1556" s="8" t="s">
        <v>8</v>
      </c>
      <c r="L1556" s="9" t="e">
        <f t="shared" si="24"/>
        <v>#VALUE!</v>
      </c>
    </row>
    <row r="1557" spans="1:12" ht="14.25" hidden="1" customHeight="1" x14ac:dyDescent="0.3">
      <c r="A1557" s="8">
        <v>1556</v>
      </c>
      <c r="B1557" s="8" t="str">
        <f>'Criaturas - Base de Dados'!B261</f>
        <v>Chama Vulcânica</v>
      </c>
      <c r="C1557" s="8" t="str">
        <f>'Criaturas - Base de Dados'!C261</f>
        <v>Lava</v>
      </c>
      <c r="D1557" s="8" t="str">
        <f>'Criaturas - Base de Dados'!D261</f>
        <v>Núcleo Ardente</v>
      </c>
      <c r="E1557" s="8" t="str">
        <f>'Sistema de Raridade e Evolução'!B3</f>
        <v>Bronze</v>
      </c>
      <c r="F1557" s="9">
        <f>ROUND(('Criaturas - Base de Dados'!H261*'Sistema de Raridade e Evolução'!E3)*1000,2)</f>
        <v>71000</v>
      </c>
      <c r="G1557" s="8">
        <f>ROUND('Criaturas - Base de Dados'!I261*'Sistema de Raridade e Evolução'!E3,0)</f>
        <v>43</v>
      </c>
      <c r="H1557" s="8">
        <f>ROUND('Criaturas - Base de Dados'!J261*'Sistema de Raridade e Evolução'!E3,0)</f>
        <v>36</v>
      </c>
      <c r="I1557" s="8">
        <f>ROUND('Criaturas - Base de Dados'!K261*'Sistema de Raridade e Evolução'!E3,0)</f>
        <v>227</v>
      </c>
      <c r="J1557" s="8">
        <f>'Sistema de Raridade e Evolução'!D3</f>
        <v>6</v>
      </c>
      <c r="K1557" s="8" t="s">
        <v>9</v>
      </c>
      <c r="L1557" s="9">
        <f t="shared" si="24"/>
        <v>169047.62</v>
      </c>
    </row>
    <row r="1558" spans="1:12" ht="14.25" hidden="1" customHeight="1" x14ac:dyDescent="0.3">
      <c r="A1558" s="8">
        <v>1557</v>
      </c>
      <c r="B1558" s="8" t="str">
        <f>'Criaturas - Base de Dados'!B261</f>
        <v>Chama Vulcânica</v>
      </c>
      <c r="C1558" s="8" t="str">
        <f>'Criaturas - Base de Dados'!C261</f>
        <v>Lava</v>
      </c>
      <c r="D1558" s="8" t="str">
        <f>'Criaturas - Base de Dados'!D261</f>
        <v>Núcleo Ardente</v>
      </c>
      <c r="E1558" s="8" t="str">
        <f>'Sistema de Raridade e Evolução'!B4</f>
        <v>Prata</v>
      </c>
      <c r="F1558" s="9">
        <f>ROUND(('Criaturas - Base de Dados'!H261*'Sistema de Raridade e Evolução'!E4)*1000,2)</f>
        <v>426000</v>
      </c>
      <c r="G1558" s="8">
        <f>ROUND('Criaturas - Base de Dados'!I261*'Sistema de Raridade e Evolução'!E4,0)</f>
        <v>258</v>
      </c>
      <c r="H1558" s="8">
        <f>ROUND('Criaturas - Base de Dados'!J261*'Sistema de Raridade e Evolução'!E4,0)</f>
        <v>216</v>
      </c>
      <c r="I1558" s="8">
        <f>ROUND('Criaturas - Base de Dados'!K261*'Sistema de Raridade e Evolução'!E4,0)</f>
        <v>1362</v>
      </c>
      <c r="J1558" s="8">
        <f>'Sistema de Raridade e Evolução'!D4</f>
        <v>16</v>
      </c>
      <c r="K1558" s="8" t="s">
        <v>10</v>
      </c>
      <c r="L1558" s="9">
        <f t="shared" si="24"/>
        <v>1014285.71</v>
      </c>
    </row>
    <row r="1559" spans="1:12" ht="14.25" hidden="1" customHeight="1" x14ac:dyDescent="0.3">
      <c r="A1559" s="8">
        <v>1558</v>
      </c>
      <c r="B1559" s="8" t="str">
        <f>'Criaturas - Base de Dados'!B261</f>
        <v>Chama Vulcânica</v>
      </c>
      <c r="C1559" s="8" t="str">
        <f>'Criaturas - Base de Dados'!C261</f>
        <v>Lava</v>
      </c>
      <c r="D1559" s="8" t="str">
        <f>'Criaturas - Base de Dados'!D261</f>
        <v>Núcleo Ardente</v>
      </c>
      <c r="E1559" s="8" t="str">
        <f>'Sistema de Raridade e Evolução'!B5</f>
        <v>Ouro</v>
      </c>
      <c r="F1559" s="9">
        <f>ROUND(('Criaturas - Base de Dados'!H261*'Sistema de Raridade e Evolução'!E5)*1000,2)</f>
        <v>1278000</v>
      </c>
      <c r="G1559" s="8">
        <f>ROUND('Criaturas - Base de Dados'!I261*'Sistema de Raridade e Evolução'!E5,0)</f>
        <v>774</v>
      </c>
      <c r="H1559" s="8">
        <f>ROUND('Criaturas - Base de Dados'!J261*'Sistema de Raridade e Evolução'!E5,0)</f>
        <v>648</v>
      </c>
      <c r="I1559" s="8">
        <f>ROUND('Criaturas - Base de Dados'!K261*'Sistema de Raridade e Evolução'!E5,0)</f>
        <v>4086</v>
      </c>
      <c r="J1559" s="8">
        <f>'Sistema de Raridade e Evolução'!D5</f>
        <v>31</v>
      </c>
      <c r="K1559" s="8" t="s">
        <v>11</v>
      </c>
      <c r="L1559" s="9">
        <f t="shared" si="24"/>
        <v>3042857.14</v>
      </c>
    </row>
    <row r="1560" spans="1:12" ht="14.25" hidden="1" customHeight="1" x14ac:dyDescent="0.3">
      <c r="A1560" s="8">
        <v>1559</v>
      </c>
      <c r="B1560" s="8" t="str">
        <f>'Criaturas - Base de Dados'!B261</f>
        <v>Chama Vulcânica</v>
      </c>
      <c r="C1560" s="8" t="str">
        <f>'Criaturas - Base de Dados'!C261</f>
        <v>Lava</v>
      </c>
      <c r="D1560" s="8" t="str">
        <f>'Criaturas - Base de Dados'!D261</f>
        <v>Núcleo Ardente</v>
      </c>
      <c r="E1560" s="8" t="str">
        <f>'Sistema de Raridade e Evolução'!B6</f>
        <v>Platina</v>
      </c>
      <c r="F1560" s="9">
        <f>ROUND(('Criaturas - Base de Dados'!H261*'Sistema de Raridade e Evolução'!E6)*1000,2)</f>
        <v>3550000</v>
      </c>
      <c r="G1560" s="8">
        <f>ROUND('Criaturas - Base de Dados'!I261*'Sistema de Raridade e Evolução'!E6,0)</f>
        <v>2150</v>
      </c>
      <c r="H1560" s="8">
        <f>ROUND('Criaturas - Base de Dados'!J261*'Sistema de Raridade e Evolução'!E6,0)</f>
        <v>1800</v>
      </c>
      <c r="I1560" s="8">
        <f>ROUND('Criaturas - Base de Dados'!K261*'Sistema de Raridade e Evolução'!E6,0)</f>
        <v>11350</v>
      </c>
      <c r="J1560" s="8">
        <f>'Sistema de Raridade e Evolução'!D6</f>
        <v>56</v>
      </c>
      <c r="K1560" s="8" t="s">
        <v>12</v>
      </c>
      <c r="L1560" s="9">
        <f t="shared" si="24"/>
        <v>8452380.9499999993</v>
      </c>
    </row>
    <row r="1561" spans="1:12" ht="14.25" hidden="1" customHeight="1" x14ac:dyDescent="0.3">
      <c r="A1561" s="8">
        <v>1560</v>
      </c>
      <c r="B1561" s="8" t="str">
        <f>'Criaturas - Base de Dados'!B261</f>
        <v>Chama Vulcânica</v>
      </c>
      <c r="C1561" s="8" t="str">
        <f>'Criaturas - Base de Dados'!C261</f>
        <v>Lava</v>
      </c>
      <c r="D1561" s="8" t="str">
        <f>'Criaturas - Base de Dados'!D261</f>
        <v>Núcleo Ardente</v>
      </c>
      <c r="E1561" s="8" t="str">
        <f>'Sistema de Raridade e Evolução'!B7</f>
        <v>Lendário</v>
      </c>
      <c r="F1561" s="9">
        <f>ROUND(('Criaturas - Base de Dados'!H261*'Sistema de Raridade e Evolução'!E7)*1000,2)</f>
        <v>10650000</v>
      </c>
      <c r="G1561" s="8">
        <f>ROUND('Criaturas - Base de Dados'!I261*'Sistema de Raridade e Evolução'!E7,0)</f>
        <v>6450</v>
      </c>
      <c r="H1561" s="8">
        <f>ROUND('Criaturas - Base de Dados'!J261*'Sistema de Raridade e Evolução'!E7,0)</f>
        <v>5400</v>
      </c>
      <c r="I1561" s="8">
        <f>ROUND('Criaturas - Base de Dados'!K261*'Sistema de Raridade e Evolução'!E7,0)</f>
        <v>34050</v>
      </c>
      <c r="J1561" s="8">
        <f>'Sistema de Raridade e Evolução'!D7</f>
        <v>91</v>
      </c>
      <c r="K1561" s="8" t="s">
        <v>925</v>
      </c>
      <c r="L1561" s="9">
        <f t="shared" si="24"/>
        <v>25357142.859999999</v>
      </c>
    </row>
    <row r="1562" spans="1:12" ht="14.25" customHeight="1" x14ac:dyDescent="0.3">
      <c r="A1562" s="8">
        <v>1561</v>
      </c>
      <c r="B1562" s="8" t="str">
        <f>'Criaturas - Base de Dados'!B262</f>
        <v>Névoa Espectral</v>
      </c>
      <c r="C1562" s="8" t="str">
        <f>'Criaturas - Base de Dados'!C262</f>
        <v>Fantasma</v>
      </c>
      <c r="D1562" s="8" t="str">
        <f>'Criaturas - Base de Dados'!D262</f>
        <v>Alma Penada Ancestral</v>
      </c>
      <c r="E1562" s="8" t="str">
        <f>'Sistema de Raridade e Evolução'!B2</f>
        <v>Default</v>
      </c>
      <c r="F1562" s="9" t="e">
        <f>ROUND(('Criaturas - Base de Dados'!H262*'Sistema de Raridade e Evolução'!E2)*1000,2)</f>
        <v>#VALUE!</v>
      </c>
      <c r="G1562" s="8" t="e">
        <f>ROUND('Criaturas - Base de Dados'!I262*'Sistema de Raridade e Evolução'!E2,0)</f>
        <v>#VALUE!</v>
      </c>
      <c r="H1562" s="8" t="e">
        <f>ROUND('Criaturas - Base de Dados'!J262*'Sistema de Raridade e Evolução'!E2,0)</f>
        <v>#VALUE!</v>
      </c>
      <c r="I1562" s="8" t="e">
        <f>ROUND('Criaturas - Base de Dados'!K262*'Sistema de Raridade e Evolução'!E2,0)</f>
        <v>#VALUE!</v>
      </c>
      <c r="J1562" s="8">
        <f>'Sistema de Raridade e Evolução'!D2</f>
        <v>1</v>
      </c>
      <c r="K1562" s="8" t="s">
        <v>8</v>
      </c>
      <c r="L1562" s="9" t="e">
        <f t="shared" si="24"/>
        <v>#VALUE!</v>
      </c>
    </row>
    <row r="1563" spans="1:12" ht="14.25" hidden="1" customHeight="1" x14ac:dyDescent="0.3">
      <c r="A1563" s="8">
        <v>1562</v>
      </c>
      <c r="B1563" s="8" t="str">
        <f>'Criaturas - Base de Dados'!B262</f>
        <v>Névoa Espectral</v>
      </c>
      <c r="C1563" s="8" t="str">
        <f>'Criaturas - Base de Dados'!C262</f>
        <v>Fantasma</v>
      </c>
      <c r="D1563" s="8" t="str">
        <f>'Criaturas - Base de Dados'!D262</f>
        <v>Alma Penada Ancestral</v>
      </c>
      <c r="E1563" s="8" t="str">
        <f>'Sistema de Raridade e Evolução'!B3</f>
        <v>Bronze</v>
      </c>
      <c r="F1563" s="9">
        <f>ROUND(('Criaturas - Base de Dados'!H262*'Sistema de Raridade e Evolução'!E3)*1000,2)</f>
        <v>10000</v>
      </c>
      <c r="G1563" s="8">
        <f>ROUND('Criaturas - Base de Dados'!I262*'Sistema de Raridade e Evolução'!E3,0)</f>
        <v>6</v>
      </c>
      <c r="H1563" s="8">
        <f>ROUND('Criaturas - Base de Dados'!J262*'Sistema de Raridade e Evolução'!E3,0)</f>
        <v>5</v>
      </c>
      <c r="I1563" s="8">
        <f>ROUND('Criaturas - Base de Dados'!K262*'Sistema de Raridade e Evolução'!E3,0)</f>
        <v>32</v>
      </c>
      <c r="J1563" s="8">
        <f>'Sistema de Raridade e Evolução'!D3</f>
        <v>6</v>
      </c>
      <c r="K1563" s="8" t="s">
        <v>9</v>
      </c>
      <c r="L1563" s="9">
        <f t="shared" si="24"/>
        <v>23809.52</v>
      </c>
    </row>
    <row r="1564" spans="1:12" ht="14.25" hidden="1" customHeight="1" x14ac:dyDescent="0.3">
      <c r="A1564" s="8">
        <v>1563</v>
      </c>
      <c r="B1564" s="8" t="str">
        <f>'Criaturas - Base de Dados'!B262</f>
        <v>Névoa Espectral</v>
      </c>
      <c r="C1564" s="8" t="str">
        <f>'Criaturas - Base de Dados'!C262</f>
        <v>Fantasma</v>
      </c>
      <c r="D1564" s="8" t="str">
        <f>'Criaturas - Base de Dados'!D262</f>
        <v>Alma Penada Ancestral</v>
      </c>
      <c r="E1564" s="8" t="str">
        <f>'Sistema de Raridade e Evolução'!B4</f>
        <v>Prata</v>
      </c>
      <c r="F1564" s="9">
        <f>ROUND(('Criaturas - Base de Dados'!H262*'Sistema de Raridade e Evolução'!E4)*1000,2)</f>
        <v>60000</v>
      </c>
      <c r="G1564" s="8">
        <f>ROUND('Criaturas - Base de Dados'!I262*'Sistema de Raridade e Evolução'!E4,0)</f>
        <v>36</v>
      </c>
      <c r="H1564" s="8">
        <f>ROUND('Criaturas - Base de Dados'!J262*'Sistema de Raridade e Evolução'!E4,0)</f>
        <v>30</v>
      </c>
      <c r="I1564" s="8">
        <f>ROUND('Criaturas - Base de Dados'!K262*'Sistema de Raridade e Evolução'!E4,0)</f>
        <v>192</v>
      </c>
      <c r="J1564" s="8">
        <f>'Sistema de Raridade e Evolução'!D4</f>
        <v>16</v>
      </c>
      <c r="K1564" s="8" t="s">
        <v>10</v>
      </c>
      <c r="L1564" s="9">
        <f t="shared" si="24"/>
        <v>142857.14000000001</v>
      </c>
    </row>
    <row r="1565" spans="1:12" ht="14.25" hidden="1" customHeight="1" x14ac:dyDescent="0.3">
      <c r="A1565" s="8">
        <v>1564</v>
      </c>
      <c r="B1565" s="8" t="str">
        <f>'Criaturas - Base de Dados'!B262</f>
        <v>Névoa Espectral</v>
      </c>
      <c r="C1565" s="8" t="str">
        <f>'Criaturas - Base de Dados'!C262</f>
        <v>Fantasma</v>
      </c>
      <c r="D1565" s="8" t="str">
        <f>'Criaturas - Base de Dados'!D262</f>
        <v>Alma Penada Ancestral</v>
      </c>
      <c r="E1565" s="8" t="str">
        <f>'Sistema de Raridade e Evolução'!B5</f>
        <v>Ouro</v>
      </c>
      <c r="F1565" s="9">
        <f>ROUND(('Criaturas - Base de Dados'!H262*'Sistema de Raridade e Evolução'!E5)*1000,2)</f>
        <v>180000</v>
      </c>
      <c r="G1565" s="8">
        <f>ROUND('Criaturas - Base de Dados'!I262*'Sistema de Raridade e Evolução'!E5,0)</f>
        <v>108</v>
      </c>
      <c r="H1565" s="8">
        <f>ROUND('Criaturas - Base de Dados'!J262*'Sistema de Raridade e Evolução'!E5,0)</f>
        <v>90</v>
      </c>
      <c r="I1565" s="8">
        <f>ROUND('Criaturas - Base de Dados'!K262*'Sistema de Raridade e Evolução'!E5,0)</f>
        <v>576</v>
      </c>
      <c r="J1565" s="8">
        <f>'Sistema de Raridade e Evolução'!D5</f>
        <v>31</v>
      </c>
      <c r="K1565" s="8" t="s">
        <v>11</v>
      </c>
      <c r="L1565" s="9">
        <f t="shared" si="24"/>
        <v>428571.43</v>
      </c>
    </row>
    <row r="1566" spans="1:12" ht="14.25" hidden="1" customHeight="1" x14ac:dyDescent="0.3">
      <c r="A1566" s="8">
        <v>1565</v>
      </c>
      <c r="B1566" s="8" t="str">
        <f>'Criaturas - Base de Dados'!B262</f>
        <v>Névoa Espectral</v>
      </c>
      <c r="C1566" s="8" t="str">
        <f>'Criaturas - Base de Dados'!C262</f>
        <v>Fantasma</v>
      </c>
      <c r="D1566" s="8" t="str">
        <f>'Criaturas - Base de Dados'!D262</f>
        <v>Alma Penada Ancestral</v>
      </c>
      <c r="E1566" s="8" t="str">
        <f>'Sistema de Raridade e Evolução'!B6</f>
        <v>Platina</v>
      </c>
      <c r="F1566" s="9">
        <f>ROUND(('Criaturas - Base de Dados'!H262*'Sistema de Raridade e Evolução'!E6)*1000,2)</f>
        <v>500000</v>
      </c>
      <c r="G1566" s="8">
        <f>ROUND('Criaturas - Base de Dados'!I262*'Sistema de Raridade e Evolução'!E6,0)</f>
        <v>300</v>
      </c>
      <c r="H1566" s="8">
        <f>ROUND('Criaturas - Base de Dados'!J262*'Sistema de Raridade e Evolução'!E6,0)</f>
        <v>250</v>
      </c>
      <c r="I1566" s="8">
        <f>ROUND('Criaturas - Base de Dados'!K262*'Sistema de Raridade e Evolução'!E6,0)</f>
        <v>1600</v>
      </c>
      <c r="J1566" s="8">
        <f>'Sistema de Raridade e Evolução'!D6</f>
        <v>56</v>
      </c>
      <c r="K1566" s="8" t="s">
        <v>12</v>
      </c>
      <c r="L1566" s="9">
        <f t="shared" si="24"/>
        <v>1190476.19</v>
      </c>
    </row>
    <row r="1567" spans="1:12" ht="14.25" hidden="1" customHeight="1" x14ac:dyDescent="0.3">
      <c r="A1567" s="8">
        <v>1566</v>
      </c>
      <c r="B1567" s="8" t="str">
        <f>'Criaturas - Base de Dados'!B262</f>
        <v>Névoa Espectral</v>
      </c>
      <c r="C1567" s="8" t="str">
        <f>'Criaturas - Base de Dados'!C262</f>
        <v>Fantasma</v>
      </c>
      <c r="D1567" s="8" t="str">
        <f>'Criaturas - Base de Dados'!D262</f>
        <v>Alma Penada Ancestral</v>
      </c>
      <c r="E1567" s="8" t="str">
        <f>'Sistema de Raridade e Evolução'!B7</f>
        <v>Lendário</v>
      </c>
      <c r="F1567" s="9">
        <f>ROUND(('Criaturas - Base de Dados'!H262*'Sistema de Raridade e Evolução'!E7)*1000,2)</f>
        <v>1500000</v>
      </c>
      <c r="G1567" s="8">
        <f>ROUND('Criaturas - Base de Dados'!I262*'Sistema de Raridade e Evolução'!E7,0)</f>
        <v>900</v>
      </c>
      <c r="H1567" s="8">
        <f>ROUND('Criaturas - Base de Dados'!J262*'Sistema de Raridade e Evolução'!E7,0)</f>
        <v>750</v>
      </c>
      <c r="I1567" s="8">
        <f>ROUND('Criaturas - Base de Dados'!K262*'Sistema de Raridade e Evolução'!E7,0)</f>
        <v>4800</v>
      </c>
      <c r="J1567" s="8">
        <f>'Sistema de Raridade e Evolução'!D7</f>
        <v>91</v>
      </c>
      <c r="K1567" s="8" t="s">
        <v>925</v>
      </c>
      <c r="L1567" s="9">
        <f t="shared" si="24"/>
        <v>3571428.57</v>
      </c>
    </row>
    <row r="1568" spans="1:12" ht="14.25" customHeight="1" x14ac:dyDescent="0.3">
      <c r="A1568" s="8">
        <v>1567</v>
      </c>
      <c r="B1568" s="8" t="str">
        <f>'Criaturas - Base de Dados'!B263</f>
        <v>Névoa Espectral</v>
      </c>
      <c r="C1568" s="8" t="str">
        <f>'Criaturas - Base de Dados'!C263</f>
        <v>Fantasma</v>
      </c>
      <c r="D1568" s="8" t="str">
        <f>'Criaturas - Base de Dados'!D263</f>
        <v>Fantasma da Névoa</v>
      </c>
      <c r="E1568" s="8" t="str">
        <f>'Sistema de Raridade e Evolução'!B2</f>
        <v>Default</v>
      </c>
      <c r="F1568" s="9" t="e">
        <f>ROUND(('Criaturas - Base de Dados'!H263*'Sistema de Raridade e Evolução'!E2)*1000,2)</f>
        <v>#VALUE!</v>
      </c>
      <c r="G1568" s="8" t="e">
        <f>ROUND('Criaturas - Base de Dados'!I263*'Sistema de Raridade e Evolução'!E2,0)</f>
        <v>#VALUE!</v>
      </c>
      <c r="H1568" s="8" t="e">
        <f>ROUND('Criaturas - Base de Dados'!J263*'Sistema de Raridade e Evolução'!E2,0)</f>
        <v>#VALUE!</v>
      </c>
      <c r="I1568" s="8" t="e">
        <f>ROUND('Criaturas - Base de Dados'!K263*'Sistema de Raridade e Evolução'!E2,0)</f>
        <v>#VALUE!</v>
      </c>
      <c r="J1568" s="8">
        <f>'Sistema de Raridade e Evolução'!D2</f>
        <v>1</v>
      </c>
      <c r="K1568" s="8" t="s">
        <v>8</v>
      </c>
      <c r="L1568" s="9" t="e">
        <f t="shared" si="24"/>
        <v>#VALUE!</v>
      </c>
    </row>
    <row r="1569" spans="1:12" ht="14.25" hidden="1" customHeight="1" x14ac:dyDescent="0.3">
      <c r="A1569" s="8">
        <v>1568</v>
      </c>
      <c r="B1569" s="8" t="str">
        <f>'Criaturas - Base de Dados'!B263</f>
        <v>Névoa Espectral</v>
      </c>
      <c r="C1569" s="8" t="str">
        <f>'Criaturas - Base de Dados'!C263</f>
        <v>Fantasma</v>
      </c>
      <c r="D1569" s="8" t="str">
        <f>'Criaturas - Base de Dados'!D263</f>
        <v>Fantasma da Névoa</v>
      </c>
      <c r="E1569" s="8" t="str">
        <f>'Sistema de Raridade e Evolução'!B3</f>
        <v>Bronze</v>
      </c>
      <c r="F1569" s="9">
        <f>ROUND(('Criaturas - Base de Dados'!H263*'Sistema de Raridade e Evolução'!E3)*1000,2)</f>
        <v>12000</v>
      </c>
      <c r="G1569" s="8">
        <f>ROUND('Criaturas - Base de Dados'!I263*'Sistema de Raridade e Evolução'!E3,0)</f>
        <v>7</v>
      </c>
      <c r="H1569" s="8">
        <f>ROUND('Criaturas - Base de Dados'!J263*'Sistema de Raridade e Evolução'!E3,0)</f>
        <v>6</v>
      </c>
      <c r="I1569" s="8">
        <f>ROUND('Criaturas - Base de Dados'!K263*'Sistema de Raridade e Evolução'!E3,0)</f>
        <v>38</v>
      </c>
      <c r="J1569" s="8">
        <f>'Sistema de Raridade e Evolução'!D3</f>
        <v>6</v>
      </c>
      <c r="K1569" s="8" t="s">
        <v>9</v>
      </c>
      <c r="L1569" s="9">
        <f t="shared" si="24"/>
        <v>28571.43</v>
      </c>
    </row>
    <row r="1570" spans="1:12" ht="14.25" hidden="1" customHeight="1" x14ac:dyDescent="0.3">
      <c r="A1570" s="8">
        <v>1569</v>
      </c>
      <c r="B1570" s="8" t="str">
        <f>'Criaturas - Base de Dados'!B263</f>
        <v>Névoa Espectral</v>
      </c>
      <c r="C1570" s="8" t="str">
        <f>'Criaturas - Base de Dados'!C263</f>
        <v>Fantasma</v>
      </c>
      <c r="D1570" s="8" t="str">
        <f>'Criaturas - Base de Dados'!D263</f>
        <v>Fantasma da Névoa</v>
      </c>
      <c r="E1570" s="8" t="str">
        <f>'Sistema de Raridade e Evolução'!B4</f>
        <v>Prata</v>
      </c>
      <c r="F1570" s="9">
        <f>ROUND(('Criaturas - Base de Dados'!H263*'Sistema de Raridade e Evolução'!E4)*1000,2)</f>
        <v>72000</v>
      </c>
      <c r="G1570" s="8">
        <f>ROUND('Criaturas - Base de Dados'!I263*'Sistema de Raridade e Evolução'!E4,0)</f>
        <v>42</v>
      </c>
      <c r="H1570" s="8">
        <f>ROUND('Criaturas - Base de Dados'!J263*'Sistema de Raridade e Evolução'!E4,0)</f>
        <v>36</v>
      </c>
      <c r="I1570" s="8">
        <f>ROUND('Criaturas - Base de Dados'!K263*'Sistema de Raridade e Evolução'!E4,0)</f>
        <v>228</v>
      </c>
      <c r="J1570" s="8">
        <f>'Sistema de Raridade e Evolução'!D4</f>
        <v>16</v>
      </c>
      <c r="K1570" s="8" t="s">
        <v>10</v>
      </c>
      <c r="L1570" s="9">
        <f t="shared" si="24"/>
        <v>171428.57</v>
      </c>
    </row>
    <row r="1571" spans="1:12" ht="14.25" hidden="1" customHeight="1" x14ac:dyDescent="0.3">
      <c r="A1571" s="8">
        <v>1570</v>
      </c>
      <c r="B1571" s="8" t="str">
        <f>'Criaturas - Base de Dados'!B263</f>
        <v>Névoa Espectral</v>
      </c>
      <c r="C1571" s="8" t="str">
        <f>'Criaturas - Base de Dados'!C263</f>
        <v>Fantasma</v>
      </c>
      <c r="D1571" s="8" t="str">
        <f>'Criaturas - Base de Dados'!D263</f>
        <v>Fantasma da Névoa</v>
      </c>
      <c r="E1571" s="8" t="str">
        <f>'Sistema de Raridade e Evolução'!B5</f>
        <v>Ouro</v>
      </c>
      <c r="F1571" s="9">
        <f>ROUND(('Criaturas - Base de Dados'!H263*'Sistema de Raridade e Evolução'!E5)*1000,2)</f>
        <v>216000</v>
      </c>
      <c r="G1571" s="8">
        <f>ROUND('Criaturas - Base de Dados'!I263*'Sistema de Raridade e Evolução'!E5,0)</f>
        <v>126</v>
      </c>
      <c r="H1571" s="8">
        <f>ROUND('Criaturas - Base de Dados'!J263*'Sistema de Raridade e Evolução'!E5,0)</f>
        <v>108</v>
      </c>
      <c r="I1571" s="8">
        <f>ROUND('Criaturas - Base de Dados'!K263*'Sistema de Raridade e Evolução'!E5,0)</f>
        <v>684</v>
      </c>
      <c r="J1571" s="8">
        <f>'Sistema de Raridade e Evolução'!D5</f>
        <v>31</v>
      </c>
      <c r="K1571" s="8" t="s">
        <v>11</v>
      </c>
      <c r="L1571" s="9">
        <f t="shared" si="24"/>
        <v>514285.71</v>
      </c>
    </row>
    <row r="1572" spans="1:12" ht="14.25" hidden="1" customHeight="1" x14ac:dyDescent="0.3">
      <c r="A1572" s="8">
        <v>1571</v>
      </c>
      <c r="B1572" s="8" t="str">
        <f>'Criaturas - Base de Dados'!B263</f>
        <v>Névoa Espectral</v>
      </c>
      <c r="C1572" s="8" t="str">
        <f>'Criaturas - Base de Dados'!C263</f>
        <v>Fantasma</v>
      </c>
      <c r="D1572" s="8" t="str">
        <f>'Criaturas - Base de Dados'!D263</f>
        <v>Fantasma da Névoa</v>
      </c>
      <c r="E1572" s="8" t="str">
        <f>'Sistema de Raridade e Evolução'!B6</f>
        <v>Platina</v>
      </c>
      <c r="F1572" s="9">
        <f>ROUND(('Criaturas - Base de Dados'!H263*'Sistema de Raridade e Evolução'!E6)*1000,2)</f>
        <v>600000</v>
      </c>
      <c r="G1572" s="8">
        <f>ROUND('Criaturas - Base de Dados'!I263*'Sistema de Raridade e Evolução'!E6,0)</f>
        <v>350</v>
      </c>
      <c r="H1572" s="8">
        <f>ROUND('Criaturas - Base de Dados'!J263*'Sistema de Raridade e Evolução'!E6,0)</f>
        <v>300</v>
      </c>
      <c r="I1572" s="8">
        <f>ROUND('Criaturas - Base de Dados'!K263*'Sistema de Raridade e Evolução'!E6,0)</f>
        <v>1900</v>
      </c>
      <c r="J1572" s="8">
        <f>'Sistema de Raridade e Evolução'!D6</f>
        <v>56</v>
      </c>
      <c r="K1572" s="8" t="s">
        <v>12</v>
      </c>
      <c r="L1572" s="9">
        <f t="shared" si="24"/>
        <v>1428571.43</v>
      </c>
    </row>
    <row r="1573" spans="1:12" ht="14.25" hidden="1" customHeight="1" x14ac:dyDescent="0.3">
      <c r="A1573" s="8">
        <v>1572</v>
      </c>
      <c r="B1573" s="8" t="str">
        <f>'Criaturas - Base de Dados'!B263</f>
        <v>Névoa Espectral</v>
      </c>
      <c r="C1573" s="8" t="str">
        <f>'Criaturas - Base de Dados'!C263</f>
        <v>Fantasma</v>
      </c>
      <c r="D1573" s="8" t="str">
        <f>'Criaturas - Base de Dados'!D263</f>
        <v>Fantasma da Névoa</v>
      </c>
      <c r="E1573" s="8" t="str">
        <f>'Sistema de Raridade e Evolução'!B7</f>
        <v>Lendário</v>
      </c>
      <c r="F1573" s="9">
        <f>ROUND(('Criaturas - Base de Dados'!H263*'Sistema de Raridade e Evolução'!E7)*1000,2)</f>
        <v>1800000</v>
      </c>
      <c r="G1573" s="8">
        <f>ROUND('Criaturas - Base de Dados'!I263*'Sistema de Raridade e Evolução'!E7,0)</f>
        <v>1050</v>
      </c>
      <c r="H1573" s="8">
        <f>ROUND('Criaturas - Base de Dados'!J263*'Sistema de Raridade e Evolução'!E7,0)</f>
        <v>900</v>
      </c>
      <c r="I1573" s="8">
        <f>ROUND('Criaturas - Base de Dados'!K263*'Sistema de Raridade e Evolução'!E7,0)</f>
        <v>5700</v>
      </c>
      <c r="J1573" s="8">
        <f>'Sistema de Raridade e Evolução'!D7</f>
        <v>91</v>
      </c>
      <c r="K1573" s="8" t="s">
        <v>925</v>
      </c>
      <c r="L1573" s="9">
        <f t="shared" si="24"/>
        <v>4285714.29</v>
      </c>
    </row>
    <row r="1574" spans="1:12" ht="14.25" customHeight="1" x14ac:dyDescent="0.3">
      <c r="A1574" s="8">
        <v>1573</v>
      </c>
      <c r="B1574" s="8" t="str">
        <f>'Criaturas - Base de Dados'!B264</f>
        <v>Névoa Espectral</v>
      </c>
      <c r="C1574" s="8" t="str">
        <f>'Criaturas - Base de Dados'!C264</f>
        <v>Fantasma</v>
      </c>
      <c r="D1574" s="8" t="str">
        <f>'Criaturas - Base de Dados'!D264</f>
        <v>Eco do Além</v>
      </c>
      <c r="E1574" s="8" t="str">
        <f>'Sistema de Raridade e Evolução'!B2</f>
        <v>Default</v>
      </c>
      <c r="F1574" s="9" t="e">
        <f>ROUND(('Criaturas - Base de Dados'!H264*'Sistema de Raridade e Evolução'!E2)*1000,2)</f>
        <v>#VALUE!</v>
      </c>
      <c r="G1574" s="8" t="e">
        <f>ROUND('Criaturas - Base de Dados'!I264*'Sistema de Raridade e Evolução'!E2,0)</f>
        <v>#VALUE!</v>
      </c>
      <c r="H1574" s="8" t="e">
        <f>ROUND('Criaturas - Base de Dados'!J264*'Sistema de Raridade e Evolução'!E2,0)</f>
        <v>#VALUE!</v>
      </c>
      <c r="I1574" s="8" t="e">
        <f>ROUND('Criaturas - Base de Dados'!K264*'Sistema de Raridade e Evolução'!E2,0)</f>
        <v>#VALUE!</v>
      </c>
      <c r="J1574" s="8">
        <f>'Sistema de Raridade e Evolução'!D2</f>
        <v>1</v>
      </c>
      <c r="K1574" s="8" t="s">
        <v>8</v>
      </c>
      <c r="L1574" s="9" t="e">
        <f t="shared" si="24"/>
        <v>#VALUE!</v>
      </c>
    </row>
    <row r="1575" spans="1:12" ht="14.25" hidden="1" customHeight="1" x14ac:dyDescent="0.3">
      <c r="A1575" s="8">
        <v>1574</v>
      </c>
      <c r="B1575" s="8" t="str">
        <f>'Criaturas - Base de Dados'!B264</f>
        <v>Névoa Espectral</v>
      </c>
      <c r="C1575" s="8" t="str">
        <f>'Criaturas - Base de Dados'!C264</f>
        <v>Fantasma</v>
      </c>
      <c r="D1575" s="8" t="str">
        <f>'Criaturas - Base de Dados'!D264</f>
        <v>Eco do Além</v>
      </c>
      <c r="E1575" s="8" t="str">
        <f>'Sistema de Raridade e Evolução'!B3</f>
        <v>Bronze</v>
      </c>
      <c r="F1575" s="9">
        <f>ROUND(('Criaturas - Base de Dados'!H264*'Sistema de Raridade e Evolução'!E3)*1000,2)</f>
        <v>14000</v>
      </c>
      <c r="G1575" s="8">
        <f>ROUND('Criaturas - Base de Dados'!I264*'Sistema de Raridade e Evolução'!E3,0)</f>
        <v>8</v>
      </c>
      <c r="H1575" s="8">
        <f>ROUND('Criaturas - Base de Dados'!J264*'Sistema de Raridade e Evolução'!E3,0)</f>
        <v>7</v>
      </c>
      <c r="I1575" s="8">
        <f>ROUND('Criaturas - Base de Dados'!K264*'Sistema de Raridade e Evolução'!E3,0)</f>
        <v>45</v>
      </c>
      <c r="J1575" s="8">
        <f>'Sistema de Raridade e Evolução'!D3</f>
        <v>6</v>
      </c>
      <c r="K1575" s="8" t="s">
        <v>9</v>
      </c>
      <c r="L1575" s="9">
        <f t="shared" si="24"/>
        <v>33333.33</v>
      </c>
    </row>
    <row r="1576" spans="1:12" ht="14.25" hidden="1" customHeight="1" x14ac:dyDescent="0.3">
      <c r="A1576" s="8">
        <v>1575</v>
      </c>
      <c r="B1576" s="8" t="str">
        <f>'Criaturas - Base de Dados'!B264</f>
        <v>Névoa Espectral</v>
      </c>
      <c r="C1576" s="8" t="str">
        <f>'Criaturas - Base de Dados'!C264</f>
        <v>Fantasma</v>
      </c>
      <c r="D1576" s="8" t="str">
        <f>'Criaturas - Base de Dados'!D264</f>
        <v>Eco do Além</v>
      </c>
      <c r="E1576" s="8" t="str">
        <f>'Sistema de Raridade e Evolução'!B4</f>
        <v>Prata</v>
      </c>
      <c r="F1576" s="9">
        <f>ROUND(('Criaturas - Base de Dados'!H264*'Sistema de Raridade e Evolução'!E4)*1000,2)</f>
        <v>84000</v>
      </c>
      <c r="G1576" s="8">
        <f>ROUND('Criaturas - Base de Dados'!I264*'Sistema de Raridade e Evolução'!E4,0)</f>
        <v>48</v>
      </c>
      <c r="H1576" s="8">
        <f>ROUND('Criaturas - Base de Dados'!J264*'Sistema de Raridade e Evolução'!E4,0)</f>
        <v>42</v>
      </c>
      <c r="I1576" s="8">
        <f>ROUND('Criaturas - Base de Dados'!K264*'Sistema de Raridade e Evolução'!E4,0)</f>
        <v>270</v>
      </c>
      <c r="J1576" s="8">
        <f>'Sistema de Raridade e Evolução'!D4</f>
        <v>16</v>
      </c>
      <c r="K1576" s="8" t="s">
        <v>10</v>
      </c>
      <c r="L1576" s="9">
        <f t="shared" si="24"/>
        <v>200000</v>
      </c>
    </row>
    <row r="1577" spans="1:12" ht="14.25" hidden="1" customHeight="1" x14ac:dyDescent="0.3">
      <c r="A1577" s="8">
        <v>1576</v>
      </c>
      <c r="B1577" s="8" t="str">
        <f>'Criaturas - Base de Dados'!B264</f>
        <v>Névoa Espectral</v>
      </c>
      <c r="C1577" s="8" t="str">
        <f>'Criaturas - Base de Dados'!C264</f>
        <v>Fantasma</v>
      </c>
      <c r="D1577" s="8" t="str">
        <f>'Criaturas - Base de Dados'!D264</f>
        <v>Eco do Além</v>
      </c>
      <c r="E1577" s="8" t="str">
        <f>'Sistema de Raridade e Evolução'!B5</f>
        <v>Ouro</v>
      </c>
      <c r="F1577" s="9">
        <f>ROUND(('Criaturas - Base de Dados'!H264*'Sistema de Raridade e Evolução'!E5)*1000,2)</f>
        <v>252000</v>
      </c>
      <c r="G1577" s="8">
        <f>ROUND('Criaturas - Base de Dados'!I264*'Sistema de Raridade e Evolução'!E5,0)</f>
        <v>144</v>
      </c>
      <c r="H1577" s="8">
        <f>ROUND('Criaturas - Base de Dados'!J264*'Sistema de Raridade e Evolução'!E5,0)</f>
        <v>126</v>
      </c>
      <c r="I1577" s="8">
        <f>ROUND('Criaturas - Base de Dados'!K264*'Sistema de Raridade e Evolução'!E5,0)</f>
        <v>810</v>
      </c>
      <c r="J1577" s="8">
        <f>'Sistema de Raridade e Evolução'!D5</f>
        <v>31</v>
      </c>
      <c r="K1577" s="8" t="s">
        <v>11</v>
      </c>
      <c r="L1577" s="9">
        <f t="shared" si="24"/>
        <v>600000</v>
      </c>
    </row>
    <row r="1578" spans="1:12" ht="14.25" hidden="1" customHeight="1" x14ac:dyDescent="0.3">
      <c r="A1578" s="8">
        <v>1577</v>
      </c>
      <c r="B1578" s="8" t="str">
        <f>'Criaturas - Base de Dados'!B264</f>
        <v>Névoa Espectral</v>
      </c>
      <c r="C1578" s="8" t="str">
        <f>'Criaturas - Base de Dados'!C264</f>
        <v>Fantasma</v>
      </c>
      <c r="D1578" s="8" t="str">
        <f>'Criaturas - Base de Dados'!D264</f>
        <v>Eco do Além</v>
      </c>
      <c r="E1578" s="8" t="str">
        <f>'Sistema de Raridade e Evolução'!B6</f>
        <v>Platina</v>
      </c>
      <c r="F1578" s="9">
        <f>ROUND(('Criaturas - Base de Dados'!H264*'Sistema de Raridade e Evolução'!E6)*1000,2)</f>
        <v>700000</v>
      </c>
      <c r="G1578" s="8">
        <f>ROUND('Criaturas - Base de Dados'!I264*'Sistema de Raridade e Evolução'!E6,0)</f>
        <v>400</v>
      </c>
      <c r="H1578" s="8">
        <f>ROUND('Criaturas - Base de Dados'!J264*'Sistema de Raridade e Evolução'!E6,0)</f>
        <v>350</v>
      </c>
      <c r="I1578" s="8">
        <f>ROUND('Criaturas - Base de Dados'!K264*'Sistema de Raridade e Evolução'!E6,0)</f>
        <v>2250</v>
      </c>
      <c r="J1578" s="8">
        <f>'Sistema de Raridade e Evolução'!D6</f>
        <v>56</v>
      </c>
      <c r="K1578" s="8" t="s">
        <v>12</v>
      </c>
      <c r="L1578" s="9">
        <f t="shared" si="24"/>
        <v>1666666.67</v>
      </c>
    </row>
    <row r="1579" spans="1:12" ht="14.25" hidden="1" customHeight="1" x14ac:dyDescent="0.3">
      <c r="A1579" s="8">
        <v>1578</v>
      </c>
      <c r="B1579" s="8" t="str">
        <f>'Criaturas - Base de Dados'!B264</f>
        <v>Névoa Espectral</v>
      </c>
      <c r="C1579" s="8" t="str">
        <f>'Criaturas - Base de Dados'!C264</f>
        <v>Fantasma</v>
      </c>
      <c r="D1579" s="8" t="str">
        <f>'Criaturas - Base de Dados'!D264</f>
        <v>Eco do Além</v>
      </c>
      <c r="E1579" s="8" t="str">
        <f>'Sistema de Raridade e Evolução'!B7</f>
        <v>Lendário</v>
      </c>
      <c r="F1579" s="9">
        <f>ROUND(('Criaturas - Base de Dados'!H264*'Sistema de Raridade e Evolução'!E7)*1000,2)</f>
        <v>2100000</v>
      </c>
      <c r="G1579" s="8">
        <f>ROUND('Criaturas - Base de Dados'!I264*'Sistema de Raridade e Evolução'!E7,0)</f>
        <v>1200</v>
      </c>
      <c r="H1579" s="8">
        <f>ROUND('Criaturas - Base de Dados'!J264*'Sistema de Raridade e Evolução'!E7,0)</f>
        <v>1050</v>
      </c>
      <c r="I1579" s="8">
        <f>ROUND('Criaturas - Base de Dados'!K264*'Sistema de Raridade e Evolução'!E7,0)</f>
        <v>6750</v>
      </c>
      <c r="J1579" s="8">
        <f>'Sistema de Raridade e Evolução'!D7</f>
        <v>91</v>
      </c>
      <c r="K1579" s="8" t="s">
        <v>925</v>
      </c>
      <c r="L1579" s="9">
        <f t="shared" si="24"/>
        <v>5000000</v>
      </c>
    </row>
    <row r="1580" spans="1:12" ht="14.25" customHeight="1" x14ac:dyDescent="0.3">
      <c r="A1580" s="8">
        <v>1579</v>
      </c>
      <c r="B1580" s="8" t="str">
        <f>'Criaturas - Base de Dados'!B265</f>
        <v>Névoa Espectral</v>
      </c>
      <c r="C1580" s="8" t="str">
        <f>'Criaturas - Base de Dados'!C265</f>
        <v>Fantasma</v>
      </c>
      <c r="D1580" s="8" t="str">
        <f>'Criaturas - Base de Dados'!D265</f>
        <v>Espectro Errante</v>
      </c>
      <c r="E1580" s="8" t="str">
        <f>'Sistema de Raridade e Evolução'!B2</f>
        <v>Default</v>
      </c>
      <c r="F1580" s="9" t="e">
        <f>ROUND(('Criaturas - Base de Dados'!H265*'Sistema de Raridade e Evolução'!E2)*1000,2)</f>
        <v>#VALUE!</v>
      </c>
      <c r="G1580" s="8" t="e">
        <f>ROUND('Criaturas - Base de Dados'!I265*'Sistema de Raridade e Evolução'!E2,0)</f>
        <v>#VALUE!</v>
      </c>
      <c r="H1580" s="8" t="e">
        <f>ROUND('Criaturas - Base de Dados'!J265*'Sistema de Raridade e Evolução'!E2,0)</f>
        <v>#VALUE!</v>
      </c>
      <c r="I1580" s="8" t="e">
        <f>ROUND('Criaturas - Base de Dados'!K265*'Sistema de Raridade e Evolução'!E2,0)</f>
        <v>#VALUE!</v>
      </c>
      <c r="J1580" s="8">
        <f>'Sistema de Raridade e Evolução'!D2</f>
        <v>1</v>
      </c>
      <c r="K1580" s="8" t="s">
        <v>8</v>
      </c>
      <c r="L1580" s="9" t="e">
        <f t="shared" si="24"/>
        <v>#VALUE!</v>
      </c>
    </row>
    <row r="1581" spans="1:12" ht="14.25" hidden="1" customHeight="1" x14ac:dyDescent="0.3">
      <c r="A1581" s="8">
        <v>1580</v>
      </c>
      <c r="B1581" s="8" t="str">
        <f>'Criaturas - Base de Dados'!B265</f>
        <v>Névoa Espectral</v>
      </c>
      <c r="C1581" s="8" t="str">
        <f>'Criaturas - Base de Dados'!C265</f>
        <v>Fantasma</v>
      </c>
      <c r="D1581" s="8" t="str">
        <f>'Criaturas - Base de Dados'!D265</f>
        <v>Espectro Errante</v>
      </c>
      <c r="E1581" s="8" t="str">
        <f>'Sistema de Raridade e Evolução'!B3</f>
        <v>Bronze</v>
      </c>
      <c r="F1581" s="9">
        <f>ROUND(('Criaturas - Base de Dados'!H265*'Sistema de Raridade e Evolução'!E3)*1000,2)</f>
        <v>16000</v>
      </c>
      <c r="G1581" s="8">
        <f>ROUND('Criaturas - Base de Dados'!I265*'Sistema de Raridade e Evolução'!E3,0)</f>
        <v>10</v>
      </c>
      <c r="H1581" s="8">
        <f>ROUND('Criaturas - Base de Dados'!J265*'Sistema de Raridade e Evolução'!E3,0)</f>
        <v>8</v>
      </c>
      <c r="I1581" s="8">
        <f>ROUND('Criaturas - Base de Dados'!K265*'Sistema de Raridade e Evolução'!E3,0)</f>
        <v>51</v>
      </c>
      <c r="J1581" s="8">
        <f>'Sistema de Raridade e Evolução'!D3</f>
        <v>6</v>
      </c>
      <c r="K1581" s="8" t="s">
        <v>9</v>
      </c>
      <c r="L1581" s="9">
        <f t="shared" si="24"/>
        <v>38095.24</v>
      </c>
    </row>
    <row r="1582" spans="1:12" ht="14.25" hidden="1" customHeight="1" x14ac:dyDescent="0.3">
      <c r="A1582" s="8">
        <v>1581</v>
      </c>
      <c r="B1582" s="8" t="str">
        <f>'Criaturas - Base de Dados'!B265</f>
        <v>Névoa Espectral</v>
      </c>
      <c r="C1582" s="8" t="str">
        <f>'Criaturas - Base de Dados'!C265</f>
        <v>Fantasma</v>
      </c>
      <c r="D1582" s="8" t="str">
        <f>'Criaturas - Base de Dados'!D265</f>
        <v>Espectro Errante</v>
      </c>
      <c r="E1582" s="8" t="str">
        <f>'Sistema de Raridade e Evolução'!B4</f>
        <v>Prata</v>
      </c>
      <c r="F1582" s="9">
        <f>ROUND(('Criaturas - Base de Dados'!H265*'Sistema de Raridade e Evolução'!E4)*1000,2)</f>
        <v>96000</v>
      </c>
      <c r="G1582" s="8">
        <f>ROUND('Criaturas - Base de Dados'!I265*'Sistema de Raridade e Evolução'!E4,0)</f>
        <v>60</v>
      </c>
      <c r="H1582" s="8">
        <f>ROUND('Criaturas - Base de Dados'!J265*'Sistema de Raridade e Evolução'!E4,0)</f>
        <v>48</v>
      </c>
      <c r="I1582" s="8">
        <f>ROUND('Criaturas - Base de Dados'!K265*'Sistema de Raridade e Evolução'!E4,0)</f>
        <v>306</v>
      </c>
      <c r="J1582" s="8">
        <f>'Sistema de Raridade e Evolução'!D4</f>
        <v>16</v>
      </c>
      <c r="K1582" s="8" t="s">
        <v>10</v>
      </c>
      <c r="L1582" s="9">
        <f t="shared" si="24"/>
        <v>228571.43</v>
      </c>
    </row>
    <row r="1583" spans="1:12" ht="14.25" hidden="1" customHeight="1" x14ac:dyDescent="0.3">
      <c r="A1583" s="8">
        <v>1582</v>
      </c>
      <c r="B1583" s="8" t="str">
        <f>'Criaturas - Base de Dados'!B265</f>
        <v>Névoa Espectral</v>
      </c>
      <c r="C1583" s="8" t="str">
        <f>'Criaturas - Base de Dados'!C265</f>
        <v>Fantasma</v>
      </c>
      <c r="D1583" s="8" t="str">
        <f>'Criaturas - Base de Dados'!D265</f>
        <v>Espectro Errante</v>
      </c>
      <c r="E1583" s="8" t="str">
        <f>'Sistema de Raridade e Evolução'!B5</f>
        <v>Ouro</v>
      </c>
      <c r="F1583" s="9">
        <f>ROUND(('Criaturas - Base de Dados'!H265*'Sistema de Raridade e Evolução'!E5)*1000,2)</f>
        <v>288000</v>
      </c>
      <c r="G1583" s="8">
        <f>ROUND('Criaturas - Base de Dados'!I265*'Sistema de Raridade e Evolução'!E5,0)</f>
        <v>180</v>
      </c>
      <c r="H1583" s="8">
        <f>ROUND('Criaturas - Base de Dados'!J265*'Sistema de Raridade e Evolução'!E5,0)</f>
        <v>144</v>
      </c>
      <c r="I1583" s="8">
        <f>ROUND('Criaturas - Base de Dados'!K265*'Sistema de Raridade e Evolução'!E5,0)</f>
        <v>918</v>
      </c>
      <c r="J1583" s="8">
        <f>'Sistema de Raridade e Evolução'!D5</f>
        <v>31</v>
      </c>
      <c r="K1583" s="8" t="s">
        <v>11</v>
      </c>
      <c r="L1583" s="9">
        <f t="shared" si="24"/>
        <v>685714.29</v>
      </c>
    </row>
    <row r="1584" spans="1:12" ht="14.25" hidden="1" customHeight="1" x14ac:dyDescent="0.3">
      <c r="A1584" s="8">
        <v>1583</v>
      </c>
      <c r="B1584" s="8" t="str">
        <f>'Criaturas - Base de Dados'!B265</f>
        <v>Névoa Espectral</v>
      </c>
      <c r="C1584" s="8" t="str">
        <f>'Criaturas - Base de Dados'!C265</f>
        <v>Fantasma</v>
      </c>
      <c r="D1584" s="8" t="str">
        <f>'Criaturas - Base de Dados'!D265</f>
        <v>Espectro Errante</v>
      </c>
      <c r="E1584" s="8" t="str">
        <f>'Sistema de Raridade e Evolução'!B6</f>
        <v>Platina</v>
      </c>
      <c r="F1584" s="9">
        <f>ROUND(('Criaturas - Base de Dados'!H265*'Sistema de Raridade e Evolução'!E6)*1000,2)</f>
        <v>800000</v>
      </c>
      <c r="G1584" s="8">
        <f>ROUND('Criaturas - Base de Dados'!I265*'Sistema de Raridade e Evolução'!E6,0)</f>
        <v>500</v>
      </c>
      <c r="H1584" s="8">
        <f>ROUND('Criaturas - Base de Dados'!J265*'Sistema de Raridade e Evolução'!E6,0)</f>
        <v>400</v>
      </c>
      <c r="I1584" s="8">
        <f>ROUND('Criaturas - Base de Dados'!K265*'Sistema de Raridade e Evolução'!E6,0)</f>
        <v>2550</v>
      </c>
      <c r="J1584" s="8">
        <f>'Sistema de Raridade e Evolução'!D6</f>
        <v>56</v>
      </c>
      <c r="K1584" s="8" t="s">
        <v>12</v>
      </c>
      <c r="L1584" s="9">
        <f t="shared" si="24"/>
        <v>1904761.9</v>
      </c>
    </row>
    <row r="1585" spans="1:12" ht="14.25" hidden="1" customHeight="1" x14ac:dyDescent="0.3">
      <c r="A1585" s="8">
        <v>1584</v>
      </c>
      <c r="B1585" s="8" t="str">
        <f>'Criaturas - Base de Dados'!B265</f>
        <v>Névoa Espectral</v>
      </c>
      <c r="C1585" s="8" t="str">
        <f>'Criaturas - Base de Dados'!C265</f>
        <v>Fantasma</v>
      </c>
      <c r="D1585" s="8" t="str">
        <f>'Criaturas - Base de Dados'!D265</f>
        <v>Espectro Errante</v>
      </c>
      <c r="E1585" s="8" t="str">
        <f>'Sistema de Raridade e Evolução'!B7</f>
        <v>Lendário</v>
      </c>
      <c r="F1585" s="9">
        <f>ROUND(('Criaturas - Base de Dados'!H265*'Sistema de Raridade e Evolução'!E7)*1000,2)</f>
        <v>2400000</v>
      </c>
      <c r="G1585" s="8">
        <f>ROUND('Criaturas - Base de Dados'!I265*'Sistema de Raridade e Evolução'!E7,0)</f>
        <v>1500</v>
      </c>
      <c r="H1585" s="8">
        <f>ROUND('Criaturas - Base de Dados'!J265*'Sistema de Raridade e Evolução'!E7,0)</f>
        <v>1200</v>
      </c>
      <c r="I1585" s="8">
        <f>ROUND('Criaturas - Base de Dados'!K265*'Sistema de Raridade e Evolução'!E7,0)</f>
        <v>7650</v>
      </c>
      <c r="J1585" s="8">
        <f>'Sistema de Raridade e Evolução'!D7</f>
        <v>91</v>
      </c>
      <c r="K1585" s="8" t="s">
        <v>925</v>
      </c>
      <c r="L1585" s="9">
        <f t="shared" si="24"/>
        <v>5714285.71</v>
      </c>
    </row>
    <row r="1586" spans="1:12" ht="14.25" customHeight="1" x14ac:dyDescent="0.3">
      <c r="A1586" s="8">
        <v>1585</v>
      </c>
      <c r="B1586" s="8" t="str">
        <f>'Criaturas - Base de Dados'!B266</f>
        <v>Névoa Espectral</v>
      </c>
      <c r="C1586" s="8" t="str">
        <f>'Criaturas - Base de Dados'!C266</f>
        <v>Fantasma</v>
      </c>
      <c r="D1586" s="8" t="str">
        <f>'Criaturas - Base de Dados'!D266</f>
        <v>Dama de Branco</v>
      </c>
      <c r="E1586" s="8" t="str">
        <f>'Sistema de Raridade e Evolução'!B2</f>
        <v>Default</v>
      </c>
      <c r="F1586" s="9" t="e">
        <f>ROUND(('Criaturas - Base de Dados'!H266*'Sistema de Raridade e Evolução'!E2)*1000,2)</f>
        <v>#VALUE!</v>
      </c>
      <c r="G1586" s="8" t="e">
        <f>ROUND('Criaturas - Base de Dados'!I266*'Sistema de Raridade e Evolução'!E2,0)</f>
        <v>#VALUE!</v>
      </c>
      <c r="H1586" s="8" t="e">
        <f>ROUND('Criaturas - Base de Dados'!J266*'Sistema de Raridade e Evolução'!E2,0)</f>
        <v>#VALUE!</v>
      </c>
      <c r="I1586" s="8" t="e">
        <f>ROUND('Criaturas - Base de Dados'!K266*'Sistema de Raridade e Evolução'!E2,0)</f>
        <v>#VALUE!</v>
      </c>
      <c r="J1586" s="8">
        <f>'Sistema de Raridade e Evolução'!D2</f>
        <v>1</v>
      </c>
      <c r="K1586" s="8" t="s">
        <v>8</v>
      </c>
      <c r="L1586" s="9" t="e">
        <f t="shared" si="24"/>
        <v>#VALUE!</v>
      </c>
    </row>
    <row r="1587" spans="1:12" ht="14.25" hidden="1" customHeight="1" x14ac:dyDescent="0.3">
      <c r="A1587" s="8">
        <v>1586</v>
      </c>
      <c r="B1587" s="8" t="str">
        <f>'Criaturas - Base de Dados'!B266</f>
        <v>Névoa Espectral</v>
      </c>
      <c r="C1587" s="8" t="str">
        <f>'Criaturas - Base de Dados'!C266</f>
        <v>Fantasma</v>
      </c>
      <c r="D1587" s="8" t="str">
        <f>'Criaturas - Base de Dados'!D266</f>
        <v>Dama de Branco</v>
      </c>
      <c r="E1587" s="8" t="str">
        <f>'Sistema de Raridade e Evolução'!B3</f>
        <v>Bronze</v>
      </c>
      <c r="F1587" s="9">
        <f>ROUND(('Criaturas - Base de Dados'!H266*'Sistema de Raridade e Evolução'!E3)*1000,2)</f>
        <v>16000</v>
      </c>
      <c r="G1587" s="8">
        <f>ROUND('Criaturas - Base de Dados'!I266*'Sistema de Raridade e Evolução'!E3,0)</f>
        <v>10</v>
      </c>
      <c r="H1587" s="8">
        <f>ROUND('Criaturas - Base de Dados'!J266*'Sistema de Raridade e Evolução'!E3,0)</f>
        <v>8</v>
      </c>
      <c r="I1587" s="8">
        <f>ROUND('Criaturas - Base de Dados'!K266*'Sistema de Raridade e Evolução'!E3,0)</f>
        <v>51</v>
      </c>
      <c r="J1587" s="8">
        <f>'Sistema de Raridade e Evolução'!D3</f>
        <v>6</v>
      </c>
      <c r="K1587" s="8" t="s">
        <v>9</v>
      </c>
      <c r="L1587" s="9">
        <f t="shared" si="24"/>
        <v>38095.24</v>
      </c>
    </row>
    <row r="1588" spans="1:12" ht="14.25" hidden="1" customHeight="1" x14ac:dyDescent="0.3">
      <c r="A1588" s="8">
        <v>1587</v>
      </c>
      <c r="B1588" s="8" t="str">
        <f>'Criaturas - Base de Dados'!B266</f>
        <v>Névoa Espectral</v>
      </c>
      <c r="C1588" s="8" t="str">
        <f>'Criaturas - Base de Dados'!C266</f>
        <v>Fantasma</v>
      </c>
      <c r="D1588" s="8" t="str">
        <f>'Criaturas - Base de Dados'!D266</f>
        <v>Dama de Branco</v>
      </c>
      <c r="E1588" s="8" t="str">
        <f>'Sistema de Raridade e Evolução'!B4</f>
        <v>Prata</v>
      </c>
      <c r="F1588" s="9">
        <f>ROUND(('Criaturas - Base de Dados'!H266*'Sistema de Raridade e Evolução'!E4)*1000,2)</f>
        <v>96000</v>
      </c>
      <c r="G1588" s="8">
        <f>ROUND('Criaturas - Base de Dados'!I266*'Sistema de Raridade e Evolução'!E4,0)</f>
        <v>60</v>
      </c>
      <c r="H1588" s="8">
        <f>ROUND('Criaturas - Base de Dados'!J266*'Sistema de Raridade e Evolução'!E4,0)</f>
        <v>48</v>
      </c>
      <c r="I1588" s="8">
        <f>ROUND('Criaturas - Base de Dados'!K266*'Sistema de Raridade e Evolução'!E4,0)</f>
        <v>306</v>
      </c>
      <c r="J1588" s="8">
        <f>'Sistema de Raridade e Evolução'!D4</f>
        <v>16</v>
      </c>
      <c r="K1588" s="8" t="s">
        <v>10</v>
      </c>
      <c r="L1588" s="9">
        <f t="shared" si="24"/>
        <v>228571.43</v>
      </c>
    </row>
    <row r="1589" spans="1:12" ht="14.25" hidden="1" customHeight="1" x14ac:dyDescent="0.3">
      <c r="A1589" s="8">
        <v>1588</v>
      </c>
      <c r="B1589" s="8" t="str">
        <f>'Criaturas - Base de Dados'!B266</f>
        <v>Névoa Espectral</v>
      </c>
      <c r="C1589" s="8" t="str">
        <f>'Criaturas - Base de Dados'!C266</f>
        <v>Fantasma</v>
      </c>
      <c r="D1589" s="8" t="str">
        <f>'Criaturas - Base de Dados'!D266</f>
        <v>Dama de Branco</v>
      </c>
      <c r="E1589" s="8" t="str">
        <f>'Sistema de Raridade e Evolução'!B5</f>
        <v>Ouro</v>
      </c>
      <c r="F1589" s="9">
        <f>ROUND(('Criaturas - Base de Dados'!H266*'Sistema de Raridade e Evolução'!E5)*1000,2)</f>
        <v>288000</v>
      </c>
      <c r="G1589" s="8">
        <f>ROUND('Criaturas - Base de Dados'!I266*'Sistema de Raridade e Evolução'!E5,0)</f>
        <v>180</v>
      </c>
      <c r="H1589" s="8">
        <f>ROUND('Criaturas - Base de Dados'!J266*'Sistema de Raridade e Evolução'!E5,0)</f>
        <v>144</v>
      </c>
      <c r="I1589" s="8">
        <f>ROUND('Criaturas - Base de Dados'!K266*'Sistema de Raridade e Evolução'!E5,0)</f>
        <v>918</v>
      </c>
      <c r="J1589" s="8">
        <f>'Sistema de Raridade e Evolução'!D5</f>
        <v>31</v>
      </c>
      <c r="K1589" s="8" t="s">
        <v>11</v>
      </c>
      <c r="L1589" s="9">
        <f t="shared" si="24"/>
        <v>685714.29</v>
      </c>
    </row>
    <row r="1590" spans="1:12" ht="14.25" hidden="1" customHeight="1" x14ac:dyDescent="0.3">
      <c r="A1590" s="8">
        <v>1589</v>
      </c>
      <c r="B1590" s="8" t="str">
        <f>'Criaturas - Base de Dados'!B266</f>
        <v>Névoa Espectral</v>
      </c>
      <c r="C1590" s="8" t="str">
        <f>'Criaturas - Base de Dados'!C266</f>
        <v>Fantasma</v>
      </c>
      <c r="D1590" s="8" t="str">
        <f>'Criaturas - Base de Dados'!D266</f>
        <v>Dama de Branco</v>
      </c>
      <c r="E1590" s="8" t="str">
        <f>'Sistema de Raridade e Evolução'!B6</f>
        <v>Platina</v>
      </c>
      <c r="F1590" s="9">
        <f>ROUND(('Criaturas - Base de Dados'!H266*'Sistema de Raridade e Evolução'!E6)*1000,2)</f>
        <v>800000</v>
      </c>
      <c r="G1590" s="8">
        <f>ROUND('Criaturas - Base de Dados'!I266*'Sistema de Raridade e Evolução'!E6,0)</f>
        <v>500</v>
      </c>
      <c r="H1590" s="8">
        <f>ROUND('Criaturas - Base de Dados'!J266*'Sistema de Raridade e Evolução'!E6,0)</f>
        <v>400</v>
      </c>
      <c r="I1590" s="8">
        <f>ROUND('Criaturas - Base de Dados'!K266*'Sistema de Raridade e Evolução'!E6,0)</f>
        <v>2550</v>
      </c>
      <c r="J1590" s="8">
        <f>'Sistema de Raridade e Evolução'!D6</f>
        <v>56</v>
      </c>
      <c r="K1590" s="8" t="s">
        <v>12</v>
      </c>
      <c r="L1590" s="9">
        <f t="shared" si="24"/>
        <v>1904761.9</v>
      </c>
    </row>
    <row r="1591" spans="1:12" ht="14.25" hidden="1" customHeight="1" x14ac:dyDescent="0.3">
      <c r="A1591" s="8">
        <v>1590</v>
      </c>
      <c r="B1591" s="8" t="str">
        <f>'Criaturas - Base de Dados'!B266</f>
        <v>Névoa Espectral</v>
      </c>
      <c r="C1591" s="8" t="str">
        <f>'Criaturas - Base de Dados'!C266</f>
        <v>Fantasma</v>
      </c>
      <c r="D1591" s="8" t="str">
        <f>'Criaturas - Base de Dados'!D266</f>
        <v>Dama de Branco</v>
      </c>
      <c r="E1591" s="8" t="str">
        <f>'Sistema de Raridade e Evolução'!B7</f>
        <v>Lendário</v>
      </c>
      <c r="F1591" s="9">
        <f>ROUND(('Criaturas - Base de Dados'!H266*'Sistema de Raridade e Evolução'!E7)*1000,2)</f>
        <v>2400000</v>
      </c>
      <c r="G1591" s="8">
        <f>ROUND('Criaturas - Base de Dados'!I266*'Sistema de Raridade e Evolução'!E7,0)</f>
        <v>1500</v>
      </c>
      <c r="H1591" s="8">
        <f>ROUND('Criaturas - Base de Dados'!J266*'Sistema de Raridade e Evolução'!E7,0)</f>
        <v>1200</v>
      </c>
      <c r="I1591" s="8">
        <f>ROUND('Criaturas - Base de Dados'!K266*'Sistema de Raridade e Evolução'!E7,0)</f>
        <v>7650</v>
      </c>
      <c r="J1591" s="8">
        <f>'Sistema de Raridade e Evolução'!D7</f>
        <v>91</v>
      </c>
      <c r="K1591" s="8" t="s">
        <v>925</v>
      </c>
      <c r="L1591" s="9">
        <f t="shared" si="24"/>
        <v>5714285.71</v>
      </c>
    </row>
    <row r="1592" spans="1:12" ht="14.25" customHeight="1" x14ac:dyDescent="0.3">
      <c r="A1592" s="8">
        <v>1591</v>
      </c>
      <c r="B1592" s="8" t="str">
        <f>'Criaturas - Base de Dados'!B267</f>
        <v>Névoa Espectral</v>
      </c>
      <c r="C1592" s="8" t="str">
        <f>'Criaturas - Base de Dados'!C267</f>
        <v>Fantasma</v>
      </c>
      <c r="D1592" s="8" t="str">
        <f>'Criaturas - Base de Dados'!D267</f>
        <v>Poltergeist Ancestral</v>
      </c>
      <c r="E1592" s="8" t="str">
        <f>'Sistema de Raridade e Evolução'!B2</f>
        <v>Default</v>
      </c>
      <c r="F1592" s="9" t="e">
        <f>ROUND(('Criaturas - Base de Dados'!H267*'Sistema de Raridade e Evolução'!E2)*1000,2)</f>
        <v>#VALUE!</v>
      </c>
      <c r="G1592" s="8" t="e">
        <f>ROUND('Criaturas - Base de Dados'!I267*'Sistema de Raridade e Evolução'!E2,0)</f>
        <v>#VALUE!</v>
      </c>
      <c r="H1592" s="8" t="e">
        <f>ROUND('Criaturas - Base de Dados'!J267*'Sistema de Raridade e Evolução'!E2,0)</f>
        <v>#VALUE!</v>
      </c>
      <c r="I1592" s="8" t="e">
        <f>ROUND('Criaturas - Base de Dados'!K267*'Sistema de Raridade e Evolução'!E2,0)</f>
        <v>#VALUE!</v>
      </c>
      <c r="J1592" s="8">
        <f>'Sistema de Raridade e Evolução'!D2</f>
        <v>1</v>
      </c>
      <c r="K1592" s="8" t="s">
        <v>8</v>
      </c>
      <c r="L1592" s="9" t="e">
        <f t="shared" si="24"/>
        <v>#VALUE!</v>
      </c>
    </row>
    <row r="1593" spans="1:12" ht="14.25" hidden="1" customHeight="1" x14ac:dyDescent="0.3">
      <c r="A1593" s="8">
        <v>1592</v>
      </c>
      <c r="B1593" s="8" t="str">
        <f>'Criaturas - Base de Dados'!B267</f>
        <v>Névoa Espectral</v>
      </c>
      <c r="C1593" s="8" t="str">
        <f>'Criaturas - Base de Dados'!C267</f>
        <v>Fantasma</v>
      </c>
      <c r="D1593" s="8" t="str">
        <f>'Criaturas - Base de Dados'!D267</f>
        <v>Poltergeist Ancestral</v>
      </c>
      <c r="E1593" s="8" t="str">
        <f>'Sistema de Raridade e Evolução'!B3</f>
        <v>Bronze</v>
      </c>
      <c r="F1593" s="9">
        <f>ROUND(('Criaturas - Base de Dados'!H267*'Sistema de Raridade e Evolução'!E3)*1000,2)</f>
        <v>18000</v>
      </c>
      <c r="G1593" s="8">
        <f>ROUND('Criaturas - Base de Dados'!I267*'Sistema de Raridade e Evolução'!E3,0)</f>
        <v>11</v>
      </c>
      <c r="H1593" s="8">
        <f>ROUND('Criaturas - Base de Dados'!J267*'Sistema de Raridade e Evolução'!E3,0)</f>
        <v>9</v>
      </c>
      <c r="I1593" s="8">
        <f>ROUND('Criaturas - Base de Dados'!K267*'Sistema de Raridade e Evolução'!E3,0)</f>
        <v>58</v>
      </c>
      <c r="J1593" s="8">
        <f>'Sistema de Raridade e Evolução'!D3</f>
        <v>6</v>
      </c>
      <c r="K1593" s="8" t="s">
        <v>9</v>
      </c>
      <c r="L1593" s="9">
        <f t="shared" si="24"/>
        <v>42857.14</v>
      </c>
    </row>
    <row r="1594" spans="1:12" ht="14.25" hidden="1" customHeight="1" x14ac:dyDescent="0.3">
      <c r="A1594" s="8">
        <v>1593</v>
      </c>
      <c r="B1594" s="8" t="str">
        <f>'Criaturas - Base de Dados'!B267</f>
        <v>Névoa Espectral</v>
      </c>
      <c r="C1594" s="8" t="str">
        <f>'Criaturas - Base de Dados'!C267</f>
        <v>Fantasma</v>
      </c>
      <c r="D1594" s="8" t="str">
        <f>'Criaturas - Base de Dados'!D267</f>
        <v>Poltergeist Ancestral</v>
      </c>
      <c r="E1594" s="8" t="str">
        <f>'Sistema de Raridade e Evolução'!B4</f>
        <v>Prata</v>
      </c>
      <c r="F1594" s="9">
        <f>ROUND(('Criaturas - Base de Dados'!H267*'Sistema de Raridade e Evolução'!E4)*1000,2)</f>
        <v>108000</v>
      </c>
      <c r="G1594" s="8">
        <f>ROUND('Criaturas - Base de Dados'!I267*'Sistema de Raridade e Evolução'!E4,0)</f>
        <v>66</v>
      </c>
      <c r="H1594" s="8">
        <f>ROUND('Criaturas - Base de Dados'!J267*'Sistema de Raridade e Evolução'!E4,0)</f>
        <v>54</v>
      </c>
      <c r="I1594" s="8">
        <f>ROUND('Criaturas - Base de Dados'!K267*'Sistema de Raridade e Evolução'!E4,0)</f>
        <v>348</v>
      </c>
      <c r="J1594" s="8">
        <f>'Sistema de Raridade e Evolução'!D4</f>
        <v>16</v>
      </c>
      <c r="K1594" s="8" t="s">
        <v>10</v>
      </c>
      <c r="L1594" s="9">
        <f t="shared" si="24"/>
        <v>257142.86</v>
      </c>
    </row>
    <row r="1595" spans="1:12" ht="14.25" hidden="1" customHeight="1" x14ac:dyDescent="0.3">
      <c r="A1595" s="8">
        <v>1594</v>
      </c>
      <c r="B1595" s="8" t="str">
        <f>'Criaturas - Base de Dados'!B267</f>
        <v>Névoa Espectral</v>
      </c>
      <c r="C1595" s="8" t="str">
        <f>'Criaturas - Base de Dados'!C267</f>
        <v>Fantasma</v>
      </c>
      <c r="D1595" s="8" t="str">
        <f>'Criaturas - Base de Dados'!D267</f>
        <v>Poltergeist Ancestral</v>
      </c>
      <c r="E1595" s="8" t="str">
        <f>'Sistema de Raridade e Evolução'!B5</f>
        <v>Ouro</v>
      </c>
      <c r="F1595" s="9">
        <f>ROUND(('Criaturas - Base de Dados'!H267*'Sistema de Raridade e Evolução'!E5)*1000,2)</f>
        <v>324000</v>
      </c>
      <c r="G1595" s="8">
        <f>ROUND('Criaturas - Base de Dados'!I267*'Sistema de Raridade e Evolução'!E5,0)</f>
        <v>198</v>
      </c>
      <c r="H1595" s="8">
        <f>ROUND('Criaturas - Base de Dados'!J267*'Sistema de Raridade e Evolução'!E5,0)</f>
        <v>162</v>
      </c>
      <c r="I1595" s="8">
        <f>ROUND('Criaturas - Base de Dados'!K267*'Sistema de Raridade e Evolução'!E5,0)</f>
        <v>1044</v>
      </c>
      <c r="J1595" s="8">
        <f>'Sistema de Raridade e Evolução'!D5</f>
        <v>31</v>
      </c>
      <c r="K1595" s="8" t="s">
        <v>11</v>
      </c>
      <c r="L1595" s="9">
        <f t="shared" si="24"/>
        <v>771428.57</v>
      </c>
    </row>
    <row r="1596" spans="1:12" ht="14.25" hidden="1" customHeight="1" x14ac:dyDescent="0.3">
      <c r="A1596" s="8">
        <v>1595</v>
      </c>
      <c r="B1596" s="8" t="str">
        <f>'Criaturas - Base de Dados'!B267</f>
        <v>Névoa Espectral</v>
      </c>
      <c r="C1596" s="8" t="str">
        <f>'Criaturas - Base de Dados'!C267</f>
        <v>Fantasma</v>
      </c>
      <c r="D1596" s="8" t="str">
        <f>'Criaturas - Base de Dados'!D267</f>
        <v>Poltergeist Ancestral</v>
      </c>
      <c r="E1596" s="8" t="str">
        <f>'Sistema de Raridade e Evolução'!B6</f>
        <v>Platina</v>
      </c>
      <c r="F1596" s="9">
        <f>ROUND(('Criaturas - Base de Dados'!H267*'Sistema de Raridade e Evolução'!E6)*1000,2)</f>
        <v>900000</v>
      </c>
      <c r="G1596" s="8">
        <f>ROUND('Criaturas - Base de Dados'!I267*'Sistema de Raridade e Evolução'!E6,0)</f>
        <v>550</v>
      </c>
      <c r="H1596" s="8">
        <f>ROUND('Criaturas - Base de Dados'!J267*'Sistema de Raridade e Evolução'!E6,0)</f>
        <v>450</v>
      </c>
      <c r="I1596" s="8">
        <f>ROUND('Criaturas - Base de Dados'!K267*'Sistema de Raridade e Evolução'!E6,0)</f>
        <v>2900</v>
      </c>
      <c r="J1596" s="8">
        <f>'Sistema de Raridade e Evolução'!D6</f>
        <v>56</v>
      </c>
      <c r="K1596" s="8" t="s">
        <v>12</v>
      </c>
      <c r="L1596" s="9">
        <f t="shared" si="24"/>
        <v>2142857.14</v>
      </c>
    </row>
    <row r="1597" spans="1:12" ht="14.25" hidden="1" customHeight="1" x14ac:dyDescent="0.3">
      <c r="A1597" s="8">
        <v>1596</v>
      </c>
      <c r="B1597" s="8" t="str">
        <f>'Criaturas - Base de Dados'!B267</f>
        <v>Névoa Espectral</v>
      </c>
      <c r="C1597" s="8" t="str">
        <f>'Criaturas - Base de Dados'!C267</f>
        <v>Fantasma</v>
      </c>
      <c r="D1597" s="8" t="str">
        <f>'Criaturas - Base de Dados'!D267</f>
        <v>Poltergeist Ancestral</v>
      </c>
      <c r="E1597" s="8" t="str">
        <f>'Sistema de Raridade e Evolução'!B7</f>
        <v>Lendário</v>
      </c>
      <c r="F1597" s="9">
        <f>ROUND(('Criaturas - Base de Dados'!H267*'Sistema de Raridade e Evolução'!E7)*1000,2)</f>
        <v>2700000</v>
      </c>
      <c r="G1597" s="8">
        <f>ROUND('Criaturas - Base de Dados'!I267*'Sistema de Raridade e Evolução'!E7,0)</f>
        <v>1650</v>
      </c>
      <c r="H1597" s="8">
        <f>ROUND('Criaturas - Base de Dados'!J267*'Sistema de Raridade e Evolução'!E7,0)</f>
        <v>1350</v>
      </c>
      <c r="I1597" s="8">
        <f>ROUND('Criaturas - Base de Dados'!K267*'Sistema de Raridade e Evolução'!E7,0)</f>
        <v>8700</v>
      </c>
      <c r="J1597" s="8">
        <f>'Sistema de Raridade e Evolução'!D7</f>
        <v>91</v>
      </c>
      <c r="K1597" s="8" t="s">
        <v>925</v>
      </c>
      <c r="L1597" s="9">
        <f t="shared" si="24"/>
        <v>6428571.4299999997</v>
      </c>
    </row>
    <row r="1598" spans="1:12" ht="14.25" customHeight="1" x14ac:dyDescent="0.3">
      <c r="A1598" s="8">
        <v>1597</v>
      </c>
      <c r="B1598" s="8" t="str">
        <f>'Criaturas - Base de Dados'!B268</f>
        <v>Névoa Espectral</v>
      </c>
      <c r="C1598" s="8" t="str">
        <f>'Criaturas - Base de Dados'!C268</f>
        <v>Fantasma</v>
      </c>
      <c r="D1598" s="8" t="str">
        <f>'Criaturas - Base de Dados'!D268</f>
        <v>Sombra sem Corpo</v>
      </c>
      <c r="E1598" s="8" t="str">
        <f>'Sistema de Raridade e Evolução'!B2</f>
        <v>Default</v>
      </c>
      <c r="F1598" s="9" t="e">
        <f>ROUND(('Criaturas - Base de Dados'!H268*'Sistema de Raridade e Evolução'!E2)*1000,2)</f>
        <v>#VALUE!</v>
      </c>
      <c r="G1598" s="8" t="e">
        <f>ROUND('Criaturas - Base de Dados'!I268*'Sistema de Raridade e Evolução'!E2,0)</f>
        <v>#VALUE!</v>
      </c>
      <c r="H1598" s="8" t="e">
        <f>ROUND('Criaturas - Base de Dados'!J268*'Sistema de Raridade e Evolução'!E2,0)</f>
        <v>#VALUE!</v>
      </c>
      <c r="I1598" s="8" t="e">
        <f>ROUND('Criaturas - Base de Dados'!K268*'Sistema de Raridade e Evolução'!E2,0)</f>
        <v>#VALUE!</v>
      </c>
      <c r="J1598" s="8">
        <f>'Sistema de Raridade e Evolução'!D2</f>
        <v>1</v>
      </c>
      <c r="K1598" s="8" t="s">
        <v>8</v>
      </c>
      <c r="L1598" s="9" t="e">
        <f t="shared" si="24"/>
        <v>#VALUE!</v>
      </c>
    </row>
    <row r="1599" spans="1:12" ht="14.25" hidden="1" customHeight="1" x14ac:dyDescent="0.3">
      <c r="A1599" s="8">
        <v>1598</v>
      </c>
      <c r="B1599" s="8" t="str">
        <f>'Criaturas - Base de Dados'!B268</f>
        <v>Névoa Espectral</v>
      </c>
      <c r="C1599" s="8" t="str">
        <f>'Criaturas - Base de Dados'!C268</f>
        <v>Fantasma</v>
      </c>
      <c r="D1599" s="8" t="str">
        <f>'Criaturas - Base de Dados'!D268</f>
        <v>Sombra sem Corpo</v>
      </c>
      <c r="E1599" s="8" t="str">
        <f>'Sistema de Raridade e Evolução'!B3</f>
        <v>Bronze</v>
      </c>
      <c r="F1599" s="9">
        <f>ROUND(('Criaturas - Base de Dados'!H268*'Sistema de Raridade e Evolução'!E3)*1000,2)</f>
        <v>20000</v>
      </c>
      <c r="G1599" s="8">
        <f>ROUND('Criaturas - Base de Dados'!I268*'Sistema de Raridade e Evolução'!E3,0)</f>
        <v>12</v>
      </c>
      <c r="H1599" s="8">
        <f>ROUND('Criaturas - Base de Dados'!J268*'Sistema de Raridade e Evolução'!E3,0)</f>
        <v>10</v>
      </c>
      <c r="I1599" s="8">
        <f>ROUND('Criaturas - Base de Dados'!K268*'Sistema de Raridade e Evolução'!E3,0)</f>
        <v>64</v>
      </c>
      <c r="J1599" s="8">
        <f>'Sistema de Raridade e Evolução'!D3</f>
        <v>6</v>
      </c>
      <c r="K1599" s="8" t="s">
        <v>9</v>
      </c>
      <c r="L1599" s="9">
        <f t="shared" si="24"/>
        <v>47619.05</v>
      </c>
    </row>
    <row r="1600" spans="1:12" ht="14.25" hidden="1" customHeight="1" x14ac:dyDescent="0.3">
      <c r="A1600" s="8">
        <v>1599</v>
      </c>
      <c r="B1600" s="8" t="str">
        <f>'Criaturas - Base de Dados'!B268</f>
        <v>Névoa Espectral</v>
      </c>
      <c r="C1600" s="8" t="str">
        <f>'Criaturas - Base de Dados'!C268</f>
        <v>Fantasma</v>
      </c>
      <c r="D1600" s="8" t="str">
        <f>'Criaturas - Base de Dados'!D268</f>
        <v>Sombra sem Corpo</v>
      </c>
      <c r="E1600" s="8" t="str">
        <f>'Sistema de Raridade e Evolução'!B4</f>
        <v>Prata</v>
      </c>
      <c r="F1600" s="9">
        <f>ROUND(('Criaturas - Base de Dados'!H268*'Sistema de Raridade e Evolução'!E4)*1000,2)</f>
        <v>120000</v>
      </c>
      <c r="G1600" s="8">
        <f>ROUND('Criaturas - Base de Dados'!I268*'Sistema de Raridade e Evolução'!E4,0)</f>
        <v>72</v>
      </c>
      <c r="H1600" s="8">
        <f>ROUND('Criaturas - Base de Dados'!J268*'Sistema de Raridade e Evolução'!E4,0)</f>
        <v>60</v>
      </c>
      <c r="I1600" s="8">
        <f>ROUND('Criaturas - Base de Dados'!K268*'Sistema de Raridade e Evolução'!E4,0)</f>
        <v>384</v>
      </c>
      <c r="J1600" s="8">
        <f>'Sistema de Raridade e Evolução'!D4</f>
        <v>16</v>
      </c>
      <c r="K1600" s="8" t="s">
        <v>10</v>
      </c>
      <c r="L1600" s="9">
        <f t="shared" si="24"/>
        <v>285714.28999999998</v>
      </c>
    </row>
    <row r="1601" spans="1:12" ht="14.25" hidden="1" customHeight="1" x14ac:dyDescent="0.3">
      <c r="A1601" s="8">
        <v>1600</v>
      </c>
      <c r="B1601" s="8" t="str">
        <f>'Criaturas - Base de Dados'!B268</f>
        <v>Névoa Espectral</v>
      </c>
      <c r="C1601" s="8" t="str">
        <f>'Criaturas - Base de Dados'!C268</f>
        <v>Fantasma</v>
      </c>
      <c r="D1601" s="8" t="str">
        <f>'Criaturas - Base de Dados'!D268</f>
        <v>Sombra sem Corpo</v>
      </c>
      <c r="E1601" s="8" t="str">
        <f>'Sistema de Raridade e Evolução'!B5</f>
        <v>Ouro</v>
      </c>
      <c r="F1601" s="9">
        <f>ROUND(('Criaturas - Base de Dados'!H268*'Sistema de Raridade e Evolução'!E5)*1000,2)</f>
        <v>360000</v>
      </c>
      <c r="G1601" s="8">
        <f>ROUND('Criaturas - Base de Dados'!I268*'Sistema de Raridade e Evolução'!E5,0)</f>
        <v>216</v>
      </c>
      <c r="H1601" s="8">
        <f>ROUND('Criaturas - Base de Dados'!J268*'Sistema de Raridade e Evolução'!E5,0)</f>
        <v>180</v>
      </c>
      <c r="I1601" s="8">
        <f>ROUND('Criaturas - Base de Dados'!K268*'Sistema de Raridade e Evolução'!E5,0)</f>
        <v>1152</v>
      </c>
      <c r="J1601" s="8">
        <f>'Sistema de Raridade e Evolução'!D5</f>
        <v>31</v>
      </c>
      <c r="K1601" s="8" t="s">
        <v>11</v>
      </c>
      <c r="L1601" s="9">
        <f t="shared" si="24"/>
        <v>857142.86</v>
      </c>
    </row>
    <row r="1602" spans="1:12" ht="14.25" hidden="1" customHeight="1" x14ac:dyDescent="0.3">
      <c r="A1602" s="8">
        <v>1601</v>
      </c>
      <c r="B1602" s="8" t="str">
        <f>'Criaturas - Base de Dados'!B268</f>
        <v>Névoa Espectral</v>
      </c>
      <c r="C1602" s="8" t="str">
        <f>'Criaturas - Base de Dados'!C268</f>
        <v>Fantasma</v>
      </c>
      <c r="D1602" s="8" t="str">
        <f>'Criaturas - Base de Dados'!D268</f>
        <v>Sombra sem Corpo</v>
      </c>
      <c r="E1602" s="8" t="str">
        <f>'Sistema de Raridade e Evolução'!B6</f>
        <v>Platina</v>
      </c>
      <c r="F1602" s="9">
        <f>ROUND(('Criaturas - Base de Dados'!H268*'Sistema de Raridade e Evolução'!E6)*1000,2)</f>
        <v>1000000</v>
      </c>
      <c r="G1602" s="8">
        <f>ROUND('Criaturas - Base de Dados'!I268*'Sistema de Raridade e Evolução'!E6,0)</f>
        <v>600</v>
      </c>
      <c r="H1602" s="8">
        <f>ROUND('Criaturas - Base de Dados'!J268*'Sistema de Raridade e Evolução'!E6,0)</f>
        <v>500</v>
      </c>
      <c r="I1602" s="8">
        <f>ROUND('Criaturas - Base de Dados'!K268*'Sistema de Raridade e Evolução'!E6,0)</f>
        <v>3200</v>
      </c>
      <c r="J1602" s="8">
        <f>'Sistema de Raridade e Evolução'!D6</f>
        <v>56</v>
      </c>
      <c r="K1602" s="8" t="s">
        <v>12</v>
      </c>
      <c r="L1602" s="9">
        <f t="shared" ref="L1602:L1665" si="25">ROUND(F1602*(2.5/1.05),2)</f>
        <v>2380952.38</v>
      </c>
    </row>
    <row r="1603" spans="1:12" ht="14.25" hidden="1" customHeight="1" x14ac:dyDescent="0.3">
      <c r="A1603" s="8">
        <v>1602</v>
      </c>
      <c r="B1603" s="8" t="str">
        <f>'Criaturas - Base de Dados'!B268</f>
        <v>Névoa Espectral</v>
      </c>
      <c r="C1603" s="8" t="str">
        <f>'Criaturas - Base de Dados'!C268</f>
        <v>Fantasma</v>
      </c>
      <c r="D1603" s="8" t="str">
        <f>'Criaturas - Base de Dados'!D268</f>
        <v>Sombra sem Corpo</v>
      </c>
      <c r="E1603" s="8" t="str">
        <f>'Sistema de Raridade e Evolução'!B7</f>
        <v>Lendário</v>
      </c>
      <c r="F1603" s="9">
        <f>ROUND(('Criaturas - Base de Dados'!H268*'Sistema de Raridade e Evolução'!E7)*1000,2)</f>
        <v>3000000</v>
      </c>
      <c r="G1603" s="8">
        <f>ROUND('Criaturas - Base de Dados'!I268*'Sistema de Raridade e Evolução'!E7,0)</f>
        <v>1800</v>
      </c>
      <c r="H1603" s="8">
        <f>ROUND('Criaturas - Base de Dados'!J268*'Sistema de Raridade e Evolução'!E7,0)</f>
        <v>1500</v>
      </c>
      <c r="I1603" s="8">
        <f>ROUND('Criaturas - Base de Dados'!K268*'Sistema de Raridade e Evolução'!E7,0)</f>
        <v>9600</v>
      </c>
      <c r="J1603" s="8">
        <f>'Sistema de Raridade e Evolução'!D7</f>
        <v>91</v>
      </c>
      <c r="K1603" s="8" t="s">
        <v>925</v>
      </c>
      <c r="L1603" s="9">
        <f t="shared" si="25"/>
        <v>7142857.1399999997</v>
      </c>
    </row>
    <row r="1604" spans="1:12" ht="14.25" customHeight="1" x14ac:dyDescent="0.3">
      <c r="A1604" s="8">
        <v>1603</v>
      </c>
      <c r="B1604" s="8" t="str">
        <f>'Criaturas - Base de Dados'!B269</f>
        <v>Névoa Espectral</v>
      </c>
      <c r="C1604" s="8" t="str">
        <f>'Criaturas - Base de Dados'!C269</f>
        <v>Fantasma</v>
      </c>
      <c r="D1604" s="8" t="str">
        <f>'Criaturas - Base de Dados'!D269</f>
        <v>Wisp das Almas</v>
      </c>
      <c r="E1604" s="8" t="str">
        <f>'Sistema de Raridade e Evolução'!B2</f>
        <v>Default</v>
      </c>
      <c r="F1604" s="9" t="e">
        <f>ROUND(('Criaturas - Base de Dados'!H269*'Sistema de Raridade e Evolução'!E2)*1000,2)</f>
        <v>#VALUE!</v>
      </c>
      <c r="G1604" s="8" t="e">
        <f>ROUND('Criaturas - Base de Dados'!I269*'Sistema de Raridade e Evolução'!E2,0)</f>
        <v>#VALUE!</v>
      </c>
      <c r="H1604" s="8" t="e">
        <f>ROUND('Criaturas - Base de Dados'!J269*'Sistema de Raridade e Evolução'!E2,0)</f>
        <v>#VALUE!</v>
      </c>
      <c r="I1604" s="8" t="e">
        <f>ROUND('Criaturas - Base de Dados'!K269*'Sistema de Raridade e Evolução'!E2,0)</f>
        <v>#VALUE!</v>
      </c>
      <c r="J1604" s="8">
        <f>'Sistema de Raridade e Evolução'!D2</f>
        <v>1</v>
      </c>
      <c r="K1604" s="8" t="s">
        <v>8</v>
      </c>
      <c r="L1604" s="9" t="e">
        <f t="shared" si="25"/>
        <v>#VALUE!</v>
      </c>
    </row>
    <row r="1605" spans="1:12" ht="14.25" hidden="1" customHeight="1" x14ac:dyDescent="0.3">
      <c r="A1605" s="8">
        <v>1604</v>
      </c>
      <c r="B1605" s="8" t="str">
        <f>'Criaturas - Base de Dados'!B269</f>
        <v>Névoa Espectral</v>
      </c>
      <c r="C1605" s="8" t="str">
        <f>'Criaturas - Base de Dados'!C269</f>
        <v>Fantasma</v>
      </c>
      <c r="D1605" s="8" t="str">
        <f>'Criaturas - Base de Dados'!D269</f>
        <v>Wisp das Almas</v>
      </c>
      <c r="E1605" s="8" t="str">
        <f>'Sistema de Raridade e Evolução'!B3</f>
        <v>Bronze</v>
      </c>
      <c r="F1605" s="9">
        <f>ROUND(('Criaturas - Base de Dados'!H269*'Sistema de Raridade e Evolução'!E3)*1000,2)</f>
        <v>22000</v>
      </c>
      <c r="G1605" s="8">
        <f>ROUND('Criaturas - Base de Dados'!I269*'Sistema de Raridade e Evolução'!E3,0)</f>
        <v>13</v>
      </c>
      <c r="H1605" s="8">
        <f>ROUND('Criaturas - Base de Dados'!J269*'Sistema de Raridade e Evolução'!E3,0)</f>
        <v>11</v>
      </c>
      <c r="I1605" s="8">
        <f>ROUND('Criaturas - Base de Dados'!K269*'Sistema de Raridade e Evolução'!E3,0)</f>
        <v>70</v>
      </c>
      <c r="J1605" s="8">
        <f>'Sistema de Raridade e Evolução'!D3</f>
        <v>6</v>
      </c>
      <c r="K1605" s="8" t="s">
        <v>9</v>
      </c>
      <c r="L1605" s="9">
        <f t="shared" si="25"/>
        <v>52380.95</v>
      </c>
    </row>
    <row r="1606" spans="1:12" ht="14.25" hidden="1" customHeight="1" x14ac:dyDescent="0.3">
      <c r="A1606" s="8">
        <v>1605</v>
      </c>
      <c r="B1606" s="8" t="str">
        <f>'Criaturas - Base de Dados'!B269</f>
        <v>Névoa Espectral</v>
      </c>
      <c r="C1606" s="8" t="str">
        <f>'Criaturas - Base de Dados'!C269</f>
        <v>Fantasma</v>
      </c>
      <c r="D1606" s="8" t="str">
        <f>'Criaturas - Base de Dados'!D269</f>
        <v>Wisp das Almas</v>
      </c>
      <c r="E1606" s="8" t="str">
        <f>'Sistema de Raridade e Evolução'!B4</f>
        <v>Prata</v>
      </c>
      <c r="F1606" s="9">
        <f>ROUND(('Criaturas - Base de Dados'!H269*'Sistema de Raridade e Evolução'!E4)*1000,2)</f>
        <v>132000</v>
      </c>
      <c r="G1606" s="8">
        <f>ROUND('Criaturas - Base de Dados'!I269*'Sistema de Raridade e Evolução'!E4,0)</f>
        <v>78</v>
      </c>
      <c r="H1606" s="8">
        <f>ROUND('Criaturas - Base de Dados'!J269*'Sistema de Raridade e Evolução'!E4,0)</f>
        <v>66</v>
      </c>
      <c r="I1606" s="8">
        <f>ROUND('Criaturas - Base de Dados'!K269*'Sistema de Raridade e Evolução'!E4,0)</f>
        <v>420</v>
      </c>
      <c r="J1606" s="8">
        <f>'Sistema de Raridade e Evolução'!D4</f>
        <v>16</v>
      </c>
      <c r="K1606" s="8" t="s">
        <v>10</v>
      </c>
      <c r="L1606" s="9">
        <f t="shared" si="25"/>
        <v>314285.71000000002</v>
      </c>
    </row>
    <row r="1607" spans="1:12" ht="14.25" hidden="1" customHeight="1" x14ac:dyDescent="0.3">
      <c r="A1607" s="8">
        <v>1606</v>
      </c>
      <c r="B1607" s="8" t="str">
        <f>'Criaturas - Base de Dados'!B269</f>
        <v>Névoa Espectral</v>
      </c>
      <c r="C1607" s="8" t="str">
        <f>'Criaturas - Base de Dados'!C269</f>
        <v>Fantasma</v>
      </c>
      <c r="D1607" s="8" t="str">
        <f>'Criaturas - Base de Dados'!D269</f>
        <v>Wisp das Almas</v>
      </c>
      <c r="E1607" s="8" t="str">
        <f>'Sistema de Raridade e Evolução'!B5</f>
        <v>Ouro</v>
      </c>
      <c r="F1607" s="9">
        <f>ROUND(('Criaturas - Base de Dados'!H269*'Sistema de Raridade e Evolução'!E5)*1000,2)</f>
        <v>396000</v>
      </c>
      <c r="G1607" s="8">
        <f>ROUND('Criaturas - Base de Dados'!I269*'Sistema de Raridade e Evolução'!E5,0)</f>
        <v>234</v>
      </c>
      <c r="H1607" s="8">
        <f>ROUND('Criaturas - Base de Dados'!J269*'Sistema de Raridade e Evolução'!E5,0)</f>
        <v>198</v>
      </c>
      <c r="I1607" s="8">
        <f>ROUND('Criaturas - Base de Dados'!K269*'Sistema de Raridade e Evolução'!E5,0)</f>
        <v>1260</v>
      </c>
      <c r="J1607" s="8">
        <f>'Sistema de Raridade e Evolução'!D5</f>
        <v>31</v>
      </c>
      <c r="K1607" s="8" t="s">
        <v>11</v>
      </c>
      <c r="L1607" s="9">
        <f t="shared" si="25"/>
        <v>942857.14</v>
      </c>
    </row>
    <row r="1608" spans="1:12" ht="14.25" hidden="1" customHeight="1" x14ac:dyDescent="0.3">
      <c r="A1608" s="8">
        <v>1607</v>
      </c>
      <c r="B1608" s="8" t="str">
        <f>'Criaturas - Base de Dados'!B269</f>
        <v>Névoa Espectral</v>
      </c>
      <c r="C1608" s="8" t="str">
        <f>'Criaturas - Base de Dados'!C269</f>
        <v>Fantasma</v>
      </c>
      <c r="D1608" s="8" t="str">
        <f>'Criaturas - Base de Dados'!D269</f>
        <v>Wisp das Almas</v>
      </c>
      <c r="E1608" s="8" t="str">
        <f>'Sistema de Raridade e Evolução'!B6</f>
        <v>Platina</v>
      </c>
      <c r="F1608" s="9">
        <f>ROUND(('Criaturas - Base de Dados'!H269*'Sistema de Raridade e Evolução'!E6)*1000,2)</f>
        <v>1100000</v>
      </c>
      <c r="G1608" s="8">
        <f>ROUND('Criaturas - Base de Dados'!I269*'Sistema de Raridade e Evolução'!E6,0)</f>
        <v>650</v>
      </c>
      <c r="H1608" s="8">
        <f>ROUND('Criaturas - Base de Dados'!J269*'Sistema de Raridade e Evolução'!E6,0)</f>
        <v>550</v>
      </c>
      <c r="I1608" s="8">
        <f>ROUND('Criaturas - Base de Dados'!K269*'Sistema de Raridade e Evolução'!E6,0)</f>
        <v>3500</v>
      </c>
      <c r="J1608" s="8">
        <f>'Sistema de Raridade e Evolução'!D6</f>
        <v>56</v>
      </c>
      <c r="K1608" s="8" t="s">
        <v>12</v>
      </c>
      <c r="L1608" s="9">
        <f t="shared" si="25"/>
        <v>2619047.62</v>
      </c>
    </row>
    <row r="1609" spans="1:12" ht="14.25" hidden="1" customHeight="1" x14ac:dyDescent="0.3">
      <c r="A1609" s="8">
        <v>1608</v>
      </c>
      <c r="B1609" s="8" t="str">
        <f>'Criaturas - Base de Dados'!B269</f>
        <v>Névoa Espectral</v>
      </c>
      <c r="C1609" s="8" t="str">
        <f>'Criaturas - Base de Dados'!C269</f>
        <v>Fantasma</v>
      </c>
      <c r="D1609" s="8" t="str">
        <f>'Criaturas - Base de Dados'!D269</f>
        <v>Wisp das Almas</v>
      </c>
      <c r="E1609" s="8" t="str">
        <f>'Sistema de Raridade e Evolução'!B7</f>
        <v>Lendário</v>
      </c>
      <c r="F1609" s="9">
        <f>ROUND(('Criaturas - Base de Dados'!H269*'Sistema de Raridade e Evolução'!E7)*1000,2)</f>
        <v>3300000</v>
      </c>
      <c r="G1609" s="8">
        <f>ROUND('Criaturas - Base de Dados'!I269*'Sistema de Raridade e Evolução'!E7,0)</f>
        <v>1950</v>
      </c>
      <c r="H1609" s="8">
        <f>ROUND('Criaturas - Base de Dados'!J269*'Sistema de Raridade e Evolução'!E7,0)</f>
        <v>1650</v>
      </c>
      <c r="I1609" s="8">
        <f>ROUND('Criaturas - Base de Dados'!K269*'Sistema de Raridade e Evolução'!E7,0)</f>
        <v>10500</v>
      </c>
      <c r="J1609" s="8">
        <f>'Sistema de Raridade e Evolução'!D7</f>
        <v>91</v>
      </c>
      <c r="K1609" s="8" t="s">
        <v>925</v>
      </c>
      <c r="L1609" s="9">
        <f t="shared" si="25"/>
        <v>7857142.8600000003</v>
      </c>
    </row>
    <row r="1610" spans="1:12" ht="14.25" customHeight="1" x14ac:dyDescent="0.3">
      <c r="A1610" s="8">
        <v>1609</v>
      </c>
      <c r="B1610" s="8" t="str">
        <f>'Criaturas - Base de Dados'!B270</f>
        <v>Névoa Espectral</v>
      </c>
      <c r="C1610" s="8" t="str">
        <f>'Criaturas - Base de Dados'!C270</f>
        <v>Fantasma</v>
      </c>
      <c r="D1610" s="8" t="str">
        <f>'Criaturas - Base de Dados'!D270</f>
        <v>Espírito do Pântano</v>
      </c>
      <c r="E1610" s="8" t="str">
        <f>'Sistema de Raridade e Evolução'!B2</f>
        <v>Default</v>
      </c>
      <c r="F1610" s="9" t="e">
        <f>ROUND(('Criaturas - Base de Dados'!H270*'Sistema de Raridade e Evolução'!E2)*1000,2)</f>
        <v>#VALUE!</v>
      </c>
      <c r="G1610" s="8" t="e">
        <f>ROUND('Criaturas - Base de Dados'!I270*'Sistema de Raridade e Evolução'!E2,0)</f>
        <v>#VALUE!</v>
      </c>
      <c r="H1610" s="8" t="e">
        <f>ROUND('Criaturas - Base de Dados'!J270*'Sistema de Raridade e Evolução'!E2,0)</f>
        <v>#VALUE!</v>
      </c>
      <c r="I1610" s="8" t="e">
        <f>ROUND('Criaturas - Base de Dados'!K270*'Sistema de Raridade e Evolução'!E2,0)</f>
        <v>#VALUE!</v>
      </c>
      <c r="J1610" s="8">
        <f>'Sistema de Raridade e Evolução'!D2</f>
        <v>1</v>
      </c>
      <c r="K1610" s="8" t="s">
        <v>8</v>
      </c>
      <c r="L1610" s="9" t="e">
        <f t="shared" si="25"/>
        <v>#VALUE!</v>
      </c>
    </row>
    <row r="1611" spans="1:12" ht="14.25" hidden="1" customHeight="1" x14ac:dyDescent="0.3">
      <c r="A1611" s="8">
        <v>1610</v>
      </c>
      <c r="B1611" s="8" t="str">
        <f>'Criaturas - Base de Dados'!B270</f>
        <v>Névoa Espectral</v>
      </c>
      <c r="C1611" s="8" t="str">
        <f>'Criaturas - Base de Dados'!C270</f>
        <v>Fantasma</v>
      </c>
      <c r="D1611" s="8" t="str">
        <f>'Criaturas - Base de Dados'!D270</f>
        <v>Espírito do Pântano</v>
      </c>
      <c r="E1611" s="8" t="str">
        <f>'Sistema de Raridade e Evolução'!B3</f>
        <v>Bronze</v>
      </c>
      <c r="F1611" s="9">
        <f>ROUND(('Criaturas - Base de Dados'!H270*'Sistema de Raridade e Evolução'!E3)*1000,2)</f>
        <v>24000</v>
      </c>
      <c r="G1611" s="8">
        <f>ROUND('Criaturas - Base de Dados'!I270*'Sistema de Raridade e Evolução'!E3,0)</f>
        <v>14</v>
      </c>
      <c r="H1611" s="8">
        <f>ROUND('Criaturas - Base de Dados'!J270*'Sistema de Raridade e Evolução'!E3,0)</f>
        <v>12</v>
      </c>
      <c r="I1611" s="8">
        <f>ROUND('Criaturas - Base de Dados'!K270*'Sistema de Raridade e Evolução'!E3,0)</f>
        <v>77</v>
      </c>
      <c r="J1611" s="8">
        <f>'Sistema de Raridade e Evolução'!D3</f>
        <v>6</v>
      </c>
      <c r="K1611" s="8" t="s">
        <v>9</v>
      </c>
      <c r="L1611" s="9">
        <f t="shared" si="25"/>
        <v>57142.86</v>
      </c>
    </row>
    <row r="1612" spans="1:12" ht="14.25" hidden="1" customHeight="1" x14ac:dyDescent="0.3">
      <c r="A1612" s="8">
        <v>1611</v>
      </c>
      <c r="B1612" s="8" t="str">
        <f>'Criaturas - Base de Dados'!B270</f>
        <v>Névoa Espectral</v>
      </c>
      <c r="C1612" s="8" t="str">
        <f>'Criaturas - Base de Dados'!C270</f>
        <v>Fantasma</v>
      </c>
      <c r="D1612" s="8" t="str">
        <f>'Criaturas - Base de Dados'!D270</f>
        <v>Espírito do Pântano</v>
      </c>
      <c r="E1612" s="8" t="str">
        <f>'Sistema de Raridade e Evolução'!B4</f>
        <v>Prata</v>
      </c>
      <c r="F1612" s="9">
        <f>ROUND(('Criaturas - Base de Dados'!H270*'Sistema de Raridade e Evolução'!E4)*1000,2)</f>
        <v>144000</v>
      </c>
      <c r="G1612" s="8">
        <f>ROUND('Criaturas - Base de Dados'!I270*'Sistema de Raridade e Evolução'!E4,0)</f>
        <v>84</v>
      </c>
      <c r="H1612" s="8">
        <f>ROUND('Criaturas - Base de Dados'!J270*'Sistema de Raridade e Evolução'!E4,0)</f>
        <v>72</v>
      </c>
      <c r="I1612" s="8">
        <f>ROUND('Criaturas - Base de Dados'!K270*'Sistema de Raridade e Evolução'!E4,0)</f>
        <v>462</v>
      </c>
      <c r="J1612" s="8">
        <f>'Sistema de Raridade e Evolução'!D4</f>
        <v>16</v>
      </c>
      <c r="K1612" s="8" t="s">
        <v>10</v>
      </c>
      <c r="L1612" s="9">
        <f t="shared" si="25"/>
        <v>342857.14</v>
      </c>
    </row>
    <row r="1613" spans="1:12" ht="14.25" hidden="1" customHeight="1" x14ac:dyDescent="0.3">
      <c r="A1613" s="8">
        <v>1612</v>
      </c>
      <c r="B1613" s="8" t="str">
        <f>'Criaturas - Base de Dados'!B270</f>
        <v>Névoa Espectral</v>
      </c>
      <c r="C1613" s="8" t="str">
        <f>'Criaturas - Base de Dados'!C270</f>
        <v>Fantasma</v>
      </c>
      <c r="D1613" s="8" t="str">
        <f>'Criaturas - Base de Dados'!D270</f>
        <v>Espírito do Pântano</v>
      </c>
      <c r="E1613" s="8" t="str">
        <f>'Sistema de Raridade e Evolução'!B5</f>
        <v>Ouro</v>
      </c>
      <c r="F1613" s="9">
        <f>ROUND(('Criaturas - Base de Dados'!H270*'Sistema de Raridade e Evolução'!E5)*1000,2)</f>
        <v>432000</v>
      </c>
      <c r="G1613" s="8">
        <f>ROUND('Criaturas - Base de Dados'!I270*'Sistema de Raridade e Evolução'!E5,0)</f>
        <v>252</v>
      </c>
      <c r="H1613" s="8">
        <f>ROUND('Criaturas - Base de Dados'!J270*'Sistema de Raridade e Evolução'!E5,0)</f>
        <v>216</v>
      </c>
      <c r="I1613" s="8">
        <f>ROUND('Criaturas - Base de Dados'!K270*'Sistema de Raridade e Evolução'!E5,0)</f>
        <v>1386</v>
      </c>
      <c r="J1613" s="8">
        <f>'Sistema de Raridade e Evolução'!D5</f>
        <v>31</v>
      </c>
      <c r="K1613" s="8" t="s">
        <v>11</v>
      </c>
      <c r="L1613" s="9">
        <f t="shared" si="25"/>
        <v>1028571.43</v>
      </c>
    </row>
    <row r="1614" spans="1:12" ht="14.25" hidden="1" customHeight="1" x14ac:dyDescent="0.3">
      <c r="A1614" s="8">
        <v>1613</v>
      </c>
      <c r="B1614" s="8" t="str">
        <f>'Criaturas - Base de Dados'!B270</f>
        <v>Névoa Espectral</v>
      </c>
      <c r="C1614" s="8" t="str">
        <f>'Criaturas - Base de Dados'!C270</f>
        <v>Fantasma</v>
      </c>
      <c r="D1614" s="8" t="str">
        <f>'Criaturas - Base de Dados'!D270</f>
        <v>Espírito do Pântano</v>
      </c>
      <c r="E1614" s="8" t="str">
        <f>'Sistema de Raridade e Evolução'!B6</f>
        <v>Platina</v>
      </c>
      <c r="F1614" s="9">
        <f>ROUND(('Criaturas - Base de Dados'!H270*'Sistema de Raridade e Evolução'!E6)*1000,2)</f>
        <v>1200000</v>
      </c>
      <c r="G1614" s="8">
        <f>ROUND('Criaturas - Base de Dados'!I270*'Sistema de Raridade e Evolução'!E6,0)</f>
        <v>700</v>
      </c>
      <c r="H1614" s="8">
        <f>ROUND('Criaturas - Base de Dados'!J270*'Sistema de Raridade e Evolução'!E6,0)</f>
        <v>600</v>
      </c>
      <c r="I1614" s="8">
        <f>ROUND('Criaturas - Base de Dados'!K270*'Sistema de Raridade e Evolução'!E6,0)</f>
        <v>3850</v>
      </c>
      <c r="J1614" s="8">
        <f>'Sistema de Raridade e Evolução'!D6</f>
        <v>56</v>
      </c>
      <c r="K1614" s="8" t="s">
        <v>12</v>
      </c>
      <c r="L1614" s="9">
        <f t="shared" si="25"/>
        <v>2857142.86</v>
      </c>
    </row>
    <row r="1615" spans="1:12" ht="14.25" hidden="1" customHeight="1" x14ac:dyDescent="0.3">
      <c r="A1615" s="8">
        <v>1614</v>
      </c>
      <c r="B1615" s="8" t="str">
        <f>'Criaturas - Base de Dados'!B270</f>
        <v>Névoa Espectral</v>
      </c>
      <c r="C1615" s="8" t="str">
        <f>'Criaturas - Base de Dados'!C270</f>
        <v>Fantasma</v>
      </c>
      <c r="D1615" s="8" t="str">
        <f>'Criaturas - Base de Dados'!D270</f>
        <v>Espírito do Pântano</v>
      </c>
      <c r="E1615" s="8" t="str">
        <f>'Sistema de Raridade e Evolução'!B7</f>
        <v>Lendário</v>
      </c>
      <c r="F1615" s="9">
        <f>ROUND(('Criaturas - Base de Dados'!H270*'Sistema de Raridade e Evolução'!E7)*1000,2)</f>
        <v>3600000</v>
      </c>
      <c r="G1615" s="8">
        <f>ROUND('Criaturas - Base de Dados'!I270*'Sistema de Raridade e Evolução'!E7,0)</f>
        <v>2100</v>
      </c>
      <c r="H1615" s="8">
        <f>ROUND('Criaturas - Base de Dados'!J270*'Sistema de Raridade e Evolução'!E7,0)</f>
        <v>1800</v>
      </c>
      <c r="I1615" s="8">
        <f>ROUND('Criaturas - Base de Dados'!K270*'Sistema de Raridade e Evolução'!E7,0)</f>
        <v>11550</v>
      </c>
      <c r="J1615" s="8">
        <f>'Sistema de Raridade e Evolução'!D7</f>
        <v>91</v>
      </c>
      <c r="K1615" s="8" t="s">
        <v>925</v>
      </c>
      <c r="L1615" s="9">
        <f t="shared" si="25"/>
        <v>8571428.5700000003</v>
      </c>
    </row>
    <row r="1616" spans="1:12" ht="14.25" customHeight="1" x14ac:dyDescent="0.3">
      <c r="A1616" s="8">
        <v>1615</v>
      </c>
      <c r="B1616" s="8" t="str">
        <f>'Criaturas - Base de Dados'!B271</f>
        <v>Névoa Espectral</v>
      </c>
      <c r="C1616" s="8" t="str">
        <f>'Criaturas - Base de Dados'!C271</f>
        <v>Fantasma</v>
      </c>
      <c r="D1616" s="8" t="str">
        <f>'Criaturas - Base de Dados'!D271</f>
        <v>Fantasma do Farol</v>
      </c>
      <c r="E1616" s="8" t="str">
        <f>'Sistema de Raridade e Evolução'!B2</f>
        <v>Default</v>
      </c>
      <c r="F1616" s="9" t="e">
        <f>ROUND(('Criaturas - Base de Dados'!H271*'Sistema de Raridade e Evolução'!E2)*1000,2)</f>
        <v>#VALUE!</v>
      </c>
      <c r="G1616" s="8" t="e">
        <f>ROUND('Criaturas - Base de Dados'!I271*'Sistema de Raridade e Evolução'!E2,0)</f>
        <v>#VALUE!</v>
      </c>
      <c r="H1616" s="8" t="e">
        <f>ROUND('Criaturas - Base de Dados'!J271*'Sistema de Raridade e Evolução'!E2,0)</f>
        <v>#VALUE!</v>
      </c>
      <c r="I1616" s="8" t="e">
        <f>ROUND('Criaturas - Base de Dados'!K271*'Sistema de Raridade e Evolução'!E2,0)</f>
        <v>#VALUE!</v>
      </c>
      <c r="J1616" s="8">
        <f>'Sistema de Raridade e Evolução'!D2</f>
        <v>1</v>
      </c>
      <c r="K1616" s="8" t="s">
        <v>8</v>
      </c>
      <c r="L1616" s="9" t="e">
        <f t="shared" si="25"/>
        <v>#VALUE!</v>
      </c>
    </row>
    <row r="1617" spans="1:12" ht="14.25" hidden="1" customHeight="1" x14ac:dyDescent="0.3">
      <c r="A1617" s="8">
        <v>1616</v>
      </c>
      <c r="B1617" s="8" t="str">
        <f>'Criaturas - Base de Dados'!B271</f>
        <v>Névoa Espectral</v>
      </c>
      <c r="C1617" s="8" t="str">
        <f>'Criaturas - Base de Dados'!C271</f>
        <v>Fantasma</v>
      </c>
      <c r="D1617" s="8" t="str">
        <f>'Criaturas - Base de Dados'!D271</f>
        <v>Fantasma do Farol</v>
      </c>
      <c r="E1617" s="8" t="str">
        <f>'Sistema de Raridade e Evolução'!B3</f>
        <v>Bronze</v>
      </c>
      <c r="F1617" s="9">
        <f>ROUND(('Criaturas - Base de Dados'!H271*'Sistema de Raridade e Evolução'!E3)*1000,2)</f>
        <v>26000</v>
      </c>
      <c r="G1617" s="8">
        <f>ROUND('Criaturas - Base de Dados'!I271*'Sistema de Raridade e Evolução'!E3,0)</f>
        <v>16</v>
      </c>
      <c r="H1617" s="8">
        <f>ROUND('Criaturas - Base de Dados'!J271*'Sistema de Raridade e Evolução'!E3,0)</f>
        <v>13</v>
      </c>
      <c r="I1617" s="8">
        <f>ROUND('Criaturas - Base de Dados'!K271*'Sistema de Raridade e Evolução'!E3,0)</f>
        <v>83</v>
      </c>
      <c r="J1617" s="8">
        <f>'Sistema de Raridade e Evolução'!D3</f>
        <v>6</v>
      </c>
      <c r="K1617" s="8" t="s">
        <v>9</v>
      </c>
      <c r="L1617" s="9">
        <f t="shared" si="25"/>
        <v>61904.76</v>
      </c>
    </row>
    <row r="1618" spans="1:12" ht="14.25" hidden="1" customHeight="1" x14ac:dyDescent="0.3">
      <c r="A1618" s="8">
        <v>1617</v>
      </c>
      <c r="B1618" s="8" t="str">
        <f>'Criaturas - Base de Dados'!B271</f>
        <v>Névoa Espectral</v>
      </c>
      <c r="C1618" s="8" t="str">
        <f>'Criaturas - Base de Dados'!C271</f>
        <v>Fantasma</v>
      </c>
      <c r="D1618" s="8" t="str">
        <f>'Criaturas - Base de Dados'!D271</f>
        <v>Fantasma do Farol</v>
      </c>
      <c r="E1618" s="8" t="str">
        <f>'Sistema de Raridade e Evolução'!B4</f>
        <v>Prata</v>
      </c>
      <c r="F1618" s="9">
        <f>ROUND(('Criaturas - Base de Dados'!H271*'Sistema de Raridade e Evolução'!E4)*1000,2)</f>
        <v>156000</v>
      </c>
      <c r="G1618" s="8">
        <f>ROUND('Criaturas - Base de Dados'!I271*'Sistema de Raridade e Evolução'!E4,0)</f>
        <v>96</v>
      </c>
      <c r="H1618" s="8">
        <f>ROUND('Criaturas - Base de Dados'!J271*'Sistema de Raridade e Evolução'!E4,0)</f>
        <v>78</v>
      </c>
      <c r="I1618" s="8">
        <f>ROUND('Criaturas - Base de Dados'!K271*'Sistema de Raridade e Evolução'!E4,0)</f>
        <v>498</v>
      </c>
      <c r="J1618" s="8">
        <f>'Sistema de Raridade e Evolução'!D4</f>
        <v>16</v>
      </c>
      <c r="K1618" s="8" t="s">
        <v>10</v>
      </c>
      <c r="L1618" s="9">
        <f t="shared" si="25"/>
        <v>371428.57</v>
      </c>
    </row>
    <row r="1619" spans="1:12" ht="14.25" hidden="1" customHeight="1" x14ac:dyDescent="0.3">
      <c r="A1619" s="8">
        <v>1618</v>
      </c>
      <c r="B1619" s="8" t="str">
        <f>'Criaturas - Base de Dados'!B271</f>
        <v>Névoa Espectral</v>
      </c>
      <c r="C1619" s="8" t="str">
        <f>'Criaturas - Base de Dados'!C271</f>
        <v>Fantasma</v>
      </c>
      <c r="D1619" s="8" t="str">
        <f>'Criaturas - Base de Dados'!D271</f>
        <v>Fantasma do Farol</v>
      </c>
      <c r="E1619" s="8" t="str">
        <f>'Sistema de Raridade e Evolução'!B5</f>
        <v>Ouro</v>
      </c>
      <c r="F1619" s="9">
        <f>ROUND(('Criaturas - Base de Dados'!H271*'Sistema de Raridade e Evolução'!E5)*1000,2)</f>
        <v>468000</v>
      </c>
      <c r="G1619" s="8">
        <f>ROUND('Criaturas - Base de Dados'!I271*'Sistema de Raridade e Evolução'!E5,0)</f>
        <v>288</v>
      </c>
      <c r="H1619" s="8">
        <f>ROUND('Criaturas - Base de Dados'!J271*'Sistema de Raridade e Evolução'!E5,0)</f>
        <v>234</v>
      </c>
      <c r="I1619" s="8">
        <f>ROUND('Criaturas - Base de Dados'!K271*'Sistema de Raridade e Evolução'!E5,0)</f>
        <v>1494</v>
      </c>
      <c r="J1619" s="8">
        <f>'Sistema de Raridade e Evolução'!D5</f>
        <v>31</v>
      </c>
      <c r="K1619" s="8" t="s">
        <v>11</v>
      </c>
      <c r="L1619" s="9">
        <f t="shared" si="25"/>
        <v>1114285.71</v>
      </c>
    </row>
    <row r="1620" spans="1:12" ht="14.25" hidden="1" customHeight="1" x14ac:dyDescent="0.3">
      <c r="A1620" s="8">
        <v>1619</v>
      </c>
      <c r="B1620" s="8" t="str">
        <f>'Criaturas - Base de Dados'!B271</f>
        <v>Névoa Espectral</v>
      </c>
      <c r="C1620" s="8" t="str">
        <f>'Criaturas - Base de Dados'!C271</f>
        <v>Fantasma</v>
      </c>
      <c r="D1620" s="8" t="str">
        <f>'Criaturas - Base de Dados'!D271</f>
        <v>Fantasma do Farol</v>
      </c>
      <c r="E1620" s="8" t="str">
        <f>'Sistema de Raridade e Evolução'!B6</f>
        <v>Platina</v>
      </c>
      <c r="F1620" s="9">
        <f>ROUND(('Criaturas - Base de Dados'!H271*'Sistema de Raridade e Evolução'!E6)*1000,2)</f>
        <v>1300000</v>
      </c>
      <c r="G1620" s="8">
        <f>ROUND('Criaturas - Base de Dados'!I271*'Sistema de Raridade e Evolução'!E6,0)</f>
        <v>800</v>
      </c>
      <c r="H1620" s="8">
        <f>ROUND('Criaturas - Base de Dados'!J271*'Sistema de Raridade e Evolução'!E6,0)</f>
        <v>650</v>
      </c>
      <c r="I1620" s="8">
        <f>ROUND('Criaturas - Base de Dados'!K271*'Sistema de Raridade e Evolução'!E6,0)</f>
        <v>4150</v>
      </c>
      <c r="J1620" s="8">
        <f>'Sistema de Raridade e Evolução'!D6</f>
        <v>56</v>
      </c>
      <c r="K1620" s="8" t="s">
        <v>12</v>
      </c>
      <c r="L1620" s="9">
        <f t="shared" si="25"/>
        <v>3095238.1</v>
      </c>
    </row>
    <row r="1621" spans="1:12" ht="14.25" hidden="1" customHeight="1" x14ac:dyDescent="0.3">
      <c r="A1621" s="8">
        <v>1620</v>
      </c>
      <c r="B1621" s="8" t="str">
        <f>'Criaturas - Base de Dados'!B271</f>
        <v>Névoa Espectral</v>
      </c>
      <c r="C1621" s="8" t="str">
        <f>'Criaturas - Base de Dados'!C271</f>
        <v>Fantasma</v>
      </c>
      <c r="D1621" s="8" t="str">
        <f>'Criaturas - Base de Dados'!D271</f>
        <v>Fantasma do Farol</v>
      </c>
      <c r="E1621" s="8" t="str">
        <f>'Sistema de Raridade e Evolução'!B7</f>
        <v>Lendário</v>
      </c>
      <c r="F1621" s="9">
        <f>ROUND(('Criaturas - Base de Dados'!H271*'Sistema de Raridade e Evolução'!E7)*1000,2)</f>
        <v>3900000</v>
      </c>
      <c r="G1621" s="8">
        <f>ROUND('Criaturas - Base de Dados'!I271*'Sistema de Raridade e Evolução'!E7,0)</f>
        <v>2400</v>
      </c>
      <c r="H1621" s="8">
        <f>ROUND('Criaturas - Base de Dados'!J271*'Sistema de Raridade e Evolução'!E7,0)</f>
        <v>1950</v>
      </c>
      <c r="I1621" s="8">
        <f>ROUND('Criaturas - Base de Dados'!K271*'Sistema de Raridade e Evolução'!E7,0)</f>
        <v>12450</v>
      </c>
      <c r="J1621" s="8">
        <f>'Sistema de Raridade e Evolução'!D7</f>
        <v>91</v>
      </c>
      <c r="K1621" s="8" t="s">
        <v>925</v>
      </c>
      <c r="L1621" s="9">
        <f t="shared" si="25"/>
        <v>9285714.2899999991</v>
      </c>
    </row>
    <row r="1622" spans="1:12" ht="14.25" customHeight="1" x14ac:dyDescent="0.3">
      <c r="A1622" s="8">
        <v>1621</v>
      </c>
      <c r="B1622" s="8" t="str">
        <f>'Criaturas - Base de Dados'!B272</f>
        <v>Névoa Espectral</v>
      </c>
      <c r="C1622" s="8" t="str">
        <f>'Criaturas - Base de Dados'!C272</f>
        <v>Fantasma</v>
      </c>
      <c r="D1622" s="8" t="str">
        <f>'Criaturas - Base de Dados'!D272</f>
        <v>Ánima Errante</v>
      </c>
      <c r="E1622" s="8" t="str">
        <f>'Sistema de Raridade e Evolução'!B2</f>
        <v>Default</v>
      </c>
      <c r="F1622" s="9" t="e">
        <f>ROUND(('Criaturas - Base de Dados'!H272*'Sistema de Raridade e Evolução'!E2)*1000,2)</f>
        <v>#VALUE!</v>
      </c>
      <c r="G1622" s="8" t="e">
        <f>ROUND('Criaturas - Base de Dados'!I272*'Sistema de Raridade e Evolução'!E2,0)</f>
        <v>#VALUE!</v>
      </c>
      <c r="H1622" s="8" t="e">
        <f>ROUND('Criaturas - Base de Dados'!J272*'Sistema de Raridade e Evolução'!E2,0)</f>
        <v>#VALUE!</v>
      </c>
      <c r="I1622" s="8" t="e">
        <f>ROUND('Criaturas - Base de Dados'!K272*'Sistema de Raridade e Evolução'!E2,0)</f>
        <v>#VALUE!</v>
      </c>
      <c r="J1622" s="8">
        <f>'Sistema de Raridade e Evolução'!D2</f>
        <v>1</v>
      </c>
      <c r="K1622" s="8" t="s">
        <v>8</v>
      </c>
      <c r="L1622" s="9" t="e">
        <f t="shared" si="25"/>
        <v>#VALUE!</v>
      </c>
    </row>
    <row r="1623" spans="1:12" ht="14.25" hidden="1" customHeight="1" x14ac:dyDescent="0.3">
      <c r="A1623" s="8">
        <v>1622</v>
      </c>
      <c r="B1623" s="8" t="str">
        <f>'Criaturas - Base de Dados'!B272</f>
        <v>Névoa Espectral</v>
      </c>
      <c r="C1623" s="8" t="str">
        <f>'Criaturas - Base de Dados'!C272</f>
        <v>Fantasma</v>
      </c>
      <c r="D1623" s="8" t="str">
        <f>'Criaturas - Base de Dados'!D272</f>
        <v>Ánima Errante</v>
      </c>
      <c r="E1623" s="8" t="str">
        <f>'Sistema de Raridade e Evolução'!B3</f>
        <v>Bronze</v>
      </c>
      <c r="F1623" s="9">
        <f>ROUND(('Criaturas - Base de Dados'!H272*'Sistema de Raridade e Evolução'!E3)*1000,2)</f>
        <v>28000</v>
      </c>
      <c r="G1623" s="8">
        <f>ROUND('Criaturas - Base de Dados'!I272*'Sistema de Raridade e Evolução'!E3,0)</f>
        <v>17</v>
      </c>
      <c r="H1623" s="8">
        <f>ROUND('Criaturas - Base de Dados'!J272*'Sistema de Raridade e Evolução'!E3,0)</f>
        <v>14</v>
      </c>
      <c r="I1623" s="8">
        <f>ROUND('Criaturas - Base de Dados'!K272*'Sistema de Raridade e Evolução'!E3,0)</f>
        <v>90</v>
      </c>
      <c r="J1623" s="8">
        <f>'Sistema de Raridade e Evolução'!D3</f>
        <v>6</v>
      </c>
      <c r="K1623" s="8" t="s">
        <v>9</v>
      </c>
      <c r="L1623" s="9">
        <f t="shared" si="25"/>
        <v>66666.67</v>
      </c>
    </row>
    <row r="1624" spans="1:12" ht="14.25" hidden="1" customHeight="1" x14ac:dyDescent="0.3">
      <c r="A1624" s="8">
        <v>1623</v>
      </c>
      <c r="B1624" s="8" t="str">
        <f>'Criaturas - Base de Dados'!B272</f>
        <v>Névoa Espectral</v>
      </c>
      <c r="C1624" s="8" t="str">
        <f>'Criaturas - Base de Dados'!C272</f>
        <v>Fantasma</v>
      </c>
      <c r="D1624" s="8" t="str">
        <f>'Criaturas - Base de Dados'!D272</f>
        <v>Ánima Errante</v>
      </c>
      <c r="E1624" s="8" t="str">
        <f>'Sistema de Raridade e Evolução'!B4</f>
        <v>Prata</v>
      </c>
      <c r="F1624" s="9">
        <f>ROUND(('Criaturas - Base de Dados'!H272*'Sistema de Raridade e Evolução'!E4)*1000,2)</f>
        <v>168000</v>
      </c>
      <c r="G1624" s="8">
        <f>ROUND('Criaturas - Base de Dados'!I272*'Sistema de Raridade e Evolução'!E4,0)</f>
        <v>102</v>
      </c>
      <c r="H1624" s="8">
        <f>ROUND('Criaturas - Base de Dados'!J272*'Sistema de Raridade e Evolução'!E4,0)</f>
        <v>84</v>
      </c>
      <c r="I1624" s="8">
        <f>ROUND('Criaturas - Base de Dados'!K272*'Sistema de Raridade e Evolução'!E4,0)</f>
        <v>540</v>
      </c>
      <c r="J1624" s="8">
        <f>'Sistema de Raridade e Evolução'!D4</f>
        <v>16</v>
      </c>
      <c r="K1624" s="8" t="s">
        <v>10</v>
      </c>
      <c r="L1624" s="9">
        <f t="shared" si="25"/>
        <v>400000</v>
      </c>
    </row>
    <row r="1625" spans="1:12" ht="14.25" hidden="1" customHeight="1" x14ac:dyDescent="0.3">
      <c r="A1625" s="8">
        <v>1624</v>
      </c>
      <c r="B1625" s="8" t="str">
        <f>'Criaturas - Base de Dados'!B272</f>
        <v>Névoa Espectral</v>
      </c>
      <c r="C1625" s="8" t="str">
        <f>'Criaturas - Base de Dados'!C272</f>
        <v>Fantasma</v>
      </c>
      <c r="D1625" s="8" t="str">
        <f>'Criaturas - Base de Dados'!D272</f>
        <v>Ánima Errante</v>
      </c>
      <c r="E1625" s="8" t="str">
        <f>'Sistema de Raridade e Evolução'!B5</f>
        <v>Ouro</v>
      </c>
      <c r="F1625" s="9">
        <f>ROUND(('Criaturas - Base de Dados'!H272*'Sistema de Raridade e Evolução'!E5)*1000,2)</f>
        <v>504000</v>
      </c>
      <c r="G1625" s="8">
        <f>ROUND('Criaturas - Base de Dados'!I272*'Sistema de Raridade e Evolução'!E5,0)</f>
        <v>306</v>
      </c>
      <c r="H1625" s="8">
        <f>ROUND('Criaturas - Base de Dados'!J272*'Sistema de Raridade e Evolução'!E5,0)</f>
        <v>252</v>
      </c>
      <c r="I1625" s="8">
        <f>ROUND('Criaturas - Base de Dados'!K272*'Sistema de Raridade e Evolução'!E5,0)</f>
        <v>1620</v>
      </c>
      <c r="J1625" s="8">
        <f>'Sistema de Raridade e Evolução'!D5</f>
        <v>31</v>
      </c>
      <c r="K1625" s="8" t="s">
        <v>11</v>
      </c>
      <c r="L1625" s="9">
        <f t="shared" si="25"/>
        <v>1200000</v>
      </c>
    </row>
    <row r="1626" spans="1:12" ht="14.25" hidden="1" customHeight="1" x14ac:dyDescent="0.3">
      <c r="A1626" s="8">
        <v>1625</v>
      </c>
      <c r="B1626" s="8" t="str">
        <f>'Criaturas - Base de Dados'!B272</f>
        <v>Névoa Espectral</v>
      </c>
      <c r="C1626" s="8" t="str">
        <f>'Criaturas - Base de Dados'!C272</f>
        <v>Fantasma</v>
      </c>
      <c r="D1626" s="8" t="str">
        <f>'Criaturas - Base de Dados'!D272</f>
        <v>Ánima Errante</v>
      </c>
      <c r="E1626" s="8" t="str">
        <f>'Sistema de Raridade e Evolução'!B6</f>
        <v>Platina</v>
      </c>
      <c r="F1626" s="9">
        <f>ROUND(('Criaturas - Base de Dados'!H272*'Sistema de Raridade e Evolução'!E6)*1000,2)</f>
        <v>1400000</v>
      </c>
      <c r="G1626" s="8">
        <f>ROUND('Criaturas - Base de Dados'!I272*'Sistema de Raridade e Evolução'!E6,0)</f>
        <v>850</v>
      </c>
      <c r="H1626" s="8">
        <f>ROUND('Criaturas - Base de Dados'!J272*'Sistema de Raridade e Evolução'!E6,0)</f>
        <v>700</v>
      </c>
      <c r="I1626" s="8">
        <f>ROUND('Criaturas - Base de Dados'!K272*'Sistema de Raridade e Evolução'!E6,0)</f>
        <v>4500</v>
      </c>
      <c r="J1626" s="8">
        <f>'Sistema de Raridade e Evolução'!D6</f>
        <v>56</v>
      </c>
      <c r="K1626" s="8" t="s">
        <v>12</v>
      </c>
      <c r="L1626" s="9">
        <f t="shared" si="25"/>
        <v>3333333.33</v>
      </c>
    </row>
    <row r="1627" spans="1:12" ht="14.25" hidden="1" customHeight="1" x14ac:dyDescent="0.3">
      <c r="A1627" s="8">
        <v>1626</v>
      </c>
      <c r="B1627" s="8" t="str">
        <f>'Criaturas - Base de Dados'!B272</f>
        <v>Névoa Espectral</v>
      </c>
      <c r="C1627" s="8" t="str">
        <f>'Criaturas - Base de Dados'!C272</f>
        <v>Fantasma</v>
      </c>
      <c r="D1627" s="8" t="str">
        <f>'Criaturas - Base de Dados'!D272</f>
        <v>Ánima Errante</v>
      </c>
      <c r="E1627" s="8" t="str">
        <f>'Sistema de Raridade e Evolução'!B7</f>
        <v>Lendário</v>
      </c>
      <c r="F1627" s="9">
        <f>ROUND(('Criaturas - Base de Dados'!H272*'Sistema de Raridade e Evolução'!E7)*1000,2)</f>
        <v>4200000</v>
      </c>
      <c r="G1627" s="8">
        <f>ROUND('Criaturas - Base de Dados'!I272*'Sistema de Raridade e Evolução'!E7,0)</f>
        <v>2550</v>
      </c>
      <c r="H1627" s="8">
        <f>ROUND('Criaturas - Base de Dados'!J272*'Sistema de Raridade e Evolução'!E7,0)</f>
        <v>2100</v>
      </c>
      <c r="I1627" s="8">
        <f>ROUND('Criaturas - Base de Dados'!K272*'Sistema de Raridade e Evolução'!E7,0)</f>
        <v>13500</v>
      </c>
      <c r="J1627" s="8">
        <f>'Sistema de Raridade e Evolução'!D7</f>
        <v>91</v>
      </c>
      <c r="K1627" s="8" t="s">
        <v>925</v>
      </c>
      <c r="L1627" s="9">
        <f t="shared" si="25"/>
        <v>10000000</v>
      </c>
    </row>
    <row r="1628" spans="1:12" ht="14.25" customHeight="1" x14ac:dyDescent="0.3">
      <c r="A1628" s="8">
        <v>1627</v>
      </c>
      <c r="B1628" s="8" t="str">
        <f>'Criaturas - Base de Dados'!B273</f>
        <v>Névoa Espectral</v>
      </c>
      <c r="C1628" s="8" t="str">
        <f>'Criaturas - Base de Dados'!C273</f>
        <v>Fantasma</v>
      </c>
      <c r="D1628" s="8" t="str">
        <f>'Criaturas - Base de Dados'!D273</f>
        <v>Sudário Vivo</v>
      </c>
      <c r="E1628" s="8" t="str">
        <f>'Sistema de Raridade e Evolução'!B2</f>
        <v>Default</v>
      </c>
      <c r="F1628" s="9" t="e">
        <f>ROUND(('Criaturas - Base de Dados'!H273*'Sistema de Raridade e Evolução'!E2)*1000,2)</f>
        <v>#VALUE!</v>
      </c>
      <c r="G1628" s="8" t="e">
        <f>ROUND('Criaturas - Base de Dados'!I273*'Sistema de Raridade e Evolução'!E2,0)</f>
        <v>#VALUE!</v>
      </c>
      <c r="H1628" s="8" t="e">
        <f>ROUND('Criaturas - Base de Dados'!J273*'Sistema de Raridade e Evolução'!E2,0)</f>
        <v>#VALUE!</v>
      </c>
      <c r="I1628" s="8" t="e">
        <f>ROUND('Criaturas - Base de Dados'!K273*'Sistema de Raridade e Evolução'!E2,0)</f>
        <v>#VALUE!</v>
      </c>
      <c r="J1628" s="8">
        <f>'Sistema de Raridade e Evolução'!D2</f>
        <v>1</v>
      </c>
      <c r="K1628" s="8" t="s">
        <v>8</v>
      </c>
      <c r="L1628" s="9" t="e">
        <f t="shared" si="25"/>
        <v>#VALUE!</v>
      </c>
    </row>
    <row r="1629" spans="1:12" ht="14.25" hidden="1" customHeight="1" x14ac:dyDescent="0.3">
      <c r="A1629" s="8">
        <v>1628</v>
      </c>
      <c r="B1629" s="8" t="str">
        <f>'Criaturas - Base de Dados'!B273</f>
        <v>Névoa Espectral</v>
      </c>
      <c r="C1629" s="8" t="str">
        <f>'Criaturas - Base de Dados'!C273</f>
        <v>Fantasma</v>
      </c>
      <c r="D1629" s="8" t="str">
        <f>'Criaturas - Base de Dados'!D273</f>
        <v>Sudário Vivo</v>
      </c>
      <c r="E1629" s="8" t="str">
        <f>'Sistema de Raridade e Evolução'!B3</f>
        <v>Bronze</v>
      </c>
      <c r="F1629" s="9">
        <f>ROUND(('Criaturas - Base de Dados'!H273*'Sistema de Raridade e Evolução'!E3)*1000,2)</f>
        <v>30000</v>
      </c>
      <c r="G1629" s="8">
        <f>ROUND('Criaturas - Base de Dados'!I273*'Sistema de Raridade e Evolução'!E3,0)</f>
        <v>18</v>
      </c>
      <c r="H1629" s="8">
        <f>ROUND('Criaturas - Base de Dados'!J273*'Sistema de Raridade e Evolução'!E3,0)</f>
        <v>15</v>
      </c>
      <c r="I1629" s="8">
        <f>ROUND('Criaturas - Base de Dados'!K273*'Sistema de Raridade e Evolução'!E3,0)</f>
        <v>96</v>
      </c>
      <c r="J1629" s="8">
        <f>'Sistema de Raridade e Evolução'!D3</f>
        <v>6</v>
      </c>
      <c r="K1629" s="8" t="s">
        <v>9</v>
      </c>
      <c r="L1629" s="9">
        <f t="shared" si="25"/>
        <v>71428.570000000007</v>
      </c>
    </row>
    <row r="1630" spans="1:12" ht="14.25" hidden="1" customHeight="1" x14ac:dyDescent="0.3">
      <c r="A1630" s="8">
        <v>1629</v>
      </c>
      <c r="B1630" s="8" t="str">
        <f>'Criaturas - Base de Dados'!B273</f>
        <v>Névoa Espectral</v>
      </c>
      <c r="C1630" s="8" t="str">
        <f>'Criaturas - Base de Dados'!C273</f>
        <v>Fantasma</v>
      </c>
      <c r="D1630" s="8" t="str">
        <f>'Criaturas - Base de Dados'!D273</f>
        <v>Sudário Vivo</v>
      </c>
      <c r="E1630" s="8" t="str">
        <f>'Sistema de Raridade e Evolução'!B4</f>
        <v>Prata</v>
      </c>
      <c r="F1630" s="9">
        <f>ROUND(('Criaturas - Base de Dados'!H273*'Sistema de Raridade e Evolução'!E4)*1000,2)</f>
        <v>180000</v>
      </c>
      <c r="G1630" s="8">
        <f>ROUND('Criaturas - Base de Dados'!I273*'Sistema de Raridade e Evolução'!E4,0)</f>
        <v>108</v>
      </c>
      <c r="H1630" s="8">
        <f>ROUND('Criaturas - Base de Dados'!J273*'Sistema de Raridade e Evolução'!E4,0)</f>
        <v>90</v>
      </c>
      <c r="I1630" s="8">
        <f>ROUND('Criaturas - Base de Dados'!K273*'Sistema de Raridade e Evolução'!E4,0)</f>
        <v>576</v>
      </c>
      <c r="J1630" s="8">
        <f>'Sistema de Raridade e Evolução'!D4</f>
        <v>16</v>
      </c>
      <c r="K1630" s="8" t="s">
        <v>10</v>
      </c>
      <c r="L1630" s="9">
        <f t="shared" si="25"/>
        <v>428571.43</v>
      </c>
    </row>
    <row r="1631" spans="1:12" ht="14.25" hidden="1" customHeight="1" x14ac:dyDescent="0.3">
      <c r="A1631" s="8">
        <v>1630</v>
      </c>
      <c r="B1631" s="8" t="str">
        <f>'Criaturas - Base de Dados'!B273</f>
        <v>Névoa Espectral</v>
      </c>
      <c r="C1631" s="8" t="str">
        <f>'Criaturas - Base de Dados'!C273</f>
        <v>Fantasma</v>
      </c>
      <c r="D1631" s="8" t="str">
        <f>'Criaturas - Base de Dados'!D273</f>
        <v>Sudário Vivo</v>
      </c>
      <c r="E1631" s="8" t="str">
        <f>'Sistema de Raridade e Evolução'!B5</f>
        <v>Ouro</v>
      </c>
      <c r="F1631" s="9">
        <f>ROUND(('Criaturas - Base de Dados'!H273*'Sistema de Raridade e Evolução'!E5)*1000,2)</f>
        <v>540000</v>
      </c>
      <c r="G1631" s="8">
        <f>ROUND('Criaturas - Base de Dados'!I273*'Sistema de Raridade e Evolução'!E5,0)</f>
        <v>324</v>
      </c>
      <c r="H1631" s="8">
        <f>ROUND('Criaturas - Base de Dados'!J273*'Sistema de Raridade e Evolução'!E5,0)</f>
        <v>270</v>
      </c>
      <c r="I1631" s="8">
        <f>ROUND('Criaturas - Base de Dados'!K273*'Sistema de Raridade e Evolução'!E5,0)</f>
        <v>1728</v>
      </c>
      <c r="J1631" s="8">
        <f>'Sistema de Raridade e Evolução'!D5</f>
        <v>31</v>
      </c>
      <c r="K1631" s="8" t="s">
        <v>11</v>
      </c>
      <c r="L1631" s="9">
        <f t="shared" si="25"/>
        <v>1285714.29</v>
      </c>
    </row>
    <row r="1632" spans="1:12" ht="14.25" hidden="1" customHeight="1" x14ac:dyDescent="0.3">
      <c r="A1632" s="8">
        <v>1631</v>
      </c>
      <c r="B1632" s="8" t="str">
        <f>'Criaturas - Base de Dados'!B273</f>
        <v>Névoa Espectral</v>
      </c>
      <c r="C1632" s="8" t="str">
        <f>'Criaturas - Base de Dados'!C273</f>
        <v>Fantasma</v>
      </c>
      <c r="D1632" s="8" t="str">
        <f>'Criaturas - Base de Dados'!D273</f>
        <v>Sudário Vivo</v>
      </c>
      <c r="E1632" s="8" t="str">
        <f>'Sistema de Raridade e Evolução'!B6</f>
        <v>Platina</v>
      </c>
      <c r="F1632" s="9">
        <f>ROUND(('Criaturas - Base de Dados'!H273*'Sistema de Raridade e Evolução'!E6)*1000,2)</f>
        <v>1500000</v>
      </c>
      <c r="G1632" s="8">
        <f>ROUND('Criaturas - Base de Dados'!I273*'Sistema de Raridade e Evolução'!E6,0)</f>
        <v>900</v>
      </c>
      <c r="H1632" s="8">
        <f>ROUND('Criaturas - Base de Dados'!J273*'Sistema de Raridade e Evolução'!E6,0)</f>
        <v>750</v>
      </c>
      <c r="I1632" s="8">
        <f>ROUND('Criaturas - Base de Dados'!K273*'Sistema de Raridade e Evolução'!E6,0)</f>
        <v>4800</v>
      </c>
      <c r="J1632" s="8">
        <f>'Sistema de Raridade e Evolução'!D6</f>
        <v>56</v>
      </c>
      <c r="K1632" s="8" t="s">
        <v>12</v>
      </c>
      <c r="L1632" s="9">
        <f t="shared" si="25"/>
        <v>3571428.57</v>
      </c>
    </row>
    <row r="1633" spans="1:12" ht="14.25" hidden="1" customHeight="1" x14ac:dyDescent="0.3">
      <c r="A1633" s="8">
        <v>1632</v>
      </c>
      <c r="B1633" s="8" t="str">
        <f>'Criaturas - Base de Dados'!B273</f>
        <v>Névoa Espectral</v>
      </c>
      <c r="C1633" s="8" t="str">
        <f>'Criaturas - Base de Dados'!C273</f>
        <v>Fantasma</v>
      </c>
      <c r="D1633" s="8" t="str">
        <f>'Criaturas - Base de Dados'!D273</f>
        <v>Sudário Vivo</v>
      </c>
      <c r="E1633" s="8" t="str">
        <f>'Sistema de Raridade e Evolução'!B7</f>
        <v>Lendário</v>
      </c>
      <c r="F1633" s="9">
        <f>ROUND(('Criaturas - Base de Dados'!H273*'Sistema de Raridade e Evolução'!E7)*1000,2)</f>
        <v>4500000</v>
      </c>
      <c r="G1633" s="8">
        <f>ROUND('Criaturas - Base de Dados'!I273*'Sistema de Raridade e Evolução'!E7,0)</f>
        <v>2700</v>
      </c>
      <c r="H1633" s="8">
        <f>ROUND('Criaturas - Base de Dados'!J273*'Sistema de Raridade e Evolução'!E7,0)</f>
        <v>2250</v>
      </c>
      <c r="I1633" s="8">
        <f>ROUND('Criaturas - Base de Dados'!K273*'Sistema de Raridade e Evolução'!E7,0)</f>
        <v>14400</v>
      </c>
      <c r="J1633" s="8">
        <f>'Sistema de Raridade e Evolução'!D7</f>
        <v>91</v>
      </c>
      <c r="K1633" s="8" t="s">
        <v>925</v>
      </c>
      <c r="L1633" s="9">
        <f t="shared" si="25"/>
        <v>10714285.710000001</v>
      </c>
    </row>
    <row r="1634" spans="1:12" ht="14.25" customHeight="1" x14ac:dyDescent="0.3">
      <c r="A1634" s="8">
        <v>1633</v>
      </c>
      <c r="B1634" s="8" t="str">
        <f>'Criaturas - Base de Dados'!B274</f>
        <v>Névoa Espectral</v>
      </c>
      <c r="C1634" s="8" t="str">
        <f>'Criaturas - Base de Dados'!C274</f>
        <v>Fantasma</v>
      </c>
      <c r="D1634" s="8" t="str">
        <f>'Criaturas - Base de Dados'!D274</f>
        <v>Espectro da Torre</v>
      </c>
      <c r="E1634" s="8" t="str">
        <f>'Sistema de Raridade e Evolução'!B2</f>
        <v>Default</v>
      </c>
      <c r="F1634" s="9" t="e">
        <f>ROUND(('Criaturas - Base de Dados'!H274*'Sistema de Raridade e Evolução'!E2)*1000,2)</f>
        <v>#VALUE!</v>
      </c>
      <c r="G1634" s="8" t="e">
        <f>ROUND('Criaturas - Base de Dados'!I274*'Sistema de Raridade e Evolução'!E2,0)</f>
        <v>#VALUE!</v>
      </c>
      <c r="H1634" s="8" t="e">
        <f>ROUND('Criaturas - Base de Dados'!J274*'Sistema de Raridade e Evolução'!E2,0)</f>
        <v>#VALUE!</v>
      </c>
      <c r="I1634" s="8" t="e">
        <f>ROUND('Criaturas - Base de Dados'!K274*'Sistema de Raridade e Evolução'!E2,0)</f>
        <v>#VALUE!</v>
      </c>
      <c r="J1634" s="8">
        <f>'Sistema de Raridade e Evolução'!D2</f>
        <v>1</v>
      </c>
      <c r="K1634" s="8" t="s">
        <v>8</v>
      </c>
      <c r="L1634" s="9" t="e">
        <f t="shared" si="25"/>
        <v>#VALUE!</v>
      </c>
    </row>
    <row r="1635" spans="1:12" ht="14.25" hidden="1" customHeight="1" x14ac:dyDescent="0.3">
      <c r="A1635" s="8">
        <v>1634</v>
      </c>
      <c r="B1635" s="8" t="str">
        <f>'Criaturas - Base de Dados'!B274</f>
        <v>Névoa Espectral</v>
      </c>
      <c r="C1635" s="8" t="str">
        <f>'Criaturas - Base de Dados'!C274</f>
        <v>Fantasma</v>
      </c>
      <c r="D1635" s="8" t="str">
        <f>'Criaturas - Base de Dados'!D274</f>
        <v>Espectro da Torre</v>
      </c>
      <c r="E1635" s="8" t="str">
        <f>'Sistema de Raridade e Evolução'!B3</f>
        <v>Bronze</v>
      </c>
      <c r="F1635" s="9">
        <f>ROUND(('Criaturas - Base de Dados'!H274*'Sistema de Raridade e Evolução'!E3)*1000,2)</f>
        <v>34000</v>
      </c>
      <c r="G1635" s="8">
        <f>ROUND('Criaturas - Base de Dados'!I274*'Sistema de Raridade e Evolução'!E3,0)</f>
        <v>20</v>
      </c>
      <c r="H1635" s="8">
        <f>ROUND('Criaturas - Base de Dados'!J274*'Sistema de Raridade e Evolução'!E3,0)</f>
        <v>17</v>
      </c>
      <c r="I1635" s="8">
        <f>ROUND('Criaturas - Base de Dados'!K274*'Sistema de Raridade e Evolução'!E3,0)</f>
        <v>109</v>
      </c>
      <c r="J1635" s="8">
        <f>'Sistema de Raridade e Evolução'!D3</f>
        <v>6</v>
      </c>
      <c r="K1635" s="8" t="s">
        <v>9</v>
      </c>
      <c r="L1635" s="9">
        <f t="shared" si="25"/>
        <v>80952.38</v>
      </c>
    </row>
    <row r="1636" spans="1:12" ht="14.25" hidden="1" customHeight="1" x14ac:dyDescent="0.3">
      <c r="A1636" s="8">
        <v>1635</v>
      </c>
      <c r="B1636" s="8" t="str">
        <f>'Criaturas - Base de Dados'!B274</f>
        <v>Névoa Espectral</v>
      </c>
      <c r="C1636" s="8" t="str">
        <f>'Criaturas - Base de Dados'!C274</f>
        <v>Fantasma</v>
      </c>
      <c r="D1636" s="8" t="str">
        <f>'Criaturas - Base de Dados'!D274</f>
        <v>Espectro da Torre</v>
      </c>
      <c r="E1636" s="8" t="str">
        <f>'Sistema de Raridade e Evolução'!B4</f>
        <v>Prata</v>
      </c>
      <c r="F1636" s="9">
        <f>ROUND(('Criaturas - Base de Dados'!H274*'Sistema de Raridade e Evolução'!E4)*1000,2)</f>
        <v>204000</v>
      </c>
      <c r="G1636" s="8">
        <f>ROUND('Criaturas - Base de Dados'!I274*'Sistema de Raridade e Evolução'!E4,0)</f>
        <v>120</v>
      </c>
      <c r="H1636" s="8">
        <f>ROUND('Criaturas - Base de Dados'!J274*'Sistema de Raridade e Evolução'!E4,0)</f>
        <v>102</v>
      </c>
      <c r="I1636" s="8">
        <f>ROUND('Criaturas - Base de Dados'!K274*'Sistema de Raridade e Evolução'!E4,0)</f>
        <v>654</v>
      </c>
      <c r="J1636" s="8">
        <f>'Sistema de Raridade e Evolução'!D4</f>
        <v>16</v>
      </c>
      <c r="K1636" s="8" t="s">
        <v>10</v>
      </c>
      <c r="L1636" s="9">
        <f t="shared" si="25"/>
        <v>485714.29</v>
      </c>
    </row>
    <row r="1637" spans="1:12" ht="14.25" hidden="1" customHeight="1" x14ac:dyDescent="0.3">
      <c r="A1637" s="8">
        <v>1636</v>
      </c>
      <c r="B1637" s="8" t="str">
        <f>'Criaturas - Base de Dados'!B274</f>
        <v>Névoa Espectral</v>
      </c>
      <c r="C1637" s="8" t="str">
        <f>'Criaturas - Base de Dados'!C274</f>
        <v>Fantasma</v>
      </c>
      <c r="D1637" s="8" t="str">
        <f>'Criaturas - Base de Dados'!D274</f>
        <v>Espectro da Torre</v>
      </c>
      <c r="E1637" s="8" t="str">
        <f>'Sistema de Raridade e Evolução'!B5</f>
        <v>Ouro</v>
      </c>
      <c r="F1637" s="9">
        <f>ROUND(('Criaturas - Base de Dados'!H274*'Sistema de Raridade e Evolução'!E5)*1000,2)</f>
        <v>612000</v>
      </c>
      <c r="G1637" s="8">
        <f>ROUND('Criaturas - Base de Dados'!I274*'Sistema de Raridade e Evolução'!E5,0)</f>
        <v>360</v>
      </c>
      <c r="H1637" s="8">
        <f>ROUND('Criaturas - Base de Dados'!J274*'Sistema de Raridade e Evolução'!E5,0)</f>
        <v>306</v>
      </c>
      <c r="I1637" s="8">
        <f>ROUND('Criaturas - Base de Dados'!K274*'Sistema de Raridade e Evolução'!E5,0)</f>
        <v>1962</v>
      </c>
      <c r="J1637" s="8">
        <f>'Sistema de Raridade e Evolução'!D5</f>
        <v>31</v>
      </c>
      <c r="K1637" s="8" t="s">
        <v>11</v>
      </c>
      <c r="L1637" s="9">
        <f t="shared" si="25"/>
        <v>1457142.86</v>
      </c>
    </row>
    <row r="1638" spans="1:12" ht="14.25" hidden="1" customHeight="1" x14ac:dyDescent="0.3">
      <c r="A1638" s="8">
        <v>1637</v>
      </c>
      <c r="B1638" s="8" t="str">
        <f>'Criaturas - Base de Dados'!B274</f>
        <v>Névoa Espectral</v>
      </c>
      <c r="C1638" s="8" t="str">
        <f>'Criaturas - Base de Dados'!C274</f>
        <v>Fantasma</v>
      </c>
      <c r="D1638" s="8" t="str">
        <f>'Criaturas - Base de Dados'!D274</f>
        <v>Espectro da Torre</v>
      </c>
      <c r="E1638" s="8" t="str">
        <f>'Sistema de Raridade e Evolução'!B6</f>
        <v>Platina</v>
      </c>
      <c r="F1638" s="9">
        <f>ROUND(('Criaturas - Base de Dados'!H274*'Sistema de Raridade e Evolução'!E6)*1000,2)</f>
        <v>1700000</v>
      </c>
      <c r="G1638" s="8">
        <f>ROUND('Criaturas - Base de Dados'!I274*'Sistema de Raridade e Evolução'!E6,0)</f>
        <v>1000</v>
      </c>
      <c r="H1638" s="8">
        <f>ROUND('Criaturas - Base de Dados'!J274*'Sistema de Raridade e Evolução'!E6,0)</f>
        <v>850</v>
      </c>
      <c r="I1638" s="8">
        <f>ROUND('Criaturas - Base de Dados'!K274*'Sistema de Raridade e Evolução'!E6,0)</f>
        <v>5450</v>
      </c>
      <c r="J1638" s="8">
        <f>'Sistema de Raridade e Evolução'!D6</f>
        <v>56</v>
      </c>
      <c r="K1638" s="8" t="s">
        <v>12</v>
      </c>
      <c r="L1638" s="9">
        <f t="shared" si="25"/>
        <v>4047619.05</v>
      </c>
    </row>
    <row r="1639" spans="1:12" ht="14.25" hidden="1" customHeight="1" x14ac:dyDescent="0.3">
      <c r="A1639" s="8">
        <v>1638</v>
      </c>
      <c r="B1639" s="8" t="str">
        <f>'Criaturas - Base de Dados'!B274</f>
        <v>Névoa Espectral</v>
      </c>
      <c r="C1639" s="8" t="str">
        <f>'Criaturas - Base de Dados'!C274</f>
        <v>Fantasma</v>
      </c>
      <c r="D1639" s="8" t="str">
        <f>'Criaturas - Base de Dados'!D274</f>
        <v>Espectro da Torre</v>
      </c>
      <c r="E1639" s="8" t="str">
        <f>'Sistema de Raridade e Evolução'!B7</f>
        <v>Lendário</v>
      </c>
      <c r="F1639" s="9">
        <f>ROUND(('Criaturas - Base de Dados'!H274*'Sistema de Raridade e Evolução'!E7)*1000,2)</f>
        <v>5100000</v>
      </c>
      <c r="G1639" s="8">
        <f>ROUND('Criaturas - Base de Dados'!I274*'Sistema de Raridade e Evolução'!E7,0)</f>
        <v>3000</v>
      </c>
      <c r="H1639" s="8">
        <f>ROUND('Criaturas - Base de Dados'!J274*'Sistema de Raridade e Evolução'!E7,0)</f>
        <v>2550</v>
      </c>
      <c r="I1639" s="8">
        <f>ROUND('Criaturas - Base de Dados'!K274*'Sistema de Raridade e Evolução'!E7,0)</f>
        <v>16350</v>
      </c>
      <c r="J1639" s="8">
        <f>'Sistema de Raridade e Evolução'!D7</f>
        <v>91</v>
      </c>
      <c r="K1639" s="8" t="s">
        <v>925</v>
      </c>
      <c r="L1639" s="9">
        <f t="shared" si="25"/>
        <v>12142857.140000001</v>
      </c>
    </row>
    <row r="1640" spans="1:12" ht="14.25" customHeight="1" x14ac:dyDescent="0.3">
      <c r="A1640" s="8">
        <v>1639</v>
      </c>
      <c r="B1640" s="8" t="str">
        <f>'Criaturas - Base de Dados'!B275</f>
        <v>Névoa Espectral</v>
      </c>
      <c r="C1640" s="8" t="str">
        <f>'Criaturas - Base de Dados'!C275</f>
        <v>Fantasma</v>
      </c>
      <c r="D1640" s="8" t="str">
        <f>'Criaturas - Base de Dados'!D275</f>
        <v>Névoa Consciente</v>
      </c>
      <c r="E1640" s="8" t="str">
        <f>'Sistema de Raridade e Evolução'!B2</f>
        <v>Default</v>
      </c>
      <c r="F1640" s="9" t="e">
        <f>ROUND(('Criaturas - Base de Dados'!H275*'Sistema de Raridade e Evolução'!E2)*1000,2)</f>
        <v>#VALUE!</v>
      </c>
      <c r="G1640" s="8" t="e">
        <f>ROUND('Criaturas - Base de Dados'!I275*'Sistema de Raridade e Evolução'!E2,0)</f>
        <v>#VALUE!</v>
      </c>
      <c r="H1640" s="8" t="e">
        <f>ROUND('Criaturas - Base de Dados'!J275*'Sistema de Raridade e Evolução'!E2,0)</f>
        <v>#VALUE!</v>
      </c>
      <c r="I1640" s="8" t="e">
        <f>ROUND('Criaturas - Base de Dados'!K275*'Sistema de Raridade e Evolução'!E2,0)</f>
        <v>#VALUE!</v>
      </c>
      <c r="J1640" s="8">
        <f>'Sistema de Raridade e Evolução'!D2</f>
        <v>1</v>
      </c>
      <c r="K1640" s="8" t="s">
        <v>8</v>
      </c>
      <c r="L1640" s="9" t="e">
        <f t="shared" si="25"/>
        <v>#VALUE!</v>
      </c>
    </row>
    <row r="1641" spans="1:12" ht="14.25" hidden="1" customHeight="1" x14ac:dyDescent="0.3">
      <c r="A1641" s="8">
        <v>1640</v>
      </c>
      <c r="B1641" s="8" t="str">
        <f>'Criaturas - Base de Dados'!B275</f>
        <v>Névoa Espectral</v>
      </c>
      <c r="C1641" s="8" t="str">
        <f>'Criaturas - Base de Dados'!C275</f>
        <v>Fantasma</v>
      </c>
      <c r="D1641" s="8" t="str">
        <f>'Criaturas - Base de Dados'!D275</f>
        <v>Névoa Consciente</v>
      </c>
      <c r="E1641" s="8" t="str">
        <f>'Sistema de Raridade e Evolução'!B3</f>
        <v>Bronze</v>
      </c>
      <c r="F1641" s="9">
        <f>ROUND(('Criaturas - Base de Dados'!H275*'Sistema de Raridade e Evolução'!E3)*1000,2)</f>
        <v>36000</v>
      </c>
      <c r="G1641" s="8">
        <f>ROUND('Criaturas - Base de Dados'!I275*'Sistema de Raridade e Evolução'!E3,0)</f>
        <v>22</v>
      </c>
      <c r="H1641" s="8">
        <f>ROUND('Criaturas - Base de Dados'!J275*'Sistema de Raridade e Evolução'!E3,0)</f>
        <v>18</v>
      </c>
      <c r="I1641" s="8">
        <f>ROUND('Criaturas - Base de Dados'!K275*'Sistema de Raridade e Evolução'!E3,0)</f>
        <v>115</v>
      </c>
      <c r="J1641" s="8">
        <f>'Sistema de Raridade e Evolução'!D3</f>
        <v>6</v>
      </c>
      <c r="K1641" s="8" t="s">
        <v>9</v>
      </c>
      <c r="L1641" s="9">
        <f t="shared" si="25"/>
        <v>85714.29</v>
      </c>
    </row>
    <row r="1642" spans="1:12" ht="14.25" hidden="1" customHeight="1" x14ac:dyDescent="0.3">
      <c r="A1642" s="8">
        <v>1641</v>
      </c>
      <c r="B1642" s="8" t="str">
        <f>'Criaturas - Base de Dados'!B275</f>
        <v>Névoa Espectral</v>
      </c>
      <c r="C1642" s="8" t="str">
        <f>'Criaturas - Base de Dados'!C275</f>
        <v>Fantasma</v>
      </c>
      <c r="D1642" s="8" t="str">
        <f>'Criaturas - Base de Dados'!D275</f>
        <v>Névoa Consciente</v>
      </c>
      <c r="E1642" s="8" t="str">
        <f>'Sistema de Raridade e Evolução'!B4</f>
        <v>Prata</v>
      </c>
      <c r="F1642" s="9">
        <f>ROUND(('Criaturas - Base de Dados'!H275*'Sistema de Raridade e Evolução'!E4)*1000,2)</f>
        <v>216000</v>
      </c>
      <c r="G1642" s="8">
        <f>ROUND('Criaturas - Base de Dados'!I275*'Sistema de Raridade e Evolução'!E4,0)</f>
        <v>132</v>
      </c>
      <c r="H1642" s="8">
        <f>ROUND('Criaturas - Base de Dados'!J275*'Sistema de Raridade e Evolução'!E4,0)</f>
        <v>108</v>
      </c>
      <c r="I1642" s="8">
        <f>ROUND('Criaturas - Base de Dados'!K275*'Sistema de Raridade e Evolução'!E4,0)</f>
        <v>690</v>
      </c>
      <c r="J1642" s="8">
        <f>'Sistema de Raridade e Evolução'!D4</f>
        <v>16</v>
      </c>
      <c r="K1642" s="8" t="s">
        <v>10</v>
      </c>
      <c r="L1642" s="9">
        <f t="shared" si="25"/>
        <v>514285.71</v>
      </c>
    </row>
    <row r="1643" spans="1:12" ht="14.25" hidden="1" customHeight="1" x14ac:dyDescent="0.3">
      <c r="A1643" s="8">
        <v>1642</v>
      </c>
      <c r="B1643" s="8" t="str">
        <f>'Criaturas - Base de Dados'!B275</f>
        <v>Névoa Espectral</v>
      </c>
      <c r="C1643" s="8" t="str">
        <f>'Criaturas - Base de Dados'!C275</f>
        <v>Fantasma</v>
      </c>
      <c r="D1643" s="8" t="str">
        <f>'Criaturas - Base de Dados'!D275</f>
        <v>Névoa Consciente</v>
      </c>
      <c r="E1643" s="8" t="str">
        <f>'Sistema de Raridade e Evolução'!B5</f>
        <v>Ouro</v>
      </c>
      <c r="F1643" s="9">
        <f>ROUND(('Criaturas - Base de Dados'!H275*'Sistema de Raridade e Evolução'!E5)*1000,2)</f>
        <v>648000</v>
      </c>
      <c r="G1643" s="8">
        <f>ROUND('Criaturas - Base de Dados'!I275*'Sistema de Raridade e Evolução'!E5,0)</f>
        <v>396</v>
      </c>
      <c r="H1643" s="8">
        <f>ROUND('Criaturas - Base de Dados'!J275*'Sistema de Raridade e Evolução'!E5,0)</f>
        <v>324</v>
      </c>
      <c r="I1643" s="8">
        <f>ROUND('Criaturas - Base de Dados'!K275*'Sistema de Raridade e Evolução'!E5,0)</f>
        <v>2070</v>
      </c>
      <c r="J1643" s="8">
        <f>'Sistema de Raridade e Evolução'!D5</f>
        <v>31</v>
      </c>
      <c r="K1643" s="8" t="s">
        <v>11</v>
      </c>
      <c r="L1643" s="9">
        <f t="shared" si="25"/>
        <v>1542857.14</v>
      </c>
    </row>
    <row r="1644" spans="1:12" ht="14.25" hidden="1" customHeight="1" x14ac:dyDescent="0.3">
      <c r="A1644" s="8">
        <v>1643</v>
      </c>
      <c r="B1644" s="8" t="str">
        <f>'Criaturas - Base de Dados'!B275</f>
        <v>Névoa Espectral</v>
      </c>
      <c r="C1644" s="8" t="str">
        <f>'Criaturas - Base de Dados'!C275</f>
        <v>Fantasma</v>
      </c>
      <c r="D1644" s="8" t="str">
        <f>'Criaturas - Base de Dados'!D275</f>
        <v>Névoa Consciente</v>
      </c>
      <c r="E1644" s="8" t="str">
        <f>'Sistema de Raridade e Evolução'!B6</f>
        <v>Platina</v>
      </c>
      <c r="F1644" s="9">
        <f>ROUND(('Criaturas - Base de Dados'!H275*'Sistema de Raridade e Evolução'!E6)*1000,2)</f>
        <v>1800000</v>
      </c>
      <c r="G1644" s="8">
        <f>ROUND('Criaturas - Base de Dados'!I275*'Sistema de Raridade e Evolução'!E6,0)</f>
        <v>1100</v>
      </c>
      <c r="H1644" s="8">
        <f>ROUND('Criaturas - Base de Dados'!J275*'Sistema de Raridade e Evolução'!E6,0)</f>
        <v>900</v>
      </c>
      <c r="I1644" s="8">
        <f>ROUND('Criaturas - Base de Dados'!K275*'Sistema de Raridade e Evolução'!E6,0)</f>
        <v>5750</v>
      </c>
      <c r="J1644" s="8">
        <f>'Sistema de Raridade e Evolução'!D6</f>
        <v>56</v>
      </c>
      <c r="K1644" s="8" t="s">
        <v>12</v>
      </c>
      <c r="L1644" s="9">
        <f t="shared" si="25"/>
        <v>4285714.29</v>
      </c>
    </row>
    <row r="1645" spans="1:12" ht="14.25" hidden="1" customHeight="1" x14ac:dyDescent="0.3">
      <c r="A1645" s="8">
        <v>1644</v>
      </c>
      <c r="B1645" s="8" t="str">
        <f>'Criaturas - Base de Dados'!B275</f>
        <v>Névoa Espectral</v>
      </c>
      <c r="C1645" s="8" t="str">
        <f>'Criaturas - Base de Dados'!C275</f>
        <v>Fantasma</v>
      </c>
      <c r="D1645" s="8" t="str">
        <f>'Criaturas - Base de Dados'!D275</f>
        <v>Névoa Consciente</v>
      </c>
      <c r="E1645" s="8" t="str">
        <f>'Sistema de Raridade e Evolução'!B7</f>
        <v>Lendário</v>
      </c>
      <c r="F1645" s="9">
        <f>ROUND(('Criaturas - Base de Dados'!H275*'Sistema de Raridade e Evolução'!E7)*1000,2)</f>
        <v>5400000</v>
      </c>
      <c r="G1645" s="8">
        <f>ROUND('Criaturas - Base de Dados'!I275*'Sistema de Raridade e Evolução'!E7,0)</f>
        <v>3300</v>
      </c>
      <c r="H1645" s="8">
        <f>ROUND('Criaturas - Base de Dados'!J275*'Sistema de Raridade e Evolução'!E7,0)</f>
        <v>2700</v>
      </c>
      <c r="I1645" s="8">
        <f>ROUND('Criaturas - Base de Dados'!K275*'Sistema de Raridade e Evolução'!E7,0)</f>
        <v>17250</v>
      </c>
      <c r="J1645" s="8">
        <f>'Sistema de Raridade e Evolução'!D7</f>
        <v>91</v>
      </c>
      <c r="K1645" s="8" t="s">
        <v>925</v>
      </c>
      <c r="L1645" s="9">
        <f t="shared" si="25"/>
        <v>12857142.859999999</v>
      </c>
    </row>
    <row r="1646" spans="1:12" ht="14.25" customHeight="1" x14ac:dyDescent="0.3">
      <c r="A1646" s="8">
        <v>1645</v>
      </c>
      <c r="B1646" s="8" t="str">
        <f>'Criaturas - Base de Dados'!B276</f>
        <v>Névoa Espectral</v>
      </c>
      <c r="C1646" s="8" t="str">
        <f>'Criaturas - Base de Dados'!C276</f>
        <v>Fantasma</v>
      </c>
      <c r="D1646" s="8" t="str">
        <f>'Criaturas - Base de Dados'!D276</f>
        <v>Ecos de Batalha</v>
      </c>
      <c r="E1646" s="8" t="str">
        <f>'Sistema de Raridade e Evolução'!B2</f>
        <v>Default</v>
      </c>
      <c r="F1646" s="9" t="e">
        <f>ROUND(('Criaturas - Base de Dados'!H276*'Sistema de Raridade e Evolução'!E2)*1000,2)</f>
        <v>#VALUE!</v>
      </c>
      <c r="G1646" s="8" t="e">
        <f>ROUND('Criaturas - Base de Dados'!I276*'Sistema de Raridade e Evolução'!E2,0)</f>
        <v>#VALUE!</v>
      </c>
      <c r="H1646" s="8" t="e">
        <f>ROUND('Criaturas - Base de Dados'!J276*'Sistema de Raridade e Evolução'!E2,0)</f>
        <v>#VALUE!</v>
      </c>
      <c r="I1646" s="8" t="e">
        <f>ROUND('Criaturas - Base de Dados'!K276*'Sistema de Raridade e Evolução'!E2,0)</f>
        <v>#VALUE!</v>
      </c>
      <c r="J1646" s="8">
        <f>'Sistema de Raridade e Evolução'!D2</f>
        <v>1</v>
      </c>
      <c r="K1646" s="8" t="s">
        <v>8</v>
      </c>
      <c r="L1646" s="9" t="e">
        <f t="shared" si="25"/>
        <v>#VALUE!</v>
      </c>
    </row>
    <row r="1647" spans="1:12" ht="14.25" hidden="1" customHeight="1" x14ac:dyDescent="0.3">
      <c r="A1647" s="8">
        <v>1646</v>
      </c>
      <c r="B1647" s="8" t="str">
        <f>'Criaturas - Base de Dados'!B276</f>
        <v>Névoa Espectral</v>
      </c>
      <c r="C1647" s="8" t="str">
        <f>'Criaturas - Base de Dados'!C276</f>
        <v>Fantasma</v>
      </c>
      <c r="D1647" s="8" t="str">
        <f>'Criaturas - Base de Dados'!D276</f>
        <v>Ecos de Batalha</v>
      </c>
      <c r="E1647" s="8" t="str">
        <f>'Sistema de Raridade e Evolução'!B3</f>
        <v>Bronze</v>
      </c>
      <c r="F1647" s="9">
        <f>ROUND(('Criaturas - Base de Dados'!H276*'Sistema de Raridade e Evolução'!E3)*1000,2)</f>
        <v>38000</v>
      </c>
      <c r="G1647" s="8">
        <f>ROUND('Criaturas - Base de Dados'!I276*'Sistema de Raridade e Evolução'!E3,0)</f>
        <v>23</v>
      </c>
      <c r="H1647" s="8">
        <f>ROUND('Criaturas - Base de Dados'!J276*'Sistema de Raridade e Evolução'!E3,0)</f>
        <v>19</v>
      </c>
      <c r="I1647" s="8">
        <f>ROUND('Criaturas - Base de Dados'!K276*'Sistema de Raridade e Evolução'!E3,0)</f>
        <v>122</v>
      </c>
      <c r="J1647" s="8">
        <f>'Sistema de Raridade e Evolução'!D3</f>
        <v>6</v>
      </c>
      <c r="K1647" s="8" t="s">
        <v>9</v>
      </c>
      <c r="L1647" s="9">
        <f t="shared" si="25"/>
        <v>90476.19</v>
      </c>
    </row>
    <row r="1648" spans="1:12" ht="14.25" hidden="1" customHeight="1" x14ac:dyDescent="0.3">
      <c r="A1648" s="8">
        <v>1647</v>
      </c>
      <c r="B1648" s="8" t="str">
        <f>'Criaturas - Base de Dados'!B276</f>
        <v>Névoa Espectral</v>
      </c>
      <c r="C1648" s="8" t="str">
        <f>'Criaturas - Base de Dados'!C276</f>
        <v>Fantasma</v>
      </c>
      <c r="D1648" s="8" t="str">
        <f>'Criaturas - Base de Dados'!D276</f>
        <v>Ecos de Batalha</v>
      </c>
      <c r="E1648" s="8" t="str">
        <f>'Sistema de Raridade e Evolução'!B4</f>
        <v>Prata</v>
      </c>
      <c r="F1648" s="9">
        <f>ROUND(('Criaturas - Base de Dados'!H276*'Sistema de Raridade e Evolução'!E4)*1000,2)</f>
        <v>228000</v>
      </c>
      <c r="G1648" s="8">
        <f>ROUND('Criaturas - Base de Dados'!I276*'Sistema de Raridade e Evolução'!E4,0)</f>
        <v>138</v>
      </c>
      <c r="H1648" s="8">
        <f>ROUND('Criaturas - Base de Dados'!J276*'Sistema de Raridade e Evolução'!E4,0)</f>
        <v>114</v>
      </c>
      <c r="I1648" s="8">
        <f>ROUND('Criaturas - Base de Dados'!K276*'Sistema de Raridade e Evolução'!E4,0)</f>
        <v>732</v>
      </c>
      <c r="J1648" s="8">
        <f>'Sistema de Raridade e Evolução'!D4</f>
        <v>16</v>
      </c>
      <c r="K1648" s="8" t="s">
        <v>10</v>
      </c>
      <c r="L1648" s="9">
        <f t="shared" si="25"/>
        <v>542857.14</v>
      </c>
    </row>
    <row r="1649" spans="1:12" ht="14.25" hidden="1" customHeight="1" x14ac:dyDescent="0.3">
      <c r="A1649" s="8">
        <v>1648</v>
      </c>
      <c r="B1649" s="8" t="str">
        <f>'Criaturas - Base de Dados'!B276</f>
        <v>Névoa Espectral</v>
      </c>
      <c r="C1649" s="8" t="str">
        <f>'Criaturas - Base de Dados'!C276</f>
        <v>Fantasma</v>
      </c>
      <c r="D1649" s="8" t="str">
        <f>'Criaturas - Base de Dados'!D276</f>
        <v>Ecos de Batalha</v>
      </c>
      <c r="E1649" s="8" t="str">
        <f>'Sistema de Raridade e Evolução'!B5</f>
        <v>Ouro</v>
      </c>
      <c r="F1649" s="9">
        <f>ROUND(('Criaturas - Base de Dados'!H276*'Sistema de Raridade e Evolução'!E5)*1000,2)</f>
        <v>684000</v>
      </c>
      <c r="G1649" s="8">
        <f>ROUND('Criaturas - Base de Dados'!I276*'Sistema de Raridade e Evolução'!E5,0)</f>
        <v>414</v>
      </c>
      <c r="H1649" s="8">
        <f>ROUND('Criaturas - Base de Dados'!J276*'Sistema de Raridade e Evolução'!E5,0)</f>
        <v>342</v>
      </c>
      <c r="I1649" s="8">
        <f>ROUND('Criaturas - Base de Dados'!K276*'Sistema de Raridade e Evolução'!E5,0)</f>
        <v>2196</v>
      </c>
      <c r="J1649" s="8">
        <f>'Sistema de Raridade e Evolução'!D5</f>
        <v>31</v>
      </c>
      <c r="K1649" s="8" t="s">
        <v>11</v>
      </c>
      <c r="L1649" s="9">
        <f t="shared" si="25"/>
        <v>1628571.43</v>
      </c>
    </row>
    <row r="1650" spans="1:12" ht="14.25" hidden="1" customHeight="1" x14ac:dyDescent="0.3">
      <c r="A1650" s="8">
        <v>1649</v>
      </c>
      <c r="B1650" s="8" t="str">
        <f>'Criaturas - Base de Dados'!B276</f>
        <v>Névoa Espectral</v>
      </c>
      <c r="C1650" s="8" t="str">
        <f>'Criaturas - Base de Dados'!C276</f>
        <v>Fantasma</v>
      </c>
      <c r="D1650" s="8" t="str">
        <f>'Criaturas - Base de Dados'!D276</f>
        <v>Ecos de Batalha</v>
      </c>
      <c r="E1650" s="8" t="str">
        <f>'Sistema de Raridade e Evolução'!B6</f>
        <v>Platina</v>
      </c>
      <c r="F1650" s="9">
        <f>ROUND(('Criaturas - Base de Dados'!H276*'Sistema de Raridade e Evolução'!E6)*1000,2)</f>
        <v>1900000</v>
      </c>
      <c r="G1650" s="8">
        <f>ROUND('Criaturas - Base de Dados'!I276*'Sistema de Raridade e Evolução'!E6,0)</f>
        <v>1150</v>
      </c>
      <c r="H1650" s="8">
        <f>ROUND('Criaturas - Base de Dados'!J276*'Sistema de Raridade e Evolução'!E6,0)</f>
        <v>950</v>
      </c>
      <c r="I1650" s="8">
        <f>ROUND('Criaturas - Base de Dados'!K276*'Sistema de Raridade e Evolução'!E6,0)</f>
        <v>6100</v>
      </c>
      <c r="J1650" s="8">
        <f>'Sistema de Raridade e Evolução'!D6</f>
        <v>56</v>
      </c>
      <c r="K1650" s="8" t="s">
        <v>12</v>
      </c>
      <c r="L1650" s="9">
        <f t="shared" si="25"/>
        <v>4523809.5199999996</v>
      </c>
    </row>
    <row r="1651" spans="1:12" ht="14.25" hidden="1" customHeight="1" x14ac:dyDescent="0.3">
      <c r="A1651" s="8">
        <v>1650</v>
      </c>
      <c r="B1651" s="8" t="str">
        <f>'Criaturas - Base de Dados'!B276</f>
        <v>Névoa Espectral</v>
      </c>
      <c r="C1651" s="8" t="str">
        <f>'Criaturas - Base de Dados'!C276</f>
        <v>Fantasma</v>
      </c>
      <c r="D1651" s="8" t="str">
        <f>'Criaturas - Base de Dados'!D276</f>
        <v>Ecos de Batalha</v>
      </c>
      <c r="E1651" s="8" t="str">
        <f>'Sistema de Raridade e Evolução'!B7</f>
        <v>Lendário</v>
      </c>
      <c r="F1651" s="9">
        <f>ROUND(('Criaturas - Base de Dados'!H276*'Sistema de Raridade e Evolução'!E7)*1000,2)</f>
        <v>5700000</v>
      </c>
      <c r="G1651" s="8">
        <f>ROUND('Criaturas - Base de Dados'!I276*'Sistema de Raridade e Evolução'!E7,0)</f>
        <v>3450</v>
      </c>
      <c r="H1651" s="8">
        <f>ROUND('Criaturas - Base de Dados'!J276*'Sistema de Raridade e Evolução'!E7,0)</f>
        <v>2850</v>
      </c>
      <c r="I1651" s="8">
        <f>ROUND('Criaturas - Base de Dados'!K276*'Sistema de Raridade e Evolução'!E7,0)</f>
        <v>18300</v>
      </c>
      <c r="J1651" s="8">
        <f>'Sistema de Raridade e Evolução'!D7</f>
        <v>91</v>
      </c>
      <c r="K1651" s="8" t="s">
        <v>925</v>
      </c>
      <c r="L1651" s="9">
        <f t="shared" si="25"/>
        <v>13571428.57</v>
      </c>
    </row>
    <row r="1652" spans="1:12" ht="14.25" customHeight="1" x14ac:dyDescent="0.3">
      <c r="A1652" s="8">
        <v>1651</v>
      </c>
      <c r="B1652" s="8" t="str">
        <f>'Criaturas - Base de Dados'!B277</f>
        <v>Névoa Espectral</v>
      </c>
      <c r="C1652" s="8" t="str">
        <f>'Criaturas - Base de Dados'!C277</f>
        <v>Fantasma</v>
      </c>
      <c r="D1652" s="8" t="str">
        <f>'Criaturas - Base de Dados'!D277</f>
        <v>Espírito do Espelho</v>
      </c>
      <c r="E1652" s="8" t="str">
        <f>'Sistema de Raridade e Evolução'!B2</f>
        <v>Default</v>
      </c>
      <c r="F1652" s="9" t="e">
        <f>ROUND(('Criaturas - Base de Dados'!H277*'Sistema de Raridade e Evolução'!E2)*1000,2)</f>
        <v>#VALUE!</v>
      </c>
      <c r="G1652" s="8" t="e">
        <f>ROUND('Criaturas - Base de Dados'!I277*'Sistema de Raridade e Evolução'!E2,0)</f>
        <v>#VALUE!</v>
      </c>
      <c r="H1652" s="8" t="e">
        <f>ROUND('Criaturas - Base de Dados'!J277*'Sistema de Raridade e Evolução'!E2,0)</f>
        <v>#VALUE!</v>
      </c>
      <c r="I1652" s="8" t="e">
        <f>ROUND('Criaturas - Base de Dados'!K277*'Sistema de Raridade e Evolução'!E2,0)</f>
        <v>#VALUE!</v>
      </c>
      <c r="J1652" s="8">
        <f>'Sistema de Raridade e Evolução'!D2</f>
        <v>1</v>
      </c>
      <c r="K1652" s="8" t="s">
        <v>8</v>
      </c>
      <c r="L1652" s="9" t="e">
        <f t="shared" si="25"/>
        <v>#VALUE!</v>
      </c>
    </row>
    <row r="1653" spans="1:12" ht="14.25" hidden="1" customHeight="1" x14ac:dyDescent="0.3">
      <c r="A1653" s="8">
        <v>1652</v>
      </c>
      <c r="B1653" s="8" t="str">
        <f>'Criaturas - Base de Dados'!B277</f>
        <v>Névoa Espectral</v>
      </c>
      <c r="C1653" s="8" t="str">
        <f>'Criaturas - Base de Dados'!C277</f>
        <v>Fantasma</v>
      </c>
      <c r="D1653" s="8" t="str">
        <f>'Criaturas - Base de Dados'!D277</f>
        <v>Espírito do Espelho</v>
      </c>
      <c r="E1653" s="8" t="str">
        <f>'Sistema de Raridade e Evolução'!B3</f>
        <v>Bronze</v>
      </c>
      <c r="F1653" s="9">
        <f>ROUND(('Criaturas - Base de Dados'!H277*'Sistema de Raridade e Evolução'!E3)*1000,2)</f>
        <v>54000</v>
      </c>
      <c r="G1653" s="8">
        <f>ROUND('Criaturas - Base de Dados'!I277*'Sistema de Raridade e Evolução'!E3,0)</f>
        <v>32</v>
      </c>
      <c r="H1653" s="8">
        <f>ROUND('Criaturas - Base de Dados'!J277*'Sistema de Raridade e Evolução'!E3,0)</f>
        <v>27</v>
      </c>
      <c r="I1653" s="8">
        <f>ROUND('Criaturas - Base de Dados'!K277*'Sistema de Raridade e Evolução'!E3,0)</f>
        <v>173</v>
      </c>
      <c r="J1653" s="8">
        <f>'Sistema de Raridade e Evolução'!D3</f>
        <v>6</v>
      </c>
      <c r="K1653" s="8" t="s">
        <v>9</v>
      </c>
      <c r="L1653" s="9">
        <f t="shared" si="25"/>
        <v>128571.43</v>
      </c>
    </row>
    <row r="1654" spans="1:12" ht="14.25" hidden="1" customHeight="1" x14ac:dyDescent="0.3">
      <c r="A1654" s="8">
        <v>1653</v>
      </c>
      <c r="B1654" s="8" t="str">
        <f>'Criaturas - Base de Dados'!B277</f>
        <v>Névoa Espectral</v>
      </c>
      <c r="C1654" s="8" t="str">
        <f>'Criaturas - Base de Dados'!C277</f>
        <v>Fantasma</v>
      </c>
      <c r="D1654" s="8" t="str">
        <f>'Criaturas - Base de Dados'!D277</f>
        <v>Espírito do Espelho</v>
      </c>
      <c r="E1654" s="8" t="str">
        <f>'Sistema de Raridade e Evolução'!B4</f>
        <v>Prata</v>
      </c>
      <c r="F1654" s="9">
        <f>ROUND(('Criaturas - Base de Dados'!H277*'Sistema de Raridade e Evolução'!E4)*1000,2)</f>
        <v>324000</v>
      </c>
      <c r="G1654" s="8">
        <f>ROUND('Criaturas - Base de Dados'!I277*'Sistema de Raridade e Evolução'!E4,0)</f>
        <v>192</v>
      </c>
      <c r="H1654" s="8">
        <f>ROUND('Criaturas - Base de Dados'!J277*'Sistema de Raridade e Evolução'!E4,0)</f>
        <v>162</v>
      </c>
      <c r="I1654" s="8">
        <f>ROUND('Criaturas - Base de Dados'!K277*'Sistema de Raridade e Evolução'!E4,0)</f>
        <v>1038</v>
      </c>
      <c r="J1654" s="8">
        <f>'Sistema de Raridade e Evolução'!D4</f>
        <v>16</v>
      </c>
      <c r="K1654" s="8" t="s">
        <v>10</v>
      </c>
      <c r="L1654" s="9">
        <f t="shared" si="25"/>
        <v>771428.57</v>
      </c>
    </row>
    <row r="1655" spans="1:12" ht="14.25" hidden="1" customHeight="1" x14ac:dyDescent="0.3">
      <c r="A1655" s="8">
        <v>1654</v>
      </c>
      <c r="B1655" s="8" t="str">
        <f>'Criaturas - Base de Dados'!B277</f>
        <v>Névoa Espectral</v>
      </c>
      <c r="C1655" s="8" t="str">
        <f>'Criaturas - Base de Dados'!C277</f>
        <v>Fantasma</v>
      </c>
      <c r="D1655" s="8" t="str">
        <f>'Criaturas - Base de Dados'!D277</f>
        <v>Espírito do Espelho</v>
      </c>
      <c r="E1655" s="8" t="str">
        <f>'Sistema de Raridade e Evolução'!B5</f>
        <v>Ouro</v>
      </c>
      <c r="F1655" s="9">
        <f>ROUND(('Criaturas - Base de Dados'!H277*'Sistema de Raridade e Evolução'!E5)*1000,2)</f>
        <v>972000</v>
      </c>
      <c r="G1655" s="8">
        <f>ROUND('Criaturas - Base de Dados'!I277*'Sistema de Raridade e Evolução'!E5,0)</f>
        <v>576</v>
      </c>
      <c r="H1655" s="8">
        <f>ROUND('Criaturas - Base de Dados'!J277*'Sistema de Raridade e Evolução'!E5,0)</f>
        <v>486</v>
      </c>
      <c r="I1655" s="8">
        <f>ROUND('Criaturas - Base de Dados'!K277*'Sistema de Raridade e Evolução'!E5,0)</f>
        <v>3114</v>
      </c>
      <c r="J1655" s="8">
        <f>'Sistema de Raridade e Evolução'!D5</f>
        <v>31</v>
      </c>
      <c r="K1655" s="8" t="s">
        <v>11</v>
      </c>
      <c r="L1655" s="9">
        <f t="shared" si="25"/>
        <v>2314285.71</v>
      </c>
    </row>
    <row r="1656" spans="1:12" ht="14.25" hidden="1" customHeight="1" x14ac:dyDescent="0.3">
      <c r="A1656" s="8">
        <v>1655</v>
      </c>
      <c r="B1656" s="8" t="str">
        <f>'Criaturas - Base de Dados'!B277</f>
        <v>Névoa Espectral</v>
      </c>
      <c r="C1656" s="8" t="str">
        <f>'Criaturas - Base de Dados'!C277</f>
        <v>Fantasma</v>
      </c>
      <c r="D1656" s="8" t="str">
        <f>'Criaturas - Base de Dados'!D277</f>
        <v>Espírito do Espelho</v>
      </c>
      <c r="E1656" s="8" t="str">
        <f>'Sistema de Raridade e Evolução'!B6</f>
        <v>Platina</v>
      </c>
      <c r="F1656" s="9">
        <f>ROUND(('Criaturas - Base de Dados'!H277*'Sistema de Raridade e Evolução'!E6)*1000,2)</f>
        <v>2700000</v>
      </c>
      <c r="G1656" s="8">
        <f>ROUND('Criaturas - Base de Dados'!I277*'Sistema de Raridade e Evolução'!E6,0)</f>
        <v>1600</v>
      </c>
      <c r="H1656" s="8">
        <f>ROUND('Criaturas - Base de Dados'!J277*'Sistema de Raridade e Evolução'!E6,0)</f>
        <v>1350</v>
      </c>
      <c r="I1656" s="8">
        <f>ROUND('Criaturas - Base de Dados'!K277*'Sistema de Raridade e Evolução'!E6,0)</f>
        <v>8650</v>
      </c>
      <c r="J1656" s="8">
        <f>'Sistema de Raridade e Evolução'!D6</f>
        <v>56</v>
      </c>
      <c r="K1656" s="8" t="s">
        <v>12</v>
      </c>
      <c r="L1656" s="9">
        <f t="shared" si="25"/>
        <v>6428571.4299999997</v>
      </c>
    </row>
    <row r="1657" spans="1:12" ht="14.25" hidden="1" customHeight="1" x14ac:dyDescent="0.3">
      <c r="A1657" s="8">
        <v>1656</v>
      </c>
      <c r="B1657" s="8" t="str">
        <f>'Criaturas - Base de Dados'!B277</f>
        <v>Névoa Espectral</v>
      </c>
      <c r="C1657" s="8" t="str">
        <f>'Criaturas - Base de Dados'!C277</f>
        <v>Fantasma</v>
      </c>
      <c r="D1657" s="8" t="str">
        <f>'Criaturas - Base de Dados'!D277</f>
        <v>Espírito do Espelho</v>
      </c>
      <c r="E1657" s="8" t="str">
        <f>'Sistema de Raridade e Evolução'!B7</f>
        <v>Lendário</v>
      </c>
      <c r="F1657" s="9">
        <f>ROUND(('Criaturas - Base de Dados'!H277*'Sistema de Raridade e Evolução'!E7)*1000,2)</f>
        <v>8100000</v>
      </c>
      <c r="G1657" s="8">
        <f>ROUND('Criaturas - Base de Dados'!I277*'Sistema de Raridade e Evolução'!E7,0)</f>
        <v>4800</v>
      </c>
      <c r="H1657" s="8">
        <f>ROUND('Criaturas - Base de Dados'!J277*'Sistema de Raridade e Evolução'!E7,0)</f>
        <v>4050</v>
      </c>
      <c r="I1657" s="8">
        <f>ROUND('Criaturas - Base de Dados'!K277*'Sistema de Raridade e Evolução'!E7,0)</f>
        <v>25950</v>
      </c>
      <c r="J1657" s="8">
        <f>'Sistema de Raridade e Evolução'!D7</f>
        <v>91</v>
      </c>
      <c r="K1657" s="8" t="s">
        <v>925</v>
      </c>
      <c r="L1657" s="9">
        <f t="shared" si="25"/>
        <v>19285714.289999999</v>
      </c>
    </row>
    <row r="1658" spans="1:12" ht="14.25" customHeight="1" x14ac:dyDescent="0.3">
      <c r="A1658" s="8">
        <v>1657</v>
      </c>
      <c r="B1658" s="8" t="str">
        <f>'Criaturas - Base de Dados'!B278</f>
        <v>Névoa Espectral</v>
      </c>
      <c r="C1658" s="8" t="str">
        <f>'Criaturas - Base de Dados'!C278</f>
        <v>Fantasma</v>
      </c>
      <c r="D1658" s="8" t="str">
        <f>'Criaturas - Base de Dados'!D278</f>
        <v>Ceifador Silencioso</v>
      </c>
      <c r="E1658" s="8" t="str">
        <f>'Sistema de Raridade e Evolução'!B2</f>
        <v>Default</v>
      </c>
      <c r="F1658" s="9" t="e">
        <f>ROUND(('Criaturas - Base de Dados'!H278*'Sistema de Raridade e Evolução'!E2)*1000,2)</f>
        <v>#VALUE!</v>
      </c>
      <c r="G1658" s="8" t="e">
        <f>ROUND('Criaturas - Base de Dados'!I278*'Sistema de Raridade e Evolução'!E2,0)</f>
        <v>#VALUE!</v>
      </c>
      <c r="H1658" s="8" t="e">
        <f>ROUND('Criaturas - Base de Dados'!J278*'Sistema de Raridade e Evolução'!E2,0)</f>
        <v>#VALUE!</v>
      </c>
      <c r="I1658" s="8" t="e">
        <f>ROUND('Criaturas - Base de Dados'!K278*'Sistema de Raridade e Evolução'!E2,0)</f>
        <v>#VALUE!</v>
      </c>
      <c r="J1658" s="8">
        <f>'Sistema de Raridade e Evolução'!D2</f>
        <v>1</v>
      </c>
      <c r="K1658" s="8" t="s">
        <v>8</v>
      </c>
      <c r="L1658" s="9" t="e">
        <f t="shared" si="25"/>
        <v>#VALUE!</v>
      </c>
    </row>
    <row r="1659" spans="1:12" ht="14.25" hidden="1" customHeight="1" x14ac:dyDescent="0.3">
      <c r="A1659" s="8">
        <v>1658</v>
      </c>
      <c r="B1659" s="8" t="str">
        <f>'Criaturas - Base de Dados'!B278</f>
        <v>Névoa Espectral</v>
      </c>
      <c r="C1659" s="8" t="str">
        <f>'Criaturas - Base de Dados'!C278</f>
        <v>Fantasma</v>
      </c>
      <c r="D1659" s="8" t="str">
        <f>'Criaturas - Base de Dados'!D278</f>
        <v>Ceifador Silencioso</v>
      </c>
      <c r="E1659" s="8" t="str">
        <f>'Sistema de Raridade e Evolução'!B3</f>
        <v>Bronze</v>
      </c>
      <c r="F1659" s="9">
        <f>ROUND(('Criaturas - Base de Dados'!H278*'Sistema de Raridade e Evolução'!E3)*1000,2)</f>
        <v>48000</v>
      </c>
      <c r="G1659" s="8">
        <f>ROUND('Criaturas - Base de Dados'!I278*'Sistema de Raridade e Evolução'!E3,0)</f>
        <v>29</v>
      </c>
      <c r="H1659" s="8">
        <f>ROUND('Criaturas - Base de Dados'!J278*'Sistema de Raridade e Evolução'!E3,0)</f>
        <v>24</v>
      </c>
      <c r="I1659" s="8">
        <f>ROUND('Criaturas - Base de Dados'!K278*'Sistema de Raridade e Evolução'!E3,0)</f>
        <v>154</v>
      </c>
      <c r="J1659" s="8">
        <f>'Sistema de Raridade e Evolução'!D3</f>
        <v>6</v>
      </c>
      <c r="K1659" s="8" t="s">
        <v>9</v>
      </c>
      <c r="L1659" s="9">
        <f t="shared" si="25"/>
        <v>114285.71</v>
      </c>
    </row>
    <row r="1660" spans="1:12" ht="14.25" hidden="1" customHeight="1" x14ac:dyDescent="0.3">
      <c r="A1660" s="8">
        <v>1659</v>
      </c>
      <c r="B1660" s="8" t="str">
        <f>'Criaturas - Base de Dados'!B278</f>
        <v>Névoa Espectral</v>
      </c>
      <c r="C1660" s="8" t="str">
        <f>'Criaturas - Base de Dados'!C278</f>
        <v>Fantasma</v>
      </c>
      <c r="D1660" s="8" t="str">
        <f>'Criaturas - Base de Dados'!D278</f>
        <v>Ceifador Silencioso</v>
      </c>
      <c r="E1660" s="8" t="str">
        <f>'Sistema de Raridade e Evolução'!B4</f>
        <v>Prata</v>
      </c>
      <c r="F1660" s="9">
        <f>ROUND(('Criaturas - Base de Dados'!H278*'Sistema de Raridade e Evolução'!E4)*1000,2)</f>
        <v>288000</v>
      </c>
      <c r="G1660" s="8">
        <f>ROUND('Criaturas - Base de Dados'!I278*'Sistema de Raridade e Evolução'!E4,0)</f>
        <v>174</v>
      </c>
      <c r="H1660" s="8">
        <f>ROUND('Criaturas - Base de Dados'!J278*'Sistema de Raridade e Evolução'!E4,0)</f>
        <v>144</v>
      </c>
      <c r="I1660" s="8">
        <f>ROUND('Criaturas - Base de Dados'!K278*'Sistema de Raridade e Evolução'!E4,0)</f>
        <v>924</v>
      </c>
      <c r="J1660" s="8">
        <f>'Sistema de Raridade e Evolução'!D4</f>
        <v>16</v>
      </c>
      <c r="K1660" s="8" t="s">
        <v>10</v>
      </c>
      <c r="L1660" s="9">
        <f t="shared" si="25"/>
        <v>685714.29</v>
      </c>
    </row>
    <row r="1661" spans="1:12" ht="14.25" hidden="1" customHeight="1" x14ac:dyDescent="0.3">
      <c r="A1661" s="8">
        <v>1660</v>
      </c>
      <c r="B1661" s="8" t="str">
        <f>'Criaturas - Base de Dados'!B278</f>
        <v>Névoa Espectral</v>
      </c>
      <c r="C1661" s="8" t="str">
        <f>'Criaturas - Base de Dados'!C278</f>
        <v>Fantasma</v>
      </c>
      <c r="D1661" s="8" t="str">
        <f>'Criaturas - Base de Dados'!D278</f>
        <v>Ceifador Silencioso</v>
      </c>
      <c r="E1661" s="8" t="str">
        <f>'Sistema de Raridade e Evolução'!B5</f>
        <v>Ouro</v>
      </c>
      <c r="F1661" s="9">
        <f>ROUND(('Criaturas - Base de Dados'!H278*'Sistema de Raridade e Evolução'!E5)*1000,2)</f>
        <v>864000</v>
      </c>
      <c r="G1661" s="8">
        <f>ROUND('Criaturas - Base de Dados'!I278*'Sistema de Raridade e Evolução'!E5,0)</f>
        <v>522</v>
      </c>
      <c r="H1661" s="8">
        <f>ROUND('Criaturas - Base de Dados'!J278*'Sistema de Raridade e Evolução'!E5,0)</f>
        <v>432</v>
      </c>
      <c r="I1661" s="8">
        <f>ROUND('Criaturas - Base de Dados'!K278*'Sistema de Raridade e Evolução'!E5,0)</f>
        <v>2772</v>
      </c>
      <c r="J1661" s="8">
        <f>'Sistema de Raridade e Evolução'!D5</f>
        <v>31</v>
      </c>
      <c r="K1661" s="8" t="s">
        <v>11</v>
      </c>
      <c r="L1661" s="9">
        <f t="shared" si="25"/>
        <v>2057142.86</v>
      </c>
    </row>
    <row r="1662" spans="1:12" ht="14.25" hidden="1" customHeight="1" x14ac:dyDescent="0.3">
      <c r="A1662" s="8">
        <v>1661</v>
      </c>
      <c r="B1662" s="8" t="str">
        <f>'Criaturas - Base de Dados'!B278</f>
        <v>Névoa Espectral</v>
      </c>
      <c r="C1662" s="8" t="str">
        <f>'Criaturas - Base de Dados'!C278</f>
        <v>Fantasma</v>
      </c>
      <c r="D1662" s="8" t="str">
        <f>'Criaturas - Base de Dados'!D278</f>
        <v>Ceifador Silencioso</v>
      </c>
      <c r="E1662" s="8" t="str">
        <f>'Sistema de Raridade e Evolução'!B6</f>
        <v>Platina</v>
      </c>
      <c r="F1662" s="9">
        <f>ROUND(('Criaturas - Base de Dados'!H278*'Sistema de Raridade e Evolução'!E6)*1000,2)</f>
        <v>2400000</v>
      </c>
      <c r="G1662" s="8">
        <f>ROUND('Criaturas - Base de Dados'!I278*'Sistema de Raridade e Evolução'!E6,0)</f>
        <v>1450</v>
      </c>
      <c r="H1662" s="8">
        <f>ROUND('Criaturas - Base de Dados'!J278*'Sistema de Raridade e Evolução'!E6,0)</f>
        <v>1200</v>
      </c>
      <c r="I1662" s="8">
        <f>ROUND('Criaturas - Base de Dados'!K278*'Sistema de Raridade e Evolução'!E6,0)</f>
        <v>7700</v>
      </c>
      <c r="J1662" s="8">
        <f>'Sistema de Raridade e Evolução'!D6</f>
        <v>56</v>
      </c>
      <c r="K1662" s="8" t="s">
        <v>12</v>
      </c>
      <c r="L1662" s="9">
        <f t="shared" si="25"/>
        <v>5714285.71</v>
      </c>
    </row>
    <row r="1663" spans="1:12" ht="14.25" hidden="1" customHeight="1" x14ac:dyDescent="0.3">
      <c r="A1663" s="8">
        <v>1662</v>
      </c>
      <c r="B1663" s="8" t="str">
        <f>'Criaturas - Base de Dados'!B278</f>
        <v>Névoa Espectral</v>
      </c>
      <c r="C1663" s="8" t="str">
        <f>'Criaturas - Base de Dados'!C278</f>
        <v>Fantasma</v>
      </c>
      <c r="D1663" s="8" t="str">
        <f>'Criaturas - Base de Dados'!D278</f>
        <v>Ceifador Silencioso</v>
      </c>
      <c r="E1663" s="8" t="str">
        <f>'Sistema de Raridade e Evolução'!B7</f>
        <v>Lendário</v>
      </c>
      <c r="F1663" s="9">
        <f>ROUND(('Criaturas - Base de Dados'!H278*'Sistema de Raridade e Evolução'!E7)*1000,2)</f>
        <v>7200000</v>
      </c>
      <c r="G1663" s="8">
        <f>ROUND('Criaturas - Base de Dados'!I278*'Sistema de Raridade e Evolução'!E7,0)</f>
        <v>4350</v>
      </c>
      <c r="H1663" s="8">
        <f>ROUND('Criaturas - Base de Dados'!J278*'Sistema de Raridade e Evolução'!E7,0)</f>
        <v>3600</v>
      </c>
      <c r="I1663" s="8">
        <f>ROUND('Criaturas - Base de Dados'!K278*'Sistema de Raridade e Evolução'!E7,0)</f>
        <v>23100</v>
      </c>
      <c r="J1663" s="8">
        <f>'Sistema de Raridade e Evolução'!D7</f>
        <v>91</v>
      </c>
      <c r="K1663" s="8" t="s">
        <v>925</v>
      </c>
      <c r="L1663" s="9">
        <f t="shared" si="25"/>
        <v>17142857.140000001</v>
      </c>
    </row>
    <row r="1664" spans="1:12" ht="14.25" customHeight="1" x14ac:dyDescent="0.3">
      <c r="A1664" s="8">
        <v>1663</v>
      </c>
      <c r="B1664" s="8" t="str">
        <f>'Criaturas - Base de Dados'!B279</f>
        <v>Névoa Espectral</v>
      </c>
      <c r="C1664" s="8" t="str">
        <f>'Criaturas - Base de Dados'!C279</f>
        <v>Fantasma</v>
      </c>
      <c r="D1664" s="8" t="str">
        <f>'Criaturas - Base de Dados'!D279</f>
        <v>Choro da Meia-Noite</v>
      </c>
      <c r="E1664" s="8" t="str">
        <f>'Sistema de Raridade e Evolução'!B2</f>
        <v>Default</v>
      </c>
      <c r="F1664" s="9" t="e">
        <f>ROUND(('Criaturas - Base de Dados'!H279*'Sistema de Raridade e Evolução'!E2)*1000,2)</f>
        <v>#VALUE!</v>
      </c>
      <c r="G1664" s="8" t="e">
        <f>ROUND('Criaturas - Base de Dados'!I279*'Sistema de Raridade e Evolução'!E2,0)</f>
        <v>#VALUE!</v>
      </c>
      <c r="H1664" s="8" t="e">
        <f>ROUND('Criaturas - Base de Dados'!J279*'Sistema de Raridade e Evolução'!E2,0)</f>
        <v>#VALUE!</v>
      </c>
      <c r="I1664" s="8" t="e">
        <f>ROUND('Criaturas - Base de Dados'!K279*'Sistema de Raridade e Evolução'!E2,0)</f>
        <v>#VALUE!</v>
      </c>
      <c r="J1664" s="8">
        <f>'Sistema de Raridade e Evolução'!D2</f>
        <v>1</v>
      </c>
      <c r="K1664" s="8" t="s">
        <v>8</v>
      </c>
      <c r="L1664" s="9" t="e">
        <f t="shared" si="25"/>
        <v>#VALUE!</v>
      </c>
    </row>
    <row r="1665" spans="1:12" ht="14.25" hidden="1" customHeight="1" x14ac:dyDescent="0.3">
      <c r="A1665" s="8">
        <v>1664</v>
      </c>
      <c r="B1665" s="8" t="str">
        <f>'Criaturas - Base de Dados'!B279</f>
        <v>Névoa Espectral</v>
      </c>
      <c r="C1665" s="8" t="str">
        <f>'Criaturas - Base de Dados'!C279</f>
        <v>Fantasma</v>
      </c>
      <c r="D1665" s="8" t="str">
        <f>'Criaturas - Base de Dados'!D279</f>
        <v>Choro da Meia-Noite</v>
      </c>
      <c r="E1665" s="8" t="str">
        <f>'Sistema de Raridade e Evolução'!B3</f>
        <v>Bronze</v>
      </c>
      <c r="F1665" s="9">
        <f>ROUND(('Criaturas - Base de Dados'!H279*'Sistema de Raridade e Evolução'!E3)*1000,2)</f>
        <v>50000</v>
      </c>
      <c r="G1665" s="8">
        <f>ROUND('Criaturas - Base de Dados'!I279*'Sistema de Raridade e Evolução'!E3,0)</f>
        <v>30</v>
      </c>
      <c r="H1665" s="8">
        <f>ROUND('Criaturas - Base de Dados'!J279*'Sistema de Raridade e Evolução'!E3,0)</f>
        <v>25</v>
      </c>
      <c r="I1665" s="8">
        <f>ROUND('Criaturas - Base de Dados'!K279*'Sistema de Raridade e Evolução'!E3,0)</f>
        <v>160</v>
      </c>
      <c r="J1665" s="8">
        <f>'Sistema de Raridade e Evolução'!D3</f>
        <v>6</v>
      </c>
      <c r="K1665" s="8" t="s">
        <v>9</v>
      </c>
      <c r="L1665" s="9">
        <f t="shared" si="25"/>
        <v>119047.62</v>
      </c>
    </row>
    <row r="1666" spans="1:12" ht="14.25" hidden="1" customHeight="1" x14ac:dyDescent="0.3">
      <c r="A1666" s="8">
        <v>1665</v>
      </c>
      <c r="B1666" s="8" t="str">
        <f>'Criaturas - Base de Dados'!B279</f>
        <v>Névoa Espectral</v>
      </c>
      <c r="C1666" s="8" t="str">
        <f>'Criaturas - Base de Dados'!C279</f>
        <v>Fantasma</v>
      </c>
      <c r="D1666" s="8" t="str">
        <f>'Criaturas - Base de Dados'!D279</f>
        <v>Choro da Meia-Noite</v>
      </c>
      <c r="E1666" s="8" t="str">
        <f>'Sistema de Raridade e Evolução'!B4</f>
        <v>Prata</v>
      </c>
      <c r="F1666" s="9">
        <f>ROUND(('Criaturas - Base de Dados'!H279*'Sistema de Raridade e Evolução'!E4)*1000,2)</f>
        <v>300000</v>
      </c>
      <c r="G1666" s="8">
        <f>ROUND('Criaturas - Base de Dados'!I279*'Sistema de Raridade e Evolução'!E4,0)</f>
        <v>180</v>
      </c>
      <c r="H1666" s="8">
        <f>ROUND('Criaturas - Base de Dados'!J279*'Sistema de Raridade e Evolução'!E4,0)</f>
        <v>150</v>
      </c>
      <c r="I1666" s="8">
        <f>ROUND('Criaturas - Base de Dados'!K279*'Sistema de Raridade e Evolução'!E4,0)</f>
        <v>960</v>
      </c>
      <c r="J1666" s="8">
        <f>'Sistema de Raridade e Evolução'!D4</f>
        <v>16</v>
      </c>
      <c r="K1666" s="8" t="s">
        <v>10</v>
      </c>
      <c r="L1666" s="9">
        <f t="shared" ref="L1666:L1729" si="26">ROUND(F1666*(2.5/1.05),2)</f>
        <v>714285.71</v>
      </c>
    </row>
    <row r="1667" spans="1:12" ht="14.25" hidden="1" customHeight="1" x14ac:dyDescent="0.3">
      <c r="A1667" s="8">
        <v>1666</v>
      </c>
      <c r="B1667" s="8" t="str">
        <f>'Criaturas - Base de Dados'!B279</f>
        <v>Névoa Espectral</v>
      </c>
      <c r="C1667" s="8" t="str">
        <f>'Criaturas - Base de Dados'!C279</f>
        <v>Fantasma</v>
      </c>
      <c r="D1667" s="8" t="str">
        <f>'Criaturas - Base de Dados'!D279</f>
        <v>Choro da Meia-Noite</v>
      </c>
      <c r="E1667" s="8" t="str">
        <f>'Sistema de Raridade e Evolução'!B5</f>
        <v>Ouro</v>
      </c>
      <c r="F1667" s="9">
        <f>ROUND(('Criaturas - Base de Dados'!H279*'Sistema de Raridade e Evolução'!E5)*1000,2)</f>
        <v>900000</v>
      </c>
      <c r="G1667" s="8">
        <f>ROUND('Criaturas - Base de Dados'!I279*'Sistema de Raridade e Evolução'!E5,0)</f>
        <v>540</v>
      </c>
      <c r="H1667" s="8">
        <f>ROUND('Criaturas - Base de Dados'!J279*'Sistema de Raridade e Evolução'!E5,0)</f>
        <v>450</v>
      </c>
      <c r="I1667" s="8">
        <f>ROUND('Criaturas - Base de Dados'!K279*'Sistema de Raridade e Evolução'!E5,0)</f>
        <v>2880</v>
      </c>
      <c r="J1667" s="8">
        <f>'Sistema de Raridade e Evolução'!D5</f>
        <v>31</v>
      </c>
      <c r="K1667" s="8" t="s">
        <v>11</v>
      </c>
      <c r="L1667" s="9">
        <f t="shared" si="26"/>
        <v>2142857.14</v>
      </c>
    </row>
    <row r="1668" spans="1:12" ht="14.25" hidden="1" customHeight="1" x14ac:dyDescent="0.3">
      <c r="A1668" s="8">
        <v>1667</v>
      </c>
      <c r="B1668" s="8" t="str">
        <f>'Criaturas - Base de Dados'!B279</f>
        <v>Névoa Espectral</v>
      </c>
      <c r="C1668" s="8" t="str">
        <f>'Criaturas - Base de Dados'!C279</f>
        <v>Fantasma</v>
      </c>
      <c r="D1668" s="8" t="str">
        <f>'Criaturas - Base de Dados'!D279</f>
        <v>Choro da Meia-Noite</v>
      </c>
      <c r="E1668" s="8" t="str">
        <f>'Sistema de Raridade e Evolução'!B6</f>
        <v>Platina</v>
      </c>
      <c r="F1668" s="9">
        <f>ROUND(('Criaturas - Base de Dados'!H279*'Sistema de Raridade e Evolução'!E6)*1000,2)</f>
        <v>2500000</v>
      </c>
      <c r="G1668" s="8">
        <f>ROUND('Criaturas - Base de Dados'!I279*'Sistema de Raridade e Evolução'!E6,0)</f>
        <v>1500</v>
      </c>
      <c r="H1668" s="8">
        <f>ROUND('Criaturas - Base de Dados'!J279*'Sistema de Raridade e Evolução'!E6,0)</f>
        <v>1250</v>
      </c>
      <c r="I1668" s="8">
        <f>ROUND('Criaturas - Base de Dados'!K279*'Sistema de Raridade e Evolução'!E6,0)</f>
        <v>8000</v>
      </c>
      <c r="J1668" s="8">
        <f>'Sistema de Raridade e Evolução'!D6</f>
        <v>56</v>
      </c>
      <c r="K1668" s="8" t="s">
        <v>12</v>
      </c>
      <c r="L1668" s="9">
        <f t="shared" si="26"/>
        <v>5952380.9500000002</v>
      </c>
    </row>
    <row r="1669" spans="1:12" ht="14.25" hidden="1" customHeight="1" x14ac:dyDescent="0.3">
      <c r="A1669" s="8">
        <v>1668</v>
      </c>
      <c r="B1669" s="8" t="str">
        <f>'Criaturas - Base de Dados'!B279</f>
        <v>Névoa Espectral</v>
      </c>
      <c r="C1669" s="8" t="str">
        <f>'Criaturas - Base de Dados'!C279</f>
        <v>Fantasma</v>
      </c>
      <c r="D1669" s="8" t="str">
        <f>'Criaturas - Base de Dados'!D279</f>
        <v>Choro da Meia-Noite</v>
      </c>
      <c r="E1669" s="8" t="str">
        <f>'Sistema de Raridade e Evolução'!B7</f>
        <v>Lendário</v>
      </c>
      <c r="F1669" s="9">
        <f>ROUND(('Criaturas - Base de Dados'!H279*'Sistema de Raridade e Evolução'!E7)*1000,2)</f>
        <v>7500000</v>
      </c>
      <c r="G1669" s="8">
        <f>ROUND('Criaturas - Base de Dados'!I279*'Sistema de Raridade e Evolução'!E7,0)</f>
        <v>4500</v>
      </c>
      <c r="H1669" s="8">
        <f>ROUND('Criaturas - Base de Dados'!J279*'Sistema de Raridade e Evolução'!E7,0)</f>
        <v>3750</v>
      </c>
      <c r="I1669" s="8">
        <f>ROUND('Criaturas - Base de Dados'!K279*'Sistema de Raridade e Evolução'!E7,0)</f>
        <v>24000</v>
      </c>
      <c r="J1669" s="8">
        <f>'Sistema de Raridade e Evolução'!D7</f>
        <v>91</v>
      </c>
      <c r="K1669" s="8" t="s">
        <v>925</v>
      </c>
      <c r="L1669" s="9">
        <f t="shared" si="26"/>
        <v>17857142.859999999</v>
      </c>
    </row>
    <row r="1670" spans="1:12" ht="14.25" customHeight="1" x14ac:dyDescent="0.3">
      <c r="A1670" s="8">
        <v>1669</v>
      </c>
      <c r="B1670" s="8" t="str">
        <f>'Criaturas - Base de Dados'!B280</f>
        <v>Névoa Espectral</v>
      </c>
      <c r="C1670" s="8" t="str">
        <f>'Criaturas - Base de Dados'!C280</f>
        <v>Fantasma</v>
      </c>
      <c r="D1670" s="8" t="str">
        <f>'Criaturas - Base de Dados'!D280</f>
        <v>Espírito Guardião do Cemitério</v>
      </c>
      <c r="E1670" s="8" t="str">
        <f>'Sistema de Raridade e Evolução'!B2</f>
        <v>Default</v>
      </c>
      <c r="F1670" s="9" t="e">
        <f>ROUND(('Criaturas - Base de Dados'!H280*'Sistema de Raridade e Evolução'!E2)*1000,2)</f>
        <v>#VALUE!</v>
      </c>
      <c r="G1670" s="8" t="e">
        <f>ROUND('Criaturas - Base de Dados'!I280*'Sistema de Raridade e Evolução'!E2,0)</f>
        <v>#VALUE!</v>
      </c>
      <c r="H1670" s="8" t="e">
        <f>ROUND('Criaturas - Base de Dados'!J280*'Sistema de Raridade e Evolução'!E2,0)</f>
        <v>#VALUE!</v>
      </c>
      <c r="I1670" s="8" t="e">
        <f>ROUND('Criaturas - Base de Dados'!K280*'Sistema de Raridade e Evolução'!E2,0)</f>
        <v>#VALUE!</v>
      </c>
      <c r="J1670" s="8">
        <f>'Sistema de Raridade e Evolução'!D2</f>
        <v>1</v>
      </c>
      <c r="K1670" s="8" t="s">
        <v>8</v>
      </c>
      <c r="L1670" s="9" t="e">
        <f t="shared" si="26"/>
        <v>#VALUE!</v>
      </c>
    </row>
    <row r="1671" spans="1:12" ht="14.25" hidden="1" customHeight="1" x14ac:dyDescent="0.3">
      <c r="A1671" s="8">
        <v>1670</v>
      </c>
      <c r="B1671" s="8" t="str">
        <f>'Criaturas - Base de Dados'!B280</f>
        <v>Névoa Espectral</v>
      </c>
      <c r="C1671" s="8" t="str">
        <f>'Criaturas - Base de Dados'!C280</f>
        <v>Fantasma</v>
      </c>
      <c r="D1671" s="8" t="str">
        <f>'Criaturas - Base de Dados'!D280</f>
        <v>Espírito Guardião do Cemitério</v>
      </c>
      <c r="E1671" s="8" t="str">
        <f>'Sistema de Raridade e Evolução'!B3</f>
        <v>Bronze</v>
      </c>
      <c r="F1671" s="9">
        <f>ROUND(('Criaturas - Base de Dados'!H280*'Sistema de Raridade e Evolução'!E3)*1000,2)</f>
        <v>69000</v>
      </c>
      <c r="G1671" s="8">
        <f>ROUND('Criaturas - Base de Dados'!I280*'Sistema de Raridade e Evolução'!E3,0)</f>
        <v>41</v>
      </c>
      <c r="H1671" s="8">
        <f>ROUND('Criaturas - Base de Dados'!J280*'Sistema de Raridade e Evolução'!E3,0)</f>
        <v>34</v>
      </c>
      <c r="I1671" s="8">
        <f>ROUND('Criaturas - Base de Dados'!K280*'Sistema de Raridade e Evolução'!E3,0)</f>
        <v>221</v>
      </c>
      <c r="J1671" s="8">
        <f>'Sistema de Raridade e Evolução'!D3</f>
        <v>6</v>
      </c>
      <c r="K1671" s="8" t="s">
        <v>9</v>
      </c>
      <c r="L1671" s="9">
        <f t="shared" si="26"/>
        <v>164285.71</v>
      </c>
    </row>
    <row r="1672" spans="1:12" ht="14.25" hidden="1" customHeight="1" x14ac:dyDescent="0.3">
      <c r="A1672" s="8">
        <v>1671</v>
      </c>
      <c r="B1672" s="8" t="str">
        <f>'Criaturas - Base de Dados'!B280</f>
        <v>Névoa Espectral</v>
      </c>
      <c r="C1672" s="8" t="str">
        <f>'Criaturas - Base de Dados'!C280</f>
        <v>Fantasma</v>
      </c>
      <c r="D1672" s="8" t="str">
        <f>'Criaturas - Base de Dados'!D280</f>
        <v>Espírito Guardião do Cemitério</v>
      </c>
      <c r="E1672" s="8" t="str">
        <f>'Sistema de Raridade e Evolução'!B4</f>
        <v>Prata</v>
      </c>
      <c r="F1672" s="9">
        <f>ROUND(('Criaturas - Base de Dados'!H280*'Sistema de Raridade e Evolução'!E4)*1000,2)</f>
        <v>414000</v>
      </c>
      <c r="G1672" s="8">
        <f>ROUND('Criaturas - Base de Dados'!I280*'Sistema de Raridade e Evolução'!E4,0)</f>
        <v>246</v>
      </c>
      <c r="H1672" s="8">
        <f>ROUND('Criaturas - Base de Dados'!J280*'Sistema de Raridade e Evolução'!E4,0)</f>
        <v>204</v>
      </c>
      <c r="I1672" s="8">
        <f>ROUND('Criaturas - Base de Dados'!K280*'Sistema de Raridade e Evolução'!E4,0)</f>
        <v>1326</v>
      </c>
      <c r="J1672" s="8">
        <f>'Sistema de Raridade e Evolução'!D4</f>
        <v>16</v>
      </c>
      <c r="K1672" s="8" t="s">
        <v>10</v>
      </c>
      <c r="L1672" s="9">
        <f t="shared" si="26"/>
        <v>985714.29</v>
      </c>
    </row>
    <row r="1673" spans="1:12" ht="14.25" hidden="1" customHeight="1" x14ac:dyDescent="0.3">
      <c r="A1673" s="8">
        <v>1672</v>
      </c>
      <c r="B1673" s="8" t="str">
        <f>'Criaturas - Base de Dados'!B280</f>
        <v>Névoa Espectral</v>
      </c>
      <c r="C1673" s="8" t="str">
        <f>'Criaturas - Base de Dados'!C280</f>
        <v>Fantasma</v>
      </c>
      <c r="D1673" s="8" t="str">
        <f>'Criaturas - Base de Dados'!D280</f>
        <v>Espírito Guardião do Cemitério</v>
      </c>
      <c r="E1673" s="8" t="str">
        <f>'Sistema de Raridade e Evolução'!B5</f>
        <v>Ouro</v>
      </c>
      <c r="F1673" s="9">
        <f>ROUND(('Criaturas - Base de Dados'!H280*'Sistema de Raridade e Evolução'!E5)*1000,2)</f>
        <v>1242000</v>
      </c>
      <c r="G1673" s="8">
        <f>ROUND('Criaturas - Base de Dados'!I280*'Sistema de Raridade e Evolução'!E5,0)</f>
        <v>738</v>
      </c>
      <c r="H1673" s="8">
        <f>ROUND('Criaturas - Base de Dados'!J280*'Sistema de Raridade e Evolução'!E5,0)</f>
        <v>612</v>
      </c>
      <c r="I1673" s="8">
        <f>ROUND('Criaturas - Base de Dados'!K280*'Sistema de Raridade e Evolução'!E5,0)</f>
        <v>3978</v>
      </c>
      <c r="J1673" s="8">
        <f>'Sistema de Raridade e Evolução'!D5</f>
        <v>31</v>
      </c>
      <c r="K1673" s="8" t="s">
        <v>11</v>
      </c>
      <c r="L1673" s="9">
        <f t="shared" si="26"/>
        <v>2957142.86</v>
      </c>
    </row>
    <row r="1674" spans="1:12" ht="14.25" hidden="1" customHeight="1" x14ac:dyDescent="0.3">
      <c r="A1674" s="8">
        <v>1673</v>
      </c>
      <c r="B1674" s="8" t="str">
        <f>'Criaturas - Base de Dados'!B280</f>
        <v>Névoa Espectral</v>
      </c>
      <c r="C1674" s="8" t="str">
        <f>'Criaturas - Base de Dados'!C280</f>
        <v>Fantasma</v>
      </c>
      <c r="D1674" s="8" t="str">
        <f>'Criaturas - Base de Dados'!D280</f>
        <v>Espírito Guardião do Cemitério</v>
      </c>
      <c r="E1674" s="8" t="str">
        <f>'Sistema de Raridade e Evolução'!B6</f>
        <v>Platina</v>
      </c>
      <c r="F1674" s="9">
        <f>ROUND(('Criaturas - Base de Dados'!H280*'Sistema de Raridade e Evolução'!E6)*1000,2)</f>
        <v>3450000</v>
      </c>
      <c r="G1674" s="8">
        <f>ROUND('Criaturas - Base de Dados'!I280*'Sistema de Raridade e Evolução'!E6,0)</f>
        <v>2050</v>
      </c>
      <c r="H1674" s="8">
        <f>ROUND('Criaturas - Base de Dados'!J280*'Sistema de Raridade e Evolução'!E6,0)</f>
        <v>1700</v>
      </c>
      <c r="I1674" s="8">
        <f>ROUND('Criaturas - Base de Dados'!K280*'Sistema de Raridade e Evolução'!E6,0)</f>
        <v>11050</v>
      </c>
      <c r="J1674" s="8">
        <f>'Sistema de Raridade e Evolução'!D6</f>
        <v>56</v>
      </c>
      <c r="K1674" s="8" t="s">
        <v>12</v>
      </c>
      <c r="L1674" s="9">
        <f t="shared" si="26"/>
        <v>8214285.71</v>
      </c>
    </row>
    <row r="1675" spans="1:12" ht="14.25" hidden="1" customHeight="1" x14ac:dyDescent="0.3">
      <c r="A1675" s="8">
        <v>1674</v>
      </c>
      <c r="B1675" s="8" t="str">
        <f>'Criaturas - Base de Dados'!B280</f>
        <v>Névoa Espectral</v>
      </c>
      <c r="C1675" s="8" t="str">
        <f>'Criaturas - Base de Dados'!C280</f>
        <v>Fantasma</v>
      </c>
      <c r="D1675" s="8" t="str">
        <f>'Criaturas - Base de Dados'!D280</f>
        <v>Espírito Guardião do Cemitério</v>
      </c>
      <c r="E1675" s="8" t="str">
        <f>'Sistema de Raridade e Evolução'!B7</f>
        <v>Lendário</v>
      </c>
      <c r="F1675" s="9">
        <f>ROUND(('Criaturas - Base de Dados'!H280*'Sistema de Raridade e Evolução'!E7)*1000,2)</f>
        <v>10350000</v>
      </c>
      <c r="G1675" s="8">
        <f>ROUND('Criaturas - Base de Dados'!I280*'Sistema de Raridade e Evolução'!E7,0)</f>
        <v>6150</v>
      </c>
      <c r="H1675" s="8">
        <f>ROUND('Criaturas - Base de Dados'!J280*'Sistema de Raridade e Evolução'!E7,0)</f>
        <v>5100</v>
      </c>
      <c r="I1675" s="8">
        <f>ROUND('Criaturas - Base de Dados'!K280*'Sistema de Raridade e Evolução'!E7,0)</f>
        <v>33150</v>
      </c>
      <c r="J1675" s="8">
        <f>'Sistema de Raridade e Evolução'!D7</f>
        <v>91</v>
      </c>
      <c r="K1675" s="8" t="s">
        <v>925</v>
      </c>
      <c r="L1675" s="9">
        <f t="shared" si="26"/>
        <v>24642857.140000001</v>
      </c>
    </row>
    <row r="1676" spans="1:12" ht="14.25" customHeight="1" x14ac:dyDescent="0.3">
      <c r="A1676" s="8">
        <v>1675</v>
      </c>
      <c r="B1676" s="8" t="str">
        <f>'Criaturas - Base de Dados'!B281</f>
        <v>Névoa Espectral</v>
      </c>
      <c r="C1676" s="8" t="str">
        <f>'Criaturas - Base de Dados'!C281</f>
        <v>Fantasma</v>
      </c>
      <c r="D1676" s="8" t="str">
        <f>'Criaturas - Base de Dados'!D281</f>
        <v>Última Sombra</v>
      </c>
      <c r="E1676" s="8" t="str">
        <f>'Sistema de Raridade e Evolução'!B2</f>
        <v>Default</v>
      </c>
      <c r="F1676" s="9" t="e">
        <f>ROUND(('Criaturas - Base de Dados'!H281*'Sistema de Raridade e Evolução'!E2)*1000,2)</f>
        <v>#VALUE!</v>
      </c>
      <c r="G1676" s="8" t="e">
        <f>ROUND('Criaturas - Base de Dados'!I281*'Sistema de Raridade e Evolução'!E2,0)</f>
        <v>#VALUE!</v>
      </c>
      <c r="H1676" s="8" t="e">
        <f>ROUND('Criaturas - Base de Dados'!J281*'Sistema de Raridade e Evolução'!E2,0)</f>
        <v>#VALUE!</v>
      </c>
      <c r="I1676" s="8" t="e">
        <f>ROUND('Criaturas - Base de Dados'!K281*'Sistema de Raridade e Evolução'!E2,0)</f>
        <v>#VALUE!</v>
      </c>
      <c r="J1676" s="8">
        <f>'Sistema de Raridade e Evolução'!D2</f>
        <v>1</v>
      </c>
      <c r="K1676" s="8" t="s">
        <v>8</v>
      </c>
      <c r="L1676" s="9" t="e">
        <f t="shared" si="26"/>
        <v>#VALUE!</v>
      </c>
    </row>
    <row r="1677" spans="1:12" ht="14.25" hidden="1" customHeight="1" x14ac:dyDescent="0.3">
      <c r="A1677" s="8">
        <v>1676</v>
      </c>
      <c r="B1677" s="8" t="str">
        <f>'Criaturas - Base de Dados'!B281</f>
        <v>Névoa Espectral</v>
      </c>
      <c r="C1677" s="8" t="str">
        <f>'Criaturas - Base de Dados'!C281</f>
        <v>Fantasma</v>
      </c>
      <c r="D1677" s="8" t="str">
        <f>'Criaturas - Base de Dados'!D281</f>
        <v>Última Sombra</v>
      </c>
      <c r="E1677" s="8" t="str">
        <f>'Sistema de Raridade e Evolução'!B3</f>
        <v>Bronze</v>
      </c>
      <c r="F1677" s="9">
        <f>ROUND(('Criaturas - Base de Dados'!H281*'Sistema de Raridade e Evolução'!E3)*1000,2)</f>
        <v>71000</v>
      </c>
      <c r="G1677" s="8">
        <f>ROUND('Criaturas - Base de Dados'!I281*'Sistema de Raridade e Evolução'!E3,0)</f>
        <v>43</v>
      </c>
      <c r="H1677" s="8">
        <f>ROUND('Criaturas - Base de Dados'!J281*'Sistema de Raridade e Evolução'!E3,0)</f>
        <v>36</v>
      </c>
      <c r="I1677" s="8">
        <f>ROUND('Criaturas - Base de Dados'!K281*'Sistema de Raridade e Evolução'!E3,0)</f>
        <v>227</v>
      </c>
      <c r="J1677" s="8">
        <f>'Sistema de Raridade e Evolução'!D3</f>
        <v>6</v>
      </c>
      <c r="K1677" s="8" t="s">
        <v>9</v>
      </c>
      <c r="L1677" s="9">
        <f t="shared" si="26"/>
        <v>169047.62</v>
      </c>
    </row>
    <row r="1678" spans="1:12" ht="14.25" hidden="1" customHeight="1" x14ac:dyDescent="0.3">
      <c r="A1678" s="8">
        <v>1677</v>
      </c>
      <c r="B1678" s="8" t="str">
        <f>'Criaturas - Base de Dados'!B281</f>
        <v>Névoa Espectral</v>
      </c>
      <c r="C1678" s="8" t="str">
        <f>'Criaturas - Base de Dados'!C281</f>
        <v>Fantasma</v>
      </c>
      <c r="D1678" s="8" t="str">
        <f>'Criaturas - Base de Dados'!D281</f>
        <v>Última Sombra</v>
      </c>
      <c r="E1678" s="8" t="str">
        <f>'Sistema de Raridade e Evolução'!B4</f>
        <v>Prata</v>
      </c>
      <c r="F1678" s="9">
        <f>ROUND(('Criaturas - Base de Dados'!H281*'Sistema de Raridade e Evolução'!E4)*1000,2)</f>
        <v>426000</v>
      </c>
      <c r="G1678" s="8">
        <f>ROUND('Criaturas - Base de Dados'!I281*'Sistema de Raridade e Evolução'!E4,0)</f>
        <v>258</v>
      </c>
      <c r="H1678" s="8">
        <f>ROUND('Criaturas - Base de Dados'!J281*'Sistema de Raridade e Evolução'!E4,0)</f>
        <v>216</v>
      </c>
      <c r="I1678" s="8">
        <f>ROUND('Criaturas - Base de Dados'!K281*'Sistema de Raridade e Evolução'!E4,0)</f>
        <v>1362</v>
      </c>
      <c r="J1678" s="8">
        <f>'Sistema de Raridade e Evolução'!D4</f>
        <v>16</v>
      </c>
      <c r="K1678" s="8" t="s">
        <v>10</v>
      </c>
      <c r="L1678" s="9">
        <f t="shared" si="26"/>
        <v>1014285.71</v>
      </c>
    </row>
    <row r="1679" spans="1:12" ht="14.25" hidden="1" customHeight="1" x14ac:dyDescent="0.3">
      <c r="A1679" s="8">
        <v>1678</v>
      </c>
      <c r="B1679" s="8" t="str">
        <f>'Criaturas - Base de Dados'!B281</f>
        <v>Névoa Espectral</v>
      </c>
      <c r="C1679" s="8" t="str">
        <f>'Criaturas - Base de Dados'!C281</f>
        <v>Fantasma</v>
      </c>
      <c r="D1679" s="8" t="str">
        <f>'Criaturas - Base de Dados'!D281</f>
        <v>Última Sombra</v>
      </c>
      <c r="E1679" s="8" t="str">
        <f>'Sistema de Raridade e Evolução'!B5</f>
        <v>Ouro</v>
      </c>
      <c r="F1679" s="9">
        <f>ROUND(('Criaturas - Base de Dados'!H281*'Sistema de Raridade e Evolução'!E5)*1000,2)</f>
        <v>1278000</v>
      </c>
      <c r="G1679" s="8">
        <f>ROUND('Criaturas - Base de Dados'!I281*'Sistema de Raridade e Evolução'!E5,0)</f>
        <v>774</v>
      </c>
      <c r="H1679" s="8">
        <f>ROUND('Criaturas - Base de Dados'!J281*'Sistema de Raridade e Evolução'!E5,0)</f>
        <v>648</v>
      </c>
      <c r="I1679" s="8">
        <f>ROUND('Criaturas - Base de Dados'!K281*'Sistema de Raridade e Evolução'!E5,0)</f>
        <v>4086</v>
      </c>
      <c r="J1679" s="8">
        <f>'Sistema de Raridade e Evolução'!D5</f>
        <v>31</v>
      </c>
      <c r="K1679" s="8" t="s">
        <v>11</v>
      </c>
      <c r="L1679" s="9">
        <f t="shared" si="26"/>
        <v>3042857.14</v>
      </c>
    </row>
    <row r="1680" spans="1:12" ht="14.25" hidden="1" customHeight="1" x14ac:dyDescent="0.3">
      <c r="A1680" s="8">
        <v>1679</v>
      </c>
      <c r="B1680" s="8" t="str">
        <f>'Criaturas - Base de Dados'!B281</f>
        <v>Névoa Espectral</v>
      </c>
      <c r="C1680" s="8" t="str">
        <f>'Criaturas - Base de Dados'!C281</f>
        <v>Fantasma</v>
      </c>
      <c r="D1680" s="8" t="str">
        <f>'Criaturas - Base de Dados'!D281</f>
        <v>Última Sombra</v>
      </c>
      <c r="E1680" s="8" t="str">
        <f>'Sistema de Raridade e Evolução'!B6</f>
        <v>Platina</v>
      </c>
      <c r="F1680" s="9">
        <f>ROUND(('Criaturas - Base de Dados'!H281*'Sistema de Raridade e Evolução'!E6)*1000,2)</f>
        <v>3550000</v>
      </c>
      <c r="G1680" s="8">
        <f>ROUND('Criaturas - Base de Dados'!I281*'Sistema de Raridade e Evolução'!E6,0)</f>
        <v>2150</v>
      </c>
      <c r="H1680" s="8">
        <f>ROUND('Criaturas - Base de Dados'!J281*'Sistema de Raridade e Evolução'!E6,0)</f>
        <v>1800</v>
      </c>
      <c r="I1680" s="8">
        <f>ROUND('Criaturas - Base de Dados'!K281*'Sistema de Raridade e Evolução'!E6,0)</f>
        <v>11350</v>
      </c>
      <c r="J1680" s="8">
        <f>'Sistema de Raridade e Evolução'!D6</f>
        <v>56</v>
      </c>
      <c r="K1680" s="8" t="s">
        <v>12</v>
      </c>
      <c r="L1680" s="9">
        <f t="shared" si="26"/>
        <v>8452380.9499999993</v>
      </c>
    </row>
    <row r="1681" spans="1:12" ht="14.25" hidden="1" customHeight="1" x14ac:dyDescent="0.3">
      <c r="A1681" s="8">
        <v>1680</v>
      </c>
      <c r="B1681" s="8" t="str">
        <f>'Criaturas - Base de Dados'!B281</f>
        <v>Névoa Espectral</v>
      </c>
      <c r="C1681" s="8" t="str">
        <f>'Criaturas - Base de Dados'!C281</f>
        <v>Fantasma</v>
      </c>
      <c r="D1681" s="8" t="str">
        <f>'Criaturas - Base de Dados'!D281</f>
        <v>Última Sombra</v>
      </c>
      <c r="E1681" s="8" t="str">
        <f>'Sistema de Raridade e Evolução'!B7</f>
        <v>Lendário</v>
      </c>
      <c r="F1681" s="9">
        <f>ROUND(('Criaturas - Base de Dados'!H281*'Sistema de Raridade e Evolução'!E7)*1000,2)</f>
        <v>10650000</v>
      </c>
      <c r="G1681" s="8">
        <f>ROUND('Criaturas - Base de Dados'!I281*'Sistema de Raridade e Evolução'!E7,0)</f>
        <v>6450</v>
      </c>
      <c r="H1681" s="8">
        <f>ROUND('Criaturas - Base de Dados'!J281*'Sistema de Raridade e Evolução'!E7,0)</f>
        <v>5400</v>
      </c>
      <c r="I1681" s="8">
        <f>ROUND('Criaturas - Base de Dados'!K281*'Sistema de Raridade e Evolução'!E7,0)</f>
        <v>34050</v>
      </c>
      <c r="J1681" s="8">
        <f>'Sistema de Raridade e Evolução'!D7</f>
        <v>91</v>
      </c>
      <c r="K1681" s="8" t="s">
        <v>925</v>
      </c>
      <c r="L1681" s="9">
        <f t="shared" si="26"/>
        <v>25357142.859999999</v>
      </c>
    </row>
    <row r="1682" spans="1:12" ht="14.25" customHeight="1" x14ac:dyDescent="0.3">
      <c r="A1682" s="8">
        <v>1681</v>
      </c>
      <c r="B1682" s="8" t="str">
        <f>'Criaturas - Base de Dados'!B282</f>
        <v>Engrenagem Rúnica</v>
      </c>
      <c r="C1682" s="8" t="str">
        <f>'Criaturas - Base de Dados'!C282</f>
        <v>Tecnomancia</v>
      </c>
      <c r="D1682" s="8" t="str">
        <f>'Criaturas - Base de Dados'!D282</f>
        <v>Autômato de Bronze Ancestral</v>
      </c>
      <c r="E1682" s="8" t="str">
        <f>'Sistema de Raridade e Evolução'!B2</f>
        <v>Default</v>
      </c>
      <c r="F1682" s="9" t="e">
        <f>ROUND(('Criaturas - Base de Dados'!H282*'Sistema de Raridade e Evolução'!E2)*1000,2)</f>
        <v>#VALUE!</v>
      </c>
      <c r="G1682" s="8" t="e">
        <f>ROUND('Criaturas - Base de Dados'!I282*'Sistema de Raridade e Evolução'!E2,0)</f>
        <v>#VALUE!</v>
      </c>
      <c r="H1682" s="8" t="e">
        <f>ROUND('Criaturas - Base de Dados'!J282*'Sistema de Raridade e Evolução'!E2,0)</f>
        <v>#VALUE!</v>
      </c>
      <c r="I1682" s="8" t="e">
        <f>ROUND('Criaturas - Base de Dados'!K282*'Sistema de Raridade e Evolução'!E2,0)</f>
        <v>#VALUE!</v>
      </c>
      <c r="J1682" s="8">
        <f>'Sistema de Raridade e Evolução'!D2</f>
        <v>1</v>
      </c>
      <c r="K1682" s="8" t="s">
        <v>8</v>
      </c>
      <c r="L1682" s="9" t="e">
        <f t="shared" si="26"/>
        <v>#VALUE!</v>
      </c>
    </row>
    <row r="1683" spans="1:12" ht="14.25" hidden="1" customHeight="1" x14ac:dyDescent="0.3">
      <c r="A1683" s="8">
        <v>1682</v>
      </c>
      <c r="B1683" s="8" t="str">
        <f>'Criaturas - Base de Dados'!B282</f>
        <v>Engrenagem Rúnica</v>
      </c>
      <c r="C1683" s="8" t="str">
        <f>'Criaturas - Base de Dados'!C282</f>
        <v>Tecnomancia</v>
      </c>
      <c r="D1683" s="8" t="str">
        <f>'Criaturas - Base de Dados'!D282</f>
        <v>Autômato de Bronze Ancestral</v>
      </c>
      <c r="E1683" s="8" t="str">
        <f>'Sistema de Raridade e Evolução'!B3</f>
        <v>Bronze</v>
      </c>
      <c r="F1683" s="9">
        <f>ROUND(('Criaturas - Base de Dados'!H282*'Sistema de Raridade e Evolução'!E3)*1000,2)</f>
        <v>10000</v>
      </c>
      <c r="G1683" s="8">
        <f>ROUND('Criaturas - Base de Dados'!I282*'Sistema de Raridade e Evolução'!E3,0)</f>
        <v>6</v>
      </c>
      <c r="H1683" s="8">
        <f>ROUND('Criaturas - Base de Dados'!J282*'Sistema de Raridade e Evolução'!E3,0)</f>
        <v>5</v>
      </c>
      <c r="I1683" s="8">
        <f>ROUND('Criaturas - Base de Dados'!K282*'Sistema de Raridade e Evolução'!E3,0)</f>
        <v>32</v>
      </c>
      <c r="J1683" s="8">
        <f>'Sistema de Raridade e Evolução'!D3</f>
        <v>6</v>
      </c>
      <c r="K1683" s="8" t="s">
        <v>9</v>
      </c>
      <c r="L1683" s="9">
        <f t="shared" si="26"/>
        <v>23809.52</v>
      </c>
    </row>
    <row r="1684" spans="1:12" ht="14.25" hidden="1" customHeight="1" x14ac:dyDescent="0.3">
      <c r="A1684" s="8">
        <v>1683</v>
      </c>
      <c r="B1684" s="8" t="str">
        <f>'Criaturas - Base de Dados'!B282</f>
        <v>Engrenagem Rúnica</v>
      </c>
      <c r="C1684" s="8" t="str">
        <f>'Criaturas - Base de Dados'!C282</f>
        <v>Tecnomancia</v>
      </c>
      <c r="D1684" s="8" t="str">
        <f>'Criaturas - Base de Dados'!D282</f>
        <v>Autômato de Bronze Ancestral</v>
      </c>
      <c r="E1684" s="8" t="str">
        <f>'Sistema de Raridade e Evolução'!B4</f>
        <v>Prata</v>
      </c>
      <c r="F1684" s="9">
        <f>ROUND(('Criaturas - Base de Dados'!H282*'Sistema de Raridade e Evolução'!E4)*1000,2)</f>
        <v>60000</v>
      </c>
      <c r="G1684" s="8">
        <f>ROUND('Criaturas - Base de Dados'!I282*'Sistema de Raridade e Evolução'!E4,0)</f>
        <v>36</v>
      </c>
      <c r="H1684" s="8">
        <f>ROUND('Criaturas - Base de Dados'!J282*'Sistema de Raridade e Evolução'!E4,0)</f>
        <v>30</v>
      </c>
      <c r="I1684" s="8">
        <f>ROUND('Criaturas - Base de Dados'!K282*'Sistema de Raridade e Evolução'!E4,0)</f>
        <v>192</v>
      </c>
      <c r="J1684" s="8">
        <f>'Sistema de Raridade e Evolução'!D4</f>
        <v>16</v>
      </c>
      <c r="K1684" s="8" t="s">
        <v>10</v>
      </c>
      <c r="L1684" s="9">
        <f t="shared" si="26"/>
        <v>142857.14000000001</v>
      </c>
    </row>
    <row r="1685" spans="1:12" ht="14.25" hidden="1" customHeight="1" x14ac:dyDescent="0.3">
      <c r="A1685" s="8">
        <v>1684</v>
      </c>
      <c r="B1685" s="8" t="str">
        <f>'Criaturas - Base de Dados'!B282</f>
        <v>Engrenagem Rúnica</v>
      </c>
      <c r="C1685" s="8" t="str">
        <f>'Criaturas - Base de Dados'!C282</f>
        <v>Tecnomancia</v>
      </c>
      <c r="D1685" s="8" t="str">
        <f>'Criaturas - Base de Dados'!D282</f>
        <v>Autômato de Bronze Ancestral</v>
      </c>
      <c r="E1685" s="8" t="str">
        <f>'Sistema de Raridade e Evolução'!B5</f>
        <v>Ouro</v>
      </c>
      <c r="F1685" s="9">
        <f>ROUND(('Criaturas - Base de Dados'!H282*'Sistema de Raridade e Evolução'!E5)*1000,2)</f>
        <v>180000</v>
      </c>
      <c r="G1685" s="8">
        <f>ROUND('Criaturas - Base de Dados'!I282*'Sistema de Raridade e Evolução'!E5,0)</f>
        <v>108</v>
      </c>
      <c r="H1685" s="8">
        <f>ROUND('Criaturas - Base de Dados'!J282*'Sistema de Raridade e Evolução'!E5,0)</f>
        <v>90</v>
      </c>
      <c r="I1685" s="8">
        <f>ROUND('Criaturas - Base de Dados'!K282*'Sistema de Raridade e Evolução'!E5,0)</f>
        <v>576</v>
      </c>
      <c r="J1685" s="8">
        <f>'Sistema de Raridade e Evolução'!D5</f>
        <v>31</v>
      </c>
      <c r="K1685" s="8" t="s">
        <v>11</v>
      </c>
      <c r="L1685" s="9">
        <f t="shared" si="26"/>
        <v>428571.43</v>
      </c>
    </row>
    <row r="1686" spans="1:12" ht="14.25" hidden="1" customHeight="1" x14ac:dyDescent="0.3">
      <c r="A1686" s="8">
        <v>1685</v>
      </c>
      <c r="B1686" s="8" t="str">
        <f>'Criaturas - Base de Dados'!B282</f>
        <v>Engrenagem Rúnica</v>
      </c>
      <c r="C1686" s="8" t="str">
        <f>'Criaturas - Base de Dados'!C282</f>
        <v>Tecnomancia</v>
      </c>
      <c r="D1686" s="8" t="str">
        <f>'Criaturas - Base de Dados'!D282</f>
        <v>Autômato de Bronze Ancestral</v>
      </c>
      <c r="E1686" s="8" t="str">
        <f>'Sistema de Raridade e Evolução'!B6</f>
        <v>Platina</v>
      </c>
      <c r="F1686" s="9">
        <f>ROUND(('Criaturas - Base de Dados'!H282*'Sistema de Raridade e Evolução'!E6)*1000,2)</f>
        <v>500000</v>
      </c>
      <c r="G1686" s="8">
        <f>ROUND('Criaturas - Base de Dados'!I282*'Sistema de Raridade e Evolução'!E6,0)</f>
        <v>300</v>
      </c>
      <c r="H1686" s="8">
        <f>ROUND('Criaturas - Base de Dados'!J282*'Sistema de Raridade e Evolução'!E6,0)</f>
        <v>250</v>
      </c>
      <c r="I1686" s="8">
        <f>ROUND('Criaturas - Base de Dados'!K282*'Sistema de Raridade e Evolução'!E6,0)</f>
        <v>1600</v>
      </c>
      <c r="J1686" s="8">
        <f>'Sistema de Raridade e Evolução'!D6</f>
        <v>56</v>
      </c>
      <c r="K1686" s="8" t="s">
        <v>12</v>
      </c>
      <c r="L1686" s="9">
        <f t="shared" si="26"/>
        <v>1190476.19</v>
      </c>
    </row>
    <row r="1687" spans="1:12" ht="14.25" hidden="1" customHeight="1" x14ac:dyDescent="0.3">
      <c r="A1687" s="8">
        <v>1686</v>
      </c>
      <c r="B1687" s="8" t="str">
        <f>'Criaturas - Base de Dados'!B282</f>
        <v>Engrenagem Rúnica</v>
      </c>
      <c r="C1687" s="8" t="str">
        <f>'Criaturas - Base de Dados'!C282</f>
        <v>Tecnomancia</v>
      </c>
      <c r="D1687" s="8" t="str">
        <f>'Criaturas - Base de Dados'!D282</f>
        <v>Autômato de Bronze Ancestral</v>
      </c>
      <c r="E1687" s="8" t="str">
        <f>'Sistema de Raridade e Evolução'!B7</f>
        <v>Lendário</v>
      </c>
      <c r="F1687" s="9">
        <f>ROUND(('Criaturas - Base de Dados'!H282*'Sistema de Raridade e Evolução'!E7)*1000,2)</f>
        <v>1500000</v>
      </c>
      <c r="G1687" s="8">
        <f>ROUND('Criaturas - Base de Dados'!I282*'Sistema de Raridade e Evolução'!E7,0)</f>
        <v>900</v>
      </c>
      <c r="H1687" s="8">
        <f>ROUND('Criaturas - Base de Dados'!J282*'Sistema de Raridade e Evolução'!E7,0)</f>
        <v>750</v>
      </c>
      <c r="I1687" s="8">
        <f>ROUND('Criaturas - Base de Dados'!K282*'Sistema de Raridade e Evolução'!E7,0)</f>
        <v>4800</v>
      </c>
      <c r="J1687" s="8">
        <f>'Sistema de Raridade e Evolução'!D7</f>
        <v>91</v>
      </c>
      <c r="K1687" s="8" t="s">
        <v>925</v>
      </c>
      <c r="L1687" s="9">
        <f t="shared" si="26"/>
        <v>3571428.57</v>
      </c>
    </row>
    <row r="1688" spans="1:12" ht="14.25" customHeight="1" x14ac:dyDescent="0.3">
      <c r="A1688" s="8">
        <v>1687</v>
      </c>
      <c r="B1688" s="8" t="str">
        <f>'Criaturas - Base de Dados'!B283</f>
        <v>Engrenagem Rúnica</v>
      </c>
      <c r="C1688" s="8" t="str">
        <f>'Criaturas - Base de Dados'!C283</f>
        <v>Tecnomancia</v>
      </c>
      <c r="D1688" s="8" t="str">
        <f>'Criaturas - Base de Dados'!D283</f>
        <v>Golem de Engrenagens</v>
      </c>
      <c r="E1688" s="8" t="str">
        <f>'Sistema de Raridade e Evolução'!B2</f>
        <v>Default</v>
      </c>
      <c r="F1688" s="9" t="e">
        <f>ROUND(('Criaturas - Base de Dados'!H283*'Sistema de Raridade e Evolução'!E2)*1000,2)</f>
        <v>#VALUE!</v>
      </c>
      <c r="G1688" s="8" t="e">
        <f>ROUND('Criaturas - Base de Dados'!I283*'Sistema de Raridade e Evolução'!E2,0)</f>
        <v>#VALUE!</v>
      </c>
      <c r="H1688" s="8" t="e">
        <f>ROUND('Criaturas - Base de Dados'!J283*'Sistema de Raridade e Evolução'!E2,0)</f>
        <v>#VALUE!</v>
      </c>
      <c r="I1688" s="8" t="e">
        <f>ROUND('Criaturas - Base de Dados'!K283*'Sistema de Raridade e Evolução'!E2,0)</f>
        <v>#VALUE!</v>
      </c>
      <c r="J1688" s="8">
        <f>'Sistema de Raridade e Evolução'!D2</f>
        <v>1</v>
      </c>
      <c r="K1688" s="8" t="s">
        <v>8</v>
      </c>
      <c r="L1688" s="9" t="e">
        <f t="shared" si="26"/>
        <v>#VALUE!</v>
      </c>
    </row>
    <row r="1689" spans="1:12" ht="14.25" hidden="1" customHeight="1" x14ac:dyDescent="0.3">
      <c r="A1689" s="8">
        <v>1688</v>
      </c>
      <c r="B1689" s="8" t="str">
        <f>'Criaturas - Base de Dados'!B283</f>
        <v>Engrenagem Rúnica</v>
      </c>
      <c r="C1689" s="8" t="str">
        <f>'Criaturas - Base de Dados'!C283</f>
        <v>Tecnomancia</v>
      </c>
      <c r="D1689" s="8" t="str">
        <f>'Criaturas - Base de Dados'!D283</f>
        <v>Golem de Engrenagens</v>
      </c>
      <c r="E1689" s="8" t="str">
        <f>'Sistema de Raridade e Evolução'!B3</f>
        <v>Bronze</v>
      </c>
      <c r="F1689" s="9">
        <f>ROUND(('Criaturas - Base de Dados'!H283*'Sistema de Raridade e Evolução'!E3)*1000,2)</f>
        <v>12000</v>
      </c>
      <c r="G1689" s="8">
        <f>ROUND('Criaturas - Base de Dados'!I283*'Sistema de Raridade e Evolução'!E3,0)</f>
        <v>7</v>
      </c>
      <c r="H1689" s="8">
        <f>ROUND('Criaturas - Base de Dados'!J283*'Sistema de Raridade e Evolução'!E3,0)</f>
        <v>6</v>
      </c>
      <c r="I1689" s="8">
        <f>ROUND('Criaturas - Base de Dados'!K283*'Sistema de Raridade e Evolução'!E3,0)</f>
        <v>38</v>
      </c>
      <c r="J1689" s="8">
        <f>'Sistema de Raridade e Evolução'!D3</f>
        <v>6</v>
      </c>
      <c r="K1689" s="8" t="s">
        <v>9</v>
      </c>
      <c r="L1689" s="9">
        <f t="shared" si="26"/>
        <v>28571.43</v>
      </c>
    </row>
    <row r="1690" spans="1:12" ht="14.25" hidden="1" customHeight="1" x14ac:dyDescent="0.3">
      <c r="A1690" s="8">
        <v>1689</v>
      </c>
      <c r="B1690" s="8" t="str">
        <f>'Criaturas - Base de Dados'!B283</f>
        <v>Engrenagem Rúnica</v>
      </c>
      <c r="C1690" s="8" t="str">
        <f>'Criaturas - Base de Dados'!C283</f>
        <v>Tecnomancia</v>
      </c>
      <c r="D1690" s="8" t="str">
        <f>'Criaturas - Base de Dados'!D283</f>
        <v>Golem de Engrenagens</v>
      </c>
      <c r="E1690" s="8" t="str">
        <f>'Sistema de Raridade e Evolução'!B4</f>
        <v>Prata</v>
      </c>
      <c r="F1690" s="9">
        <f>ROUND(('Criaturas - Base de Dados'!H283*'Sistema de Raridade e Evolução'!E4)*1000,2)</f>
        <v>72000</v>
      </c>
      <c r="G1690" s="8">
        <f>ROUND('Criaturas - Base de Dados'!I283*'Sistema de Raridade e Evolução'!E4,0)</f>
        <v>42</v>
      </c>
      <c r="H1690" s="8">
        <f>ROUND('Criaturas - Base de Dados'!J283*'Sistema de Raridade e Evolução'!E4,0)</f>
        <v>36</v>
      </c>
      <c r="I1690" s="8">
        <f>ROUND('Criaturas - Base de Dados'!K283*'Sistema de Raridade e Evolução'!E4,0)</f>
        <v>228</v>
      </c>
      <c r="J1690" s="8">
        <f>'Sistema de Raridade e Evolução'!D4</f>
        <v>16</v>
      </c>
      <c r="K1690" s="8" t="s">
        <v>10</v>
      </c>
      <c r="L1690" s="9">
        <f t="shared" si="26"/>
        <v>171428.57</v>
      </c>
    </row>
    <row r="1691" spans="1:12" ht="14.25" hidden="1" customHeight="1" x14ac:dyDescent="0.3">
      <c r="A1691" s="8">
        <v>1690</v>
      </c>
      <c r="B1691" s="8" t="str">
        <f>'Criaturas - Base de Dados'!B283</f>
        <v>Engrenagem Rúnica</v>
      </c>
      <c r="C1691" s="8" t="str">
        <f>'Criaturas - Base de Dados'!C283</f>
        <v>Tecnomancia</v>
      </c>
      <c r="D1691" s="8" t="str">
        <f>'Criaturas - Base de Dados'!D283</f>
        <v>Golem de Engrenagens</v>
      </c>
      <c r="E1691" s="8" t="str">
        <f>'Sistema de Raridade e Evolução'!B5</f>
        <v>Ouro</v>
      </c>
      <c r="F1691" s="9">
        <f>ROUND(('Criaturas - Base de Dados'!H283*'Sistema de Raridade e Evolução'!E5)*1000,2)</f>
        <v>216000</v>
      </c>
      <c r="G1691" s="8">
        <f>ROUND('Criaturas - Base de Dados'!I283*'Sistema de Raridade e Evolução'!E5,0)</f>
        <v>126</v>
      </c>
      <c r="H1691" s="8">
        <f>ROUND('Criaturas - Base de Dados'!J283*'Sistema de Raridade e Evolução'!E5,0)</f>
        <v>108</v>
      </c>
      <c r="I1691" s="8">
        <f>ROUND('Criaturas - Base de Dados'!K283*'Sistema de Raridade e Evolução'!E5,0)</f>
        <v>684</v>
      </c>
      <c r="J1691" s="8">
        <f>'Sistema de Raridade e Evolução'!D5</f>
        <v>31</v>
      </c>
      <c r="K1691" s="8" t="s">
        <v>11</v>
      </c>
      <c r="L1691" s="9">
        <f t="shared" si="26"/>
        <v>514285.71</v>
      </c>
    </row>
    <row r="1692" spans="1:12" ht="14.25" hidden="1" customHeight="1" x14ac:dyDescent="0.3">
      <c r="A1692" s="8">
        <v>1691</v>
      </c>
      <c r="B1692" s="8" t="str">
        <f>'Criaturas - Base de Dados'!B283</f>
        <v>Engrenagem Rúnica</v>
      </c>
      <c r="C1692" s="8" t="str">
        <f>'Criaturas - Base de Dados'!C283</f>
        <v>Tecnomancia</v>
      </c>
      <c r="D1692" s="8" t="str">
        <f>'Criaturas - Base de Dados'!D283</f>
        <v>Golem de Engrenagens</v>
      </c>
      <c r="E1692" s="8" t="str">
        <f>'Sistema de Raridade e Evolução'!B6</f>
        <v>Platina</v>
      </c>
      <c r="F1692" s="9">
        <f>ROUND(('Criaturas - Base de Dados'!H283*'Sistema de Raridade e Evolução'!E6)*1000,2)</f>
        <v>600000</v>
      </c>
      <c r="G1692" s="8">
        <f>ROUND('Criaturas - Base de Dados'!I283*'Sistema de Raridade e Evolução'!E6,0)</f>
        <v>350</v>
      </c>
      <c r="H1692" s="8">
        <f>ROUND('Criaturas - Base de Dados'!J283*'Sistema de Raridade e Evolução'!E6,0)</f>
        <v>300</v>
      </c>
      <c r="I1692" s="8">
        <f>ROUND('Criaturas - Base de Dados'!K283*'Sistema de Raridade e Evolução'!E6,0)</f>
        <v>1900</v>
      </c>
      <c r="J1692" s="8">
        <f>'Sistema de Raridade e Evolução'!D6</f>
        <v>56</v>
      </c>
      <c r="K1692" s="8" t="s">
        <v>12</v>
      </c>
      <c r="L1692" s="9">
        <f t="shared" si="26"/>
        <v>1428571.43</v>
      </c>
    </row>
    <row r="1693" spans="1:12" ht="14.25" hidden="1" customHeight="1" x14ac:dyDescent="0.3">
      <c r="A1693" s="8">
        <v>1692</v>
      </c>
      <c r="B1693" s="8" t="str">
        <f>'Criaturas - Base de Dados'!B283</f>
        <v>Engrenagem Rúnica</v>
      </c>
      <c r="C1693" s="8" t="str">
        <f>'Criaturas - Base de Dados'!C283</f>
        <v>Tecnomancia</v>
      </c>
      <c r="D1693" s="8" t="str">
        <f>'Criaturas - Base de Dados'!D283</f>
        <v>Golem de Engrenagens</v>
      </c>
      <c r="E1693" s="8" t="str">
        <f>'Sistema de Raridade e Evolução'!B7</f>
        <v>Lendário</v>
      </c>
      <c r="F1693" s="9">
        <f>ROUND(('Criaturas - Base de Dados'!H283*'Sistema de Raridade e Evolução'!E7)*1000,2)</f>
        <v>1800000</v>
      </c>
      <c r="G1693" s="8">
        <f>ROUND('Criaturas - Base de Dados'!I283*'Sistema de Raridade e Evolução'!E7,0)</f>
        <v>1050</v>
      </c>
      <c r="H1693" s="8">
        <f>ROUND('Criaturas - Base de Dados'!J283*'Sistema de Raridade e Evolução'!E7,0)</f>
        <v>900</v>
      </c>
      <c r="I1693" s="8">
        <f>ROUND('Criaturas - Base de Dados'!K283*'Sistema de Raridade e Evolução'!E7,0)</f>
        <v>5700</v>
      </c>
      <c r="J1693" s="8">
        <f>'Sistema de Raridade e Evolução'!D7</f>
        <v>91</v>
      </c>
      <c r="K1693" s="8" t="s">
        <v>925</v>
      </c>
      <c r="L1693" s="9">
        <f t="shared" si="26"/>
        <v>4285714.29</v>
      </c>
    </row>
    <row r="1694" spans="1:12" ht="14.25" customHeight="1" x14ac:dyDescent="0.3">
      <c r="A1694" s="8">
        <v>1693</v>
      </c>
      <c r="B1694" s="8" t="str">
        <f>'Criaturas - Base de Dados'!B284</f>
        <v>Engrenagem Rúnica</v>
      </c>
      <c r="C1694" s="8" t="str">
        <f>'Criaturas - Base de Dados'!C284</f>
        <v>Tecnomancia</v>
      </c>
      <c r="D1694" s="8" t="str">
        <f>'Criaturas - Base de Dados'!D284</f>
        <v>Sentinela Rúnica</v>
      </c>
      <c r="E1694" s="8" t="str">
        <f>'Sistema de Raridade e Evolução'!B2</f>
        <v>Default</v>
      </c>
      <c r="F1694" s="9" t="e">
        <f>ROUND(('Criaturas - Base de Dados'!H284*'Sistema de Raridade e Evolução'!E2)*1000,2)</f>
        <v>#VALUE!</v>
      </c>
      <c r="G1694" s="8" t="e">
        <f>ROUND('Criaturas - Base de Dados'!I284*'Sistema de Raridade e Evolução'!E2,0)</f>
        <v>#VALUE!</v>
      </c>
      <c r="H1694" s="8" t="e">
        <f>ROUND('Criaturas - Base de Dados'!J284*'Sistema de Raridade e Evolução'!E2,0)</f>
        <v>#VALUE!</v>
      </c>
      <c r="I1694" s="8" t="e">
        <f>ROUND('Criaturas - Base de Dados'!K284*'Sistema de Raridade e Evolução'!E2,0)</f>
        <v>#VALUE!</v>
      </c>
      <c r="J1694" s="8">
        <f>'Sistema de Raridade e Evolução'!D2</f>
        <v>1</v>
      </c>
      <c r="K1694" s="8" t="s">
        <v>8</v>
      </c>
      <c r="L1694" s="9" t="e">
        <f t="shared" si="26"/>
        <v>#VALUE!</v>
      </c>
    </row>
    <row r="1695" spans="1:12" ht="14.25" hidden="1" customHeight="1" x14ac:dyDescent="0.3">
      <c r="A1695" s="8">
        <v>1694</v>
      </c>
      <c r="B1695" s="8" t="str">
        <f>'Criaturas - Base de Dados'!B284</f>
        <v>Engrenagem Rúnica</v>
      </c>
      <c r="C1695" s="8" t="str">
        <f>'Criaturas - Base de Dados'!C284</f>
        <v>Tecnomancia</v>
      </c>
      <c r="D1695" s="8" t="str">
        <f>'Criaturas - Base de Dados'!D284</f>
        <v>Sentinela Rúnica</v>
      </c>
      <c r="E1695" s="8" t="str">
        <f>'Sistema de Raridade e Evolução'!B3</f>
        <v>Bronze</v>
      </c>
      <c r="F1695" s="9">
        <f>ROUND(('Criaturas - Base de Dados'!H284*'Sistema de Raridade e Evolução'!E3)*1000,2)</f>
        <v>14000</v>
      </c>
      <c r="G1695" s="8">
        <f>ROUND('Criaturas - Base de Dados'!I284*'Sistema de Raridade e Evolução'!E3,0)</f>
        <v>8</v>
      </c>
      <c r="H1695" s="8">
        <f>ROUND('Criaturas - Base de Dados'!J284*'Sistema de Raridade e Evolução'!E3,0)</f>
        <v>7</v>
      </c>
      <c r="I1695" s="8">
        <f>ROUND('Criaturas - Base de Dados'!K284*'Sistema de Raridade e Evolução'!E3,0)</f>
        <v>45</v>
      </c>
      <c r="J1695" s="8">
        <f>'Sistema de Raridade e Evolução'!D3</f>
        <v>6</v>
      </c>
      <c r="K1695" s="8" t="s">
        <v>9</v>
      </c>
      <c r="L1695" s="9">
        <f t="shared" si="26"/>
        <v>33333.33</v>
      </c>
    </row>
    <row r="1696" spans="1:12" ht="14.25" hidden="1" customHeight="1" x14ac:dyDescent="0.3">
      <c r="A1696" s="8">
        <v>1695</v>
      </c>
      <c r="B1696" s="8" t="str">
        <f>'Criaturas - Base de Dados'!B284</f>
        <v>Engrenagem Rúnica</v>
      </c>
      <c r="C1696" s="8" t="str">
        <f>'Criaturas - Base de Dados'!C284</f>
        <v>Tecnomancia</v>
      </c>
      <c r="D1696" s="8" t="str">
        <f>'Criaturas - Base de Dados'!D284</f>
        <v>Sentinela Rúnica</v>
      </c>
      <c r="E1696" s="8" t="str">
        <f>'Sistema de Raridade e Evolução'!B4</f>
        <v>Prata</v>
      </c>
      <c r="F1696" s="9">
        <f>ROUND(('Criaturas - Base de Dados'!H284*'Sistema de Raridade e Evolução'!E4)*1000,2)</f>
        <v>84000</v>
      </c>
      <c r="G1696" s="8">
        <f>ROUND('Criaturas - Base de Dados'!I284*'Sistema de Raridade e Evolução'!E4,0)</f>
        <v>48</v>
      </c>
      <c r="H1696" s="8">
        <f>ROUND('Criaturas - Base de Dados'!J284*'Sistema de Raridade e Evolução'!E4,0)</f>
        <v>42</v>
      </c>
      <c r="I1696" s="8">
        <f>ROUND('Criaturas - Base de Dados'!K284*'Sistema de Raridade e Evolução'!E4,0)</f>
        <v>270</v>
      </c>
      <c r="J1696" s="8">
        <f>'Sistema de Raridade e Evolução'!D4</f>
        <v>16</v>
      </c>
      <c r="K1696" s="8" t="s">
        <v>10</v>
      </c>
      <c r="L1696" s="9">
        <f t="shared" si="26"/>
        <v>200000</v>
      </c>
    </row>
    <row r="1697" spans="1:12" ht="14.25" hidden="1" customHeight="1" x14ac:dyDescent="0.3">
      <c r="A1697" s="8">
        <v>1696</v>
      </c>
      <c r="B1697" s="8" t="str">
        <f>'Criaturas - Base de Dados'!B284</f>
        <v>Engrenagem Rúnica</v>
      </c>
      <c r="C1697" s="8" t="str">
        <f>'Criaturas - Base de Dados'!C284</f>
        <v>Tecnomancia</v>
      </c>
      <c r="D1697" s="8" t="str">
        <f>'Criaturas - Base de Dados'!D284</f>
        <v>Sentinela Rúnica</v>
      </c>
      <c r="E1697" s="8" t="str">
        <f>'Sistema de Raridade e Evolução'!B5</f>
        <v>Ouro</v>
      </c>
      <c r="F1697" s="9">
        <f>ROUND(('Criaturas - Base de Dados'!H284*'Sistema de Raridade e Evolução'!E5)*1000,2)</f>
        <v>252000</v>
      </c>
      <c r="G1697" s="8">
        <f>ROUND('Criaturas - Base de Dados'!I284*'Sistema de Raridade e Evolução'!E5,0)</f>
        <v>144</v>
      </c>
      <c r="H1697" s="8">
        <f>ROUND('Criaturas - Base de Dados'!J284*'Sistema de Raridade e Evolução'!E5,0)</f>
        <v>126</v>
      </c>
      <c r="I1697" s="8">
        <f>ROUND('Criaturas - Base de Dados'!K284*'Sistema de Raridade e Evolução'!E5,0)</f>
        <v>810</v>
      </c>
      <c r="J1697" s="8">
        <f>'Sistema de Raridade e Evolução'!D5</f>
        <v>31</v>
      </c>
      <c r="K1697" s="8" t="s">
        <v>11</v>
      </c>
      <c r="L1697" s="9">
        <f t="shared" si="26"/>
        <v>600000</v>
      </c>
    </row>
    <row r="1698" spans="1:12" ht="14.25" hidden="1" customHeight="1" x14ac:dyDescent="0.3">
      <c r="A1698" s="8">
        <v>1697</v>
      </c>
      <c r="B1698" s="8" t="str">
        <f>'Criaturas - Base de Dados'!B284</f>
        <v>Engrenagem Rúnica</v>
      </c>
      <c r="C1698" s="8" t="str">
        <f>'Criaturas - Base de Dados'!C284</f>
        <v>Tecnomancia</v>
      </c>
      <c r="D1698" s="8" t="str">
        <f>'Criaturas - Base de Dados'!D284</f>
        <v>Sentinela Rúnica</v>
      </c>
      <c r="E1698" s="8" t="str">
        <f>'Sistema de Raridade e Evolução'!B6</f>
        <v>Platina</v>
      </c>
      <c r="F1698" s="9">
        <f>ROUND(('Criaturas - Base de Dados'!H284*'Sistema de Raridade e Evolução'!E6)*1000,2)</f>
        <v>700000</v>
      </c>
      <c r="G1698" s="8">
        <f>ROUND('Criaturas - Base de Dados'!I284*'Sistema de Raridade e Evolução'!E6,0)</f>
        <v>400</v>
      </c>
      <c r="H1698" s="8">
        <f>ROUND('Criaturas - Base de Dados'!J284*'Sistema de Raridade e Evolução'!E6,0)</f>
        <v>350</v>
      </c>
      <c r="I1698" s="8">
        <f>ROUND('Criaturas - Base de Dados'!K284*'Sistema de Raridade e Evolução'!E6,0)</f>
        <v>2250</v>
      </c>
      <c r="J1698" s="8">
        <f>'Sistema de Raridade e Evolução'!D6</f>
        <v>56</v>
      </c>
      <c r="K1698" s="8" t="s">
        <v>12</v>
      </c>
      <c r="L1698" s="9">
        <f t="shared" si="26"/>
        <v>1666666.67</v>
      </c>
    </row>
    <row r="1699" spans="1:12" ht="14.25" hidden="1" customHeight="1" x14ac:dyDescent="0.3">
      <c r="A1699" s="8">
        <v>1698</v>
      </c>
      <c r="B1699" s="8" t="str">
        <f>'Criaturas - Base de Dados'!B284</f>
        <v>Engrenagem Rúnica</v>
      </c>
      <c r="C1699" s="8" t="str">
        <f>'Criaturas - Base de Dados'!C284</f>
        <v>Tecnomancia</v>
      </c>
      <c r="D1699" s="8" t="str">
        <f>'Criaturas - Base de Dados'!D284</f>
        <v>Sentinela Rúnica</v>
      </c>
      <c r="E1699" s="8" t="str">
        <f>'Sistema de Raridade e Evolução'!B7</f>
        <v>Lendário</v>
      </c>
      <c r="F1699" s="9">
        <f>ROUND(('Criaturas - Base de Dados'!H284*'Sistema de Raridade e Evolução'!E7)*1000,2)</f>
        <v>2100000</v>
      </c>
      <c r="G1699" s="8">
        <f>ROUND('Criaturas - Base de Dados'!I284*'Sistema de Raridade e Evolução'!E7,0)</f>
        <v>1200</v>
      </c>
      <c r="H1699" s="8">
        <f>ROUND('Criaturas - Base de Dados'!J284*'Sistema de Raridade e Evolução'!E7,0)</f>
        <v>1050</v>
      </c>
      <c r="I1699" s="8">
        <f>ROUND('Criaturas - Base de Dados'!K284*'Sistema de Raridade e Evolução'!E7,0)</f>
        <v>6750</v>
      </c>
      <c r="J1699" s="8">
        <f>'Sistema de Raridade e Evolução'!D7</f>
        <v>91</v>
      </c>
      <c r="K1699" s="8" t="s">
        <v>925</v>
      </c>
      <c r="L1699" s="9">
        <f t="shared" si="26"/>
        <v>5000000</v>
      </c>
    </row>
    <row r="1700" spans="1:12" ht="14.25" customHeight="1" x14ac:dyDescent="0.3">
      <c r="A1700" s="8">
        <v>1699</v>
      </c>
      <c r="B1700" s="8" t="str">
        <f>'Criaturas - Base de Dados'!B285</f>
        <v>Engrenagem Rúnica</v>
      </c>
      <c r="C1700" s="8" t="str">
        <f>'Criaturas - Base de Dados'!C285</f>
        <v>Tecnomancia</v>
      </c>
      <c r="D1700" s="8" t="str">
        <f>'Criaturas - Base de Dados'!D285</f>
        <v>Homúnculo Mecânico</v>
      </c>
      <c r="E1700" s="8" t="str">
        <f>'Sistema de Raridade e Evolução'!B2</f>
        <v>Default</v>
      </c>
      <c r="F1700" s="9" t="e">
        <f>ROUND(('Criaturas - Base de Dados'!H285*'Sistema de Raridade e Evolução'!E2)*1000,2)</f>
        <v>#VALUE!</v>
      </c>
      <c r="G1700" s="8" t="e">
        <f>ROUND('Criaturas - Base de Dados'!I285*'Sistema de Raridade e Evolução'!E2,0)</f>
        <v>#VALUE!</v>
      </c>
      <c r="H1700" s="8" t="e">
        <f>ROUND('Criaturas - Base de Dados'!J285*'Sistema de Raridade e Evolução'!E2,0)</f>
        <v>#VALUE!</v>
      </c>
      <c r="I1700" s="8" t="e">
        <f>ROUND('Criaturas - Base de Dados'!K285*'Sistema de Raridade e Evolução'!E2,0)</f>
        <v>#VALUE!</v>
      </c>
      <c r="J1700" s="8">
        <f>'Sistema de Raridade e Evolução'!D2</f>
        <v>1</v>
      </c>
      <c r="K1700" s="8" t="s">
        <v>8</v>
      </c>
      <c r="L1700" s="9" t="e">
        <f t="shared" si="26"/>
        <v>#VALUE!</v>
      </c>
    </row>
    <row r="1701" spans="1:12" ht="14.25" hidden="1" customHeight="1" x14ac:dyDescent="0.3">
      <c r="A1701" s="8">
        <v>1700</v>
      </c>
      <c r="B1701" s="8" t="str">
        <f>'Criaturas - Base de Dados'!B285</f>
        <v>Engrenagem Rúnica</v>
      </c>
      <c r="C1701" s="8" t="str">
        <f>'Criaturas - Base de Dados'!C285</f>
        <v>Tecnomancia</v>
      </c>
      <c r="D1701" s="8" t="str">
        <f>'Criaturas - Base de Dados'!D285</f>
        <v>Homúnculo Mecânico</v>
      </c>
      <c r="E1701" s="8" t="str">
        <f>'Sistema de Raridade e Evolução'!B3</f>
        <v>Bronze</v>
      </c>
      <c r="F1701" s="9">
        <f>ROUND(('Criaturas - Base de Dados'!H285*'Sistema de Raridade e Evolução'!E3)*1000,2)</f>
        <v>16000</v>
      </c>
      <c r="G1701" s="8">
        <f>ROUND('Criaturas - Base de Dados'!I285*'Sistema de Raridade e Evolução'!E3,0)</f>
        <v>10</v>
      </c>
      <c r="H1701" s="8">
        <f>ROUND('Criaturas - Base de Dados'!J285*'Sistema de Raridade e Evolução'!E3,0)</f>
        <v>8</v>
      </c>
      <c r="I1701" s="8">
        <f>ROUND('Criaturas - Base de Dados'!K285*'Sistema de Raridade e Evolução'!E3,0)</f>
        <v>51</v>
      </c>
      <c r="J1701" s="8">
        <f>'Sistema de Raridade e Evolução'!D3</f>
        <v>6</v>
      </c>
      <c r="K1701" s="8" t="s">
        <v>9</v>
      </c>
      <c r="L1701" s="9">
        <f t="shared" si="26"/>
        <v>38095.24</v>
      </c>
    </row>
    <row r="1702" spans="1:12" ht="14.25" hidden="1" customHeight="1" x14ac:dyDescent="0.3">
      <c r="A1702" s="8">
        <v>1701</v>
      </c>
      <c r="B1702" s="8" t="str">
        <f>'Criaturas - Base de Dados'!B285</f>
        <v>Engrenagem Rúnica</v>
      </c>
      <c r="C1702" s="8" t="str">
        <f>'Criaturas - Base de Dados'!C285</f>
        <v>Tecnomancia</v>
      </c>
      <c r="D1702" s="8" t="str">
        <f>'Criaturas - Base de Dados'!D285</f>
        <v>Homúnculo Mecânico</v>
      </c>
      <c r="E1702" s="8" t="str">
        <f>'Sistema de Raridade e Evolução'!B4</f>
        <v>Prata</v>
      </c>
      <c r="F1702" s="9">
        <f>ROUND(('Criaturas - Base de Dados'!H285*'Sistema de Raridade e Evolução'!E4)*1000,2)</f>
        <v>96000</v>
      </c>
      <c r="G1702" s="8">
        <f>ROUND('Criaturas - Base de Dados'!I285*'Sistema de Raridade e Evolução'!E4,0)</f>
        <v>60</v>
      </c>
      <c r="H1702" s="8">
        <f>ROUND('Criaturas - Base de Dados'!J285*'Sistema de Raridade e Evolução'!E4,0)</f>
        <v>48</v>
      </c>
      <c r="I1702" s="8">
        <f>ROUND('Criaturas - Base de Dados'!K285*'Sistema de Raridade e Evolução'!E4,0)</f>
        <v>306</v>
      </c>
      <c r="J1702" s="8">
        <f>'Sistema de Raridade e Evolução'!D4</f>
        <v>16</v>
      </c>
      <c r="K1702" s="8" t="s">
        <v>10</v>
      </c>
      <c r="L1702" s="9">
        <f t="shared" si="26"/>
        <v>228571.43</v>
      </c>
    </row>
    <row r="1703" spans="1:12" ht="14.25" hidden="1" customHeight="1" x14ac:dyDescent="0.3">
      <c r="A1703" s="8">
        <v>1702</v>
      </c>
      <c r="B1703" s="8" t="str">
        <f>'Criaturas - Base de Dados'!B285</f>
        <v>Engrenagem Rúnica</v>
      </c>
      <c r="C1703" s="8" t="str">
        <f>'Criaturas - Base de Dados'!C285</f>
        <v>Tecnomancia</v>
      </c>
      <c r="D1703" s="8" t="str">
        <f>'Criaturas - Base de Dados'!D285</f>
        <v>Homúnculo Mecânico</v>
      </c>
      <c r="E1703" s="8" t="str">
        <f>'Sistema de Raridade e Evolução'!B5</f>
        <v>Ouro</v>
      </c>
      <c r="F1703" s="9">
        <f>ROUND(('Criaturas - Base de Dados'!H285*'Sistema de Raridade e Evolução'!E5)*1000,2)</f>
        <v>288000</v>
      </c>
      <c r="G1703" s="8">
        <f>ROUND('Criaturas - Base de Dados'!I285*'Sistema de Raridade e Evolução'!E5,0)</f>
        <v>180</v>
      </c>
      <c r="H1703" s="8">
        <f>ROUND('Criaturas - Base de Dados'!J285*'Sistema de Raridade e Evolução'!E5,0)</f>
        <v>144</v>
      </c>
      <c r="I1703" s="8">
        <f>ROUND('Criaturas - Base de Dados'!K285*'Sistema de Raridade e Evolução'!E5,0)</f>
        <v>918</v>
      </c>
      <c r="J1703" s="8">
        <f>'Sistema de Raridade e Evolução'!D5</f>
        <v>31</v>
      </c>
      <c r="K1703" s="8" t="s">
        <v>11</v>
      </c>
      <c r="L1703" s="9">
        <f t="shared" si="26"/>
        <v>685714.29</v>
      </c>
    </row>
    <row r="1704" spans="1:12" ht="14.25" hidden="1" customHeight="1" x14ac:dyDescent="0.3">
      <c r="A1704" s="8">
        <v>1703</v>
      </c>
      <c r="B1704" s="8" t="str">
        <f>'Criaturas - Base de Dados'!B285</f>
        <v>Engrenagem Rúnica</v>
      </c>
      <c r="C1704" s="8" t="str">
        <f>'Criaturas - Base de Dados'!C285</f>
        <v>Tecnomancia</v>
      </c>
      <c r="D1704" s="8" t="str">
        <f>'Criaturas - Base de Dados'!D285</f>
        <v>Homúnculo Mecânico</v>
      </c>
      <c r="E1704" s="8" t="str">
        <f>'Sistema de Raridade e Evolução'!B6</f>
        <v>Platina</v>
      </c>
      <c r="F1704" s="9">
        <f>ROUND(('Criaturas - Base de Dados'!H285*'Sistema de Raridade e Evolução'!E6)*1000,2)</f>
        <v>800000</v>
      </c>
      <c r="G1704" s="8">
        <f>ROUND('Criaturas - Base de Dados'!I285*'Sistema de Raridade e Evolução'!E6,0)</f>
        <v>500</v>
      </c>
      <c r="H1704" s="8">
        <f>ROUND('Criaturas - Base de Dados'!J285*'Sistema de Raridade e Evolução'!E6,0)</f>
        <v>400</v>
      </c>
      <c r="I1704" s="8">
        <f>ROUND('Criaturas - Base de Dados'!K285*'Sistema de Raridade e Evolução'!E6,0)</f>
        <v>2550</v>
      </c>
      <c r="J1704" s="8">
        <f>'Sistema de Raridade e Evolução'!D6</f>
        <v>56</v>
      </c>
      <c r="K1704" s="8" t="s">
        <v>12</v>
      </c>
      <c r="L1704" s="9">
        <f t="shared" si="26"/>
        <v>1904761.9</v>
      </c>
    </row>
    <row r="1705" spans="1:12" ht="14.25" hidden="1" customHeight="1" x14ac:dyDescent="0.3">
      <c r="A1705" s="8">
        <v>1704</v>
      </c>
      <c r="B1705" s="8" t="str">
        <f>'Criaturas - Base de Dados'!B285</f>
        <v>Engrenagem Rúnica</v>
      </c>
      <c r="C1705" s="8" t="str">
        <f>'Criaturas - Base de Dados'!C285</f>
        <v>Tecnomancia</v>
      </c>
      <c r="D1705" s="8" t="str">
        <f>'Criaturas - Base de Dados'!D285</f>
        <v>Homúnculo Mecânico</v>
      </c>
      <c r="E1705" s="8" t="str">
        <f>'Sistema de Raridade e Evolução'!B7</f>
        <v>Lendário</v>
      </c>
      <c r="F1705" s="9">
        <f>ROUND(('Criaturas - Base de Dados'!H285*'Sistema de Raridade e Evolução'!E7)*1000,2)</f>
        <v>2400000</v>
      </c>
      <c r="G1705" s="8">
        <f>ROUND('Criaturas - Base de Dados'!I285*'Sistema de Raridade e Evolução'!E7,0)</f>
        <v>1500</v>
      </c>
      <c r="H1705" s="8">
        <f>ROUND('Criaturas - Base de Dados'!J285*'Sistema de Raridade e Evolução'!E7,0)</f>
        <v>1200</v>
      </c>
      <c r="I1705" s="8">
        <f>ROUND('Criaturas - Base de Dados'!K285*'Sistema de Raridade e Evolução'!E7,0)</f>
        <v>7650</v>
      </c>
      <c r="J1705" s="8">
        <f>'Sistema de Raridade e Evolução'!D7</f>
        <v>91</v>
      </c>
      <c r="K1705" s="8" t="s">
        <v>925</v>
      </c>
      <c r="L1705" s="9">
        <f t="shared" si="26"/>
        <v>5714285.71</v>
      </c>
    </row>
    <row r="1706" spans="1:12" ht="14.25" customHeight="1" x14ac:dyDescent="0.3">
      <c r="A1706" s="8">
        <v>1705</v>
      </c>
      <c r="B1706" s="8" t="str">
        <f>'Criaturas - Base de Dados'!B286</f>
        <v>Engrenagem Rúnica</v>
      </c>
      <c r="C1706" s="8" t="str">
        <f>'Criaturas - Base de Dados'!C286</f>
        <v>Tecnomancia</v>
      </c>
      <c r="D1706" s="8" t="str">
        <f>'Criaturas - Base de Dados'!D286</f>
        <v>Coruja de Engrenagens</v>
      </c>
      <c r="E1706" s="8" t="str">
        <f>'Sistema de Raridade e Evolução'!B2</f>
        <v>Default</v>
      </c>
      <c r="F1706" s="9" t="e">
        <f>ROUND(('Criaturas - Base de Dados'!H286*'Sistema de Raridade e Evolução'!E2)*1000,2)</f>
        <v>#VALUE!</v>
      </c>
      <c r="G1706" s="8" t="e">
        <f>ROUND('Criaturas - Base de Dados'!I286*'Sistema de Raridade e Evolução'!E2,0)</f>
        <v>#VALUE!</v>
      </c>
      <c r="H1706" s="8" t="e">
        <f>ROUND('Criaturas - Base de Dados'!J286*'Sistema de Raridade e Evolução'!E2,0)</f>
        <v>#VALUE!</v>
      </c>
      <c r="I1706" s="8" t="e">
        <f>ROUND('Criaturas - Base de Dados'!K286*'Sistema de Raridade e Evolução'!E2,0)</f>
        <v>#VALUE!</v>
      </c>
      <c r="J1706" s="8">
        <f>'Sistema de Raridade e Evolução'!D2</f>
        <v>1</v>
      </c>
      <c r="K1706" s="8" t="s">
        <v>8</v>
      </c>
      <c r="L1706" s="9" t="e">
        <f t="shared" si="26"/>
        <v>#VALUE!</v>
      </c>
    </row>
    <row r="1707" spans="1:12" ht="14.25" hidden="1" customHeight="1" x14ac:dyDescent="0.3">
      <c r="A1707" s="8">
        <v>1706</v>
      </c>
      <c r="B1707" s="8" t="str">
        <f>'Criaturas - Base de Dados'!B286</f>
        <v>Engrenagem Rúnica</v>
      </c>
      <c r="C1707" s="8" t="str">
        <f>'Criaturas - Base de Dados'!C286</f>
        <v>Tecnomancia</v>
      </c>
      <c r="D1707" s="8" t="str">
        <f>'Criaturas - Base de Dados'!D286</f>
        <v>Coruja de Engrenagens</v>
      </c>
      <c r="E1707" s="8" t="str">
        <f>'Sistema de Raridade e Evolução'!B3</f>
        <v>Bronze</v>
      </c>
      <c r="F1707" s="9">
        <f>ROUND(('Criaturas - Base de Dados'!H286*'Sistema de Raridade e Evolução'!E3)*1000,2)</f>
        <v>16000</v>
      </c>
      <c r="G1707" s="8">
        <f>ROUND('Criaturas - Base de Dados'!I286*'Sistema de Raridade e Evolução'!E3,0)</f>
        <v>10</v>
      </c>
      <c r="H1707" s="8">
        <f>ROUND('Criaturas - Base de Dados'!J286*'Sistema de Raridade e Evolução'!E3,0)</f>
        <v>8</v>
      </c>
      <c r="I1707" s="8">
        <f>ROUND('Criaturas - Base de Dados'!K286*'Sistema de Raridade e Evolução'!E3,0)</f>
        <v>51</v>
      </c>
      <c r="J1707" s="8">
        <f>'Sistema de Raridade e Evolução'!D3</f>
        <v>6</v>
      </c>
      <c r="K1707" s="8" t="s">
        <v>9</v>
      </c>
      <c r="L1707" s="9">
        <f t="shared" si="26"/>
        <v>38095.24</v>
      </c>
    </row>
    <row r="1708" spans="1:12" ht="14.25" hidden="1" customHeight="1" x14ac:dyDescent="0.3">
      <c r="A1708" s="8">
        <v>1707</v>
      </c>
      <c r="B1708" s="8" t="str">
        <f>'Criaturas - Base de Dados'!B286</f>
        <v>Engrenagem Rúnica</v>
      </c>
      <c r="C1708" s="8" t="str">
        <f>'Criaturas - Base de Dados'!C286</f>
        <v>Tecnomancia</v>
      </c>
      <c r="D1708" s="8" t="str">
        <f>'Criaturas - Base de Dados'!D286</f>
        <v>Coruja de Engrenagens</v>
      </c>
      <c r="E1708" s="8" t="str">
        <f>'Sistema de Raridade e Evolução'!B4</f>
        <v>Prata</v>
      </c>
      <c r="F1708" s="9">
        <f>ROUND(('Criaturas - Base de Dados'!H286*'Sistema de Raridade e Evolução'!E4)*1000,2)</f>
        <v>96000</v>
      </c>
      <c r="G1708" s="8">
        <f>ROUND('Criaturas - Base de Dados'!I286*'Sistema de Raridade e Evolução'!E4,0)</f>
        <v>60</v>
      </c>
      <c r="H1708" s="8">
        <f>ROUND('Criaturas - Base de Dados'!J286*'Sistema de Raridade e Evolução'!E4,0)</f>
        <v>48</v>
      </c>
      <c r="I1708" s="8">
        <f>ROUND('Criaturas - Base de Dados'!K286*'Sistema de Raridade e Evolução'!E4,0)</f>
        <v>306</v>
      </c>
      <c r="J1708" s="8">
        <f>'Sistema de Raridade e Evolução'!D4</f>
        <v>16</v>
      </c>
      <c r="K1708" s="8" t="s">
        <v>10</v>
      </c>
      <c r="L1708" s="9">
        <f t="shared" si="26"/>
        <v>228571.43</v>
      </c>
    </row>
    <row r="1709" spans="1:12" ht="14.25" hidden="1" customHeight="1" x14ac:dyDescent="0.3">
      <c r="A1709" s="8">
        <v>1708</v>
      </c>
      <c r="B1709" s="8" t="str">
        <f>'Criaturas - Base de Dados'!B286</f>
        <v>Engrenagem Rúnica</v>
      </c>
      <c r="C1709" s="8" t="str">
        <f>'Criaturas - Base de Dados'!C286</f>
        <v>Tecnomancia</v>
      </c>
      <c r="D1709" s="8" t="str">
        <f>'Criaturas - Base de Dados'!D286</f>
        <v>Coruja de Engrenagens</v>
      </c>
      <c r="E1709" s="8" t="str">
        <f>'Sistema de Raridade e Evolução'!B5</f>
        <v>Ouro</v>
      </c>
      <c r="F1709" s="9">
        <f>ROUND(('Criaturas - Base de Dados'!H286*'Sistema de Raridade e Evolução'!E5)*1000,2)</f>
        <v>288000</v>
      </c>
      <c r="G1709" s="8">
        <f>ROUND('Criaturas - Base de Dados'!I286*'Sistema de Raridade e Evolução'!E5,0)</f>
        <v>180</v>
      </c>
      <c r="H1709" s="8">
        <f>ROUND('Criaturas - Base de Dados'!J286*'Sistema de Raridade e Evolução'!E5,0)</f>
        <v>144</v>
      </c>
      <c r="I1709" s="8">
        <f>ROUND('Criaturas - Base de Dados'!K286*'Sistema de Raridade e Evolução'!E5,0)</f>
        <v>918</v>
      </c>
      <c r="J1709" s="8">
        <f>'Sistema de Raridade e Evolução'!D5</f>
        <v>31</v>
      </c>
      <c r="K1709" s="8" t="s">
        <v>11</v>
      </c>
      <c r="L1709" s="9">
        <f t="shared" si="26"/>
        <v>685714.29</v>
      </c>
    </row>
    <row r="1710" spans="1:12" ht="14.25" hidden="1" customHeight="1" x14ac:dyDescent="0.3">
      <c r="A1710" s="8">
        <v>1709</v>
      </c>
      <c r="B1710" s="8" t="str">
        <f>'Criaturas - Base de Dados'!B286</f>
        <v>Engrenagem Rúnica</v>
      </c>
      <c r="C1710" s="8" t="str">
        <f>'Criaturas - Base de Dados'!C286</f>
        <v>Tecnomancia</v>
      </c>
      <c r="D1710" s="8" t="str">
        <f>'Criaturas - Base de Dados'!D286</f>
        <v>Coruja de Engrenagens</v>
      </c>
      <c r="E1710" s="8" t="str">
        <f>'Sistema de Raridade e Evolução'!B6</f>
        <v>Platina</v>
      </c>
      <c r="F1710" s="9">
        <f>ROUND(('Criaturas - Base de Dados'!H286*'Sistema de Raridade e Evolução'!E6)*1000,2)</f>
        <v>800000</v>
      </c>
      <c r="G1710" s="8">
        <f>ROUND('Criaturas - Base de Dados'!I286*'Sistema de Raridade e Evolução'!E6,0)</f>
        <v>500</v>
      </c>
      <c r="H1710" s="8">
        <f>ROUND('Criaturas - Base de Dados'!J286*'Sistema de Raridade e Evolução'!E6,0)</f>
        <v>400</v>
      </c>
      <c r="I1710" s="8">
        <f>ROUND('Criaturas - Base de Dados'!K286*'Sistema de Raridade e Evolução'!E6,0)</f>
        <v>2550</v>
      </c>
      <c r="J1710" s="8">
        <f>'Sistema de Raridade e Evolução'!D6</f>
        <v>56</v>
      </c>
      <c r="K1710" s="8" t="s">
        <v>12</v>
      </c>
      <c r="L1710" s="9">
        <f t="shared" si="26"/>
        <v>1904761.9</v>
      </c>
    </row>
    <row r="1711" spans="1:12" ht="14.25" hidden="1" customHeight="1" x14ac:dyDescent="0.3">
      <c r="A1711" s="8">
        <v>1710</v>
      </c>
      <c r="B1711" s="8" t="str">
        <f>'Criaturas - Base de Dados'!B286</f>
        <v>Engrenagem Rúnica</v>
      </c>
      <c r="C1711" s="8" t="str">
        <f>'Criaturas - Base de Dados'!C286</f>
        <v>Tecnomancia</v>
      </c>
      <c r="D1711" s="8" t="str">
        <f>'Criaturas - Base de Dados'!D286</f>
        <v>Coruja de Engrenagens</v>
      </c>
      <c r="E1711" s="8" t="str">
        <f>'Sistema de Raridade e Evolução'!B7</f>
        <v>Lendário</v>
      </c>
      <c r="F1711" s="9">
        <f>ROUND(('Criaturas - Base de Dados'!H286*'Sistema de Raridade e Evolução'!E7)*1000,2)</f>
        <v>2400000</v>
      </c>
      <c r="G1711" s="8">
        <f>ROUND('Criaturas - Base de Dados'!I286*'Sistema de Raridade e Evolução'!E7,0)</f>
        <v>1500</v>
      </c>
      <c r="H1711" s="8">
        <f>ROUND('Criaturas - Base de Dados'!J286*'Sistema de Raridade e Evolução'!E7,0)</f>
        <v>1200</v>
      </c>
      <c r="I1711" s="8">
        <f>ROUND('Criaturas - Base de Dados'!K286*'Sistema de Raridade e Evolução'!E7,0)</f>
        <v>7650</v>
      </c>
      <c r="J1711" s="8">
        <f>'Sistema de Raridade e Evolução'!D7</f>
        <v>91</v>
      </c>
      <c r="K1711" s="8" t="s">
        <v>925</v>
      </c>
      <c r="L1711" s="9">
        <f t="shared" si="26"/>
        <v>5714285.71</v>
      </c>
    </row>
    <row r="1712" spans="1:12" ht="14.25" customHeight="1" x14ac:dyDescent="0.3">
      <c r="A1712" s="8">
        <v>1711</v>
      </c>
      <c r="B1712" s="8" t="str">
        <f>'Criaturas - Base de Dados'!B287</f>
        <v>Engrenagem Rúnica</v>
      </c>
      <c r="C1712" s="8" t="str">
        <f>'Criaturas - Base de Dados'!C287</f>
        <v>Tecnomancia</v>
      </c>
      <c r="D1712" s="8" t="str">
        <f>'Criaturas - Base de Dados'!D287</f>
        <v>Dragão de Metal Rúnico</v>
      </c>
      <c r="E1712" s="8" t="str">
        <f>'Sistema de Raridade e Evolução'!B2</f>
        <v>Default</v>
      </c>
      <c r="F1712" s="9" t="e">
        <f>ROUND(('Criaturas - Base de Dados'!H287*'Sistema de Raridade e Evolução'!E2)*1000,2)</f>
        <v>#VALUE!</v>
      </c>
      <c r="G1712" s="8" t="e">
        <f>ROUND('Criaturas - Base de Dados'!I287*'Sistema de Raridade e Evolução'!E2,0)</f>
        <v>#VALUE!</v>
      </c>
      <c r="H1712" s="8" t="e">
        <f>ROUND('Criaturas - Base de Dados'!J287*'Sistema de Raridade e Evolução'!E2,0)</f>
        <v>#VALUE!</v>
      </c>
      <c r="I1712" s="8" t="e">
        <f>ROUND('Criaturas - Base de Dados'!K287*'Sistema de Raridade e Evolução'!E2,0)</f>
        <v>#VALUE!</v>
      </c>
      <c r="J1712" s="8">
        <f>'Sistema de Raridade e Evolução'!D2</f>
        <v>1</v>
      </c>
      <c r="K1712" s="8" t="s">
        <v>8</v>
      </c>
      <c r="L1712" s="9" t="e">
        <f t="shared" si="26"/>
        <v>#VALUE!</v>
      </c>
    </row>
    <row r="1713" spans="1:12" ht="14.25" hidden="1" customHeight="1" x14ac:dyDescent="0.3">
      <c r="A1713" s="8">
        <v>1712</v>
      </c>
      <c r="B1713" s="8" t="str">
        <f>'Criaturas - Base de Dados'!B287</f>
        <v>Engrenagem Rúnica</v>
      </c>
      <c r="C1713" s="8" t="str">
        <f>'Criaturas - Base de Dados'!C287</f>
        <v>Tecnomancia</v>
      </c>
      <c r="D1713" s="8" t="str">
        <f>'Criaturas - Base de Dados'!D287</f>
        <v>Dragão de Metal Rúnico</v>
      </c>
      <c r="E1713" s="8" t="str">
        <f>'Sistema de Raridade e Evolução'!B3</f>
        <v>Bronze</v>
      </c>
      <c r="F1713" s="9">
        <f>ROUND(('Criaturas - Base de Dados'!H287*'Sistema de Raridade e Evolução'!E3)*1000,2)</f>
        <v>18000</v>
      </c>
      <c r="G1713" s="8">
        <f>ROUND('Criaturas - Base de Dados'!I287*'Sistema de Raridade e Evolução'!E3,0)</f>
        <v>11</v>
      </c>
      <c r="H1713" s="8">
        <f>ROUND('Criaturas - Base de Dados'!J287*'Sistema de Raridade e Evolução'!E3,0)</f>
        <v>9</v>
      </c>
      <c r="I1713" s="8">
        <f>ROUND('Criaturas - Base de Dados'!K287*'Sistema de Raridade e Evolução'!E3,0)</f>
        <v>58</v>
      </c>
      <c r="J1713" s="8">
        <f>'Sistema de Raridade e Evolução'!D3</f>
        <v>6</v>
      </c>
      <c r="K1713" s="8" t="s">
        <v>9</v>
      </c>
      <c r="L1713" s="9">
        <f t="shared" si="26"/>
        <v>42857.14</v>
      </c>
    </row>
    <row r="1714" spans="1:12" ht="14.25" hidden="1" customHeight="1" x14ac:dyDescent="0.3">
      <c r="A1714" s="8">
        <v>1713</v>
      </c>
      <c r="B1714" s="8" t="str">
        <f>'Criaturas - Base de Dados'!B287</f>
        <v>Engrenagem Rúnica</v>
      </c>
      <c r="C1714" s="8" t="str">
        <f>'Criaturas - Base de Dados'!C287</f>
        <v>Tecnomancia</v>
      </c>
      <c r="D1714" s="8" t="str">
        <f>'Criaturas - Base de Dados'!D287</f>
        <v>Dragão de Metal Rúnico</v>
      </c>
      <c r="E1714" s="8" t="str">
        <f>'Sistema de Raridade e Evolução'!B4</f>
        <v>Prata</v>
      </c>
      <c r="F1714" s="9">
        <f>ROUND(('Criaturas - Base de Dados'!H287*'Sistema de Raridade e Evolução'!E4)*1000,2)</f>
        <v>108000</v>
      </c>
      <c r="G1714" s="8">
        <f>ROUND('Criaturas - Base de Dados'!I287*'Sistema de Raridade e Evolução'!E4,0)</f>
        <v>66</v>
      </c>
      <c r="H1714" s="8">
        <f>ROUND('Criaturas - Base de Dados'!J287*'Sistema de Raridade e Evolução'!E4,0)</f>
        <v>54</v>
      </c>
      <c r="I1714" s="8">
        <f>ROUND('Criaturas - Base de Dados'!K287*'Sistema de Raridade e Evolução'!E4,0)</f>
        <v>348</v>
      </c>
      <c r="J1714" s="8">
        <f>'Sistema de Raridade e Evolução'!D4</f>
        <v>16</v>
      </c>
      <c r="K1714" s="8" t="s">
        <v>10</v>
      </c>
      <c r="L1714" s="9">
        <f t="shared" si="26"/>
        <v>257142.86</v>
      </c>
    </row>
    <row r="1715" spans="1:12" ht="14.25" hidden="1" customHeight="1" x14ac:dyDescent="0.3">
      <c r="A1715" s="8">
        <v>1714</v>
      </c>
      <c r="B1715" s="8" t="str">
        <f>'Criaturas - Base de Dados'!B287</f>
        <v>Engrenagem Rúnica</v>
      </c>
      <c r="C1715" s="8" t="str">
        <f>'Criaturas - Base de Dados'!C287</f>
        <v>Tecnomancia</v>
      </c>
      <c r="D1715" s="8" t="str">
        <f>'Criaturas - Base de Dados'!D287</f>
        <v>Dragão de Metal Rúnico</v>
      </c>
      <c r="E1715" s="8" t="str">
        <f>'Sistema de Raridade e Evolução'!B5</f>
        <v>Ouro</v>
      </c>
      <c r="F1715" s="9">
        <f>ROUND(('Criaturas - Base de Dados'!H287*'Sistema de Raridade e Evolução'!E5)*1000,2)</f>
        <v>324000</v>
      </c>
      <c r="G1715" s="8">
        <f>ROUND('Criaturas - Base de Dados'!I287*'Sistema de Raridade e Evolução'!E5,0)</f>
        <v>198</v>
      </c>
      <c r="H1715" s="8">
        <f>ROUND('Criaturas - Base de Dados'!J287*'Sistema de Raridade e Evolução'!E5,0)</f>
        <v>162</v>
      </c>
      <c r="I1715" s="8">
        <f>ROUND('Criaturas - Base de Dados'!K287*'Sistema de Raridade e Evolução'!E5,0)</f>
        <v>1044</v>
      </c>
      <c r="J1715" s="8">
        <f>'Sistema de Raridade e Evolução'!D5</f>
        <v>31</v>
      </c>
      <c r="K1715" s="8" t="s">
        <v>11</v>
      </c>
      <c r="L1715" s="9">
        <f t="shared" si="26"/>
        <v>771428.57</v>
      </c>
    </row>
    <row r="1716" spans="1:12" ht="14.25" hidden="1" customHeight="1" x14ac:dyDescent="0.3">
      <c r="A1716" s="8">
        <v>1715</v>
      </c>
      <c r="B1716" s="8" t="str">
        <f>'Criaturas - Base de Dados'!B287</f>
        <v>Engrenagem Rúnica</v>
      </c>
      <c r="C1716" s="8" t="str">
        <f>'Criaturas - Base de Dados'!C287</f>
        <v>Tecnomancia</v>
      </c>
      <c r="D1716" s="8" t="str">
        <f>'Criaturas - Base de Dados'!D287</f>
        <v>Dragão de Metal Rúnico</v>
      </c>
      <c r="E1716" s="8" t="str">
        <f>'Sistema de Raridade e Evolução'!B6</f>
        <v>Platina</v>
      </c>
      <c r="F1716" s="9">
        <f>ROUND(('Criaturas - Base de Dados'!H287*'Sistema de Raridade e Evolução'!E6)*1000,2)</f>
        <v>900000</v>
      </c>
      <c r="G1716" s="8">
        <f>ROUND('Criaturas - Base de Dados'!I287*'Sistema de Raridade e Evolução'!E6,0)</f>
        <v>550</v>
      </c>
      <c r="H1716" s="8">
        <f>ROUND('Criaturas - Base de Dados'!J287*'Sistema de Raridade e Evolução'!E6,0)</f>
        <v>450</v>
      </c>
      <c r="I1716" s="8">
        <f>ROUND('Criaturas - Base de Dados'!K287*'Sistema de Raridade e Evolução'!E6,0)</f>
        <v>2900</v>
      </c>
      <c r="J1716" s="8">
        <f>'Sistema de Raridade e Evolução'!D6</f>
        <v>56</v>
      </c>
      <c r="K1716" s="8" t="s">
        <v>12</v>
      </c>
      <c r="L1716" s="9">
        <f t="shared" si="26"/>
        <v>2142857.14</v>
      </c>
    </row>
    <row r="1717" spans="1:12" ht="14.25" hidden="1" customHeight="1" x14ac:dyDescent="0.3">
      <c r="A1717" s="8">
        <v>1716</v>
      </c>
      <c r="B1717" s="8" t="str">
        <f>'Criaturas - Base de Dados'!B287</f>
        <v>Engrenagem Rúnica</v>
      </c>
      <c r="C1717" s="8" t="str">
        <f>'Criaturas - Base de Dados'!C287</f>
        <v>Tecnomancia</v>
      </c>
      <c r="D1717" s="8" t="str">
        <f>'Criaturas - Base de Dados'!D287</f>
        <v>Dragão de Metal Rúnico</v>
      </c>
      <c r="E1717" s="8" t="str">
        <f>'Sistema de Raridade e Evolução'!B7</f>
        <v>Lendário</v>
      </c>
      <c r="F1717" s="9">
        <f>ROUND(('Criaturas - Base de Dados'!H287*'Sistema de Raridade e Evolução'!E7)*1000,2)</f>
        <v>2700000</v>
      </c>
      <c r="G1717" s="8">
        <f>ROUND('Criaturas - Base de Dados'!I287*'Sistema de Raridade e Evolução'!E7,0)</f>
        <v>1650</v>
      </c>
      <c r="H1717" s="8">
        <f>ROUND('Criaturas - Base de Dados'!J287*'Sistema de Raridade e Evolução'!E7,0)</f>
        <v>1350</v>
      </c>
      <c r="I1717" s="8">
        <f>ROUND('Criaturas - Base de Dados'!K287*'Sistema de Raridade e Evolução'!E7,0)</f>
        <v>8700</v>
      </c>
      <c r="J1717" s="8">
        <f>'Sistema de Raridade e Evolução'!D7</f>
        <v>91</v>
      </c>
      <c r="K1717" s="8" t="s">
        <v>925</v>
      </c>
      <c r="L1717" s="9">
        <f t="shared" si="26"/>
        <v>6428571.4299999997</v>
      </c>
    </row>
    <row r="1718" spans="1:12" ht="14.25" customHeight="1" x14ac:dyDescent="0.3">
      <c r="A1718" s="8">
        <v>1717</v>
      </c>
      <c r="B1718" s="8" t="str">
        <f>'Criaturas - Base de Dados'!B288</f>
        <v>Engrenagem Rúnica</v>
      </c>
      <c r="C1718" s="8" t="str">
        <f>'Criaturas - Base de Dados'!C288</f>
        <v>Tecnomancia</v>
      </c>
      <c r="D1718" s="8" t="str">
        <f>'Criaturas - Base de Dados'!D288</f>
        <v>Aranha Mecânica Ancestral</v>
      </c>
      <c r="E1718" s="8" t="str">
        <f>'Sistema de Raridade e Evolução'!B2</f>
        <v>Default</v>
      </c>
      <c r="F1718" s="9" t="e">
        <f>ROUND(('Criaturas - Base de Dados'!H288*'Sistema de Raridade e Evolução'!E2)*1000,2)</f>
        <v>#VALUE!</v>
      </c>
      <c r="G1718" s="8" t="e">
        <f>ROUND('Criaturas - Base de Dados'!I288*'Sistema de Raridade e Evolução'!E2,0)</f>
        <v>#VALUE!</v>
      </c>
      <c r="H1718" s="8" t="e">
        <f>ROUND('Criaturas - Base de Dados'!J288*'Sistema de Raridade e Evolução'!E2,0)</f>
        <v>#VALUE!</v>
      </c>
      <c r="I1718" s="8" t="e">
        <f>ROUND('Criaturas - Base de Dados'!K288*'Sistema de Raridade e Evolução'!E2,0)</f>
        <v>#VALUE!</v>
      </c>
      <c r="J1718" s="8">
        <f>'Sistema de Raridade e Evolução'!D2</f>
        <v>1</v>
      </c>
      <c r="K1718" s="8" t="s">
        <v>8</v>
      </c>
      <c r="L1718" s="9" t="e">
        <f t="shared" si="26"/>
        <v>#VALUE!</v>
      </c>
    </row>
    <row r="1719" spans="1:12" ht="14.25" hidden="1" customHeight="1" x14ac:dyDescent="0.3">
      <c r="A1719" s="8">
        <v>1718</v>
      </c>
      <c r="B1719" s="8" t="str">
        <f>'Criaturas - Base de Dados'!B288</f>
        <v>Engrenagem Rúnica</v>
      </c>
      <c r="C1719" s="8" t="str">
        <f>'Criaturas - Base de Dados'!C288</f>
        <v>Tecnomancia</v>
      </c>
      <c r="D1719" s="8" t="str">
        <f>'Criaturas - Base de Dados'!D288</f>
        <v>Aranha Mecânica Ancestral</v>
      </c>
      <c r="E1719" s="8" t="str">
        <f>'Sistema de Raridade e Evolução'!B3</f>
        <v>Bronze</v>
      </c>
      <c r="F1719" s="9">
        <f>ROUND(('Criaturas - Base de Dados'!H288*'Sistema de Raridade e Evolução'!E3)*1000,2)</f>
        <v>20000</v>
      </c>
      <c r="G1719" s="8">
        <f>ROUND('Criaturas - Base de Dados'!I288*'Sistema de Raridade e Evolução'!E3,0)</f>
        <v>12</v>
      </c>
      <c r="H1719" s="8">
        <f>ROUND('Criaturas - Base de Dados'!J288*'Sistema de Raridade e Evolução'!E3,0)</f>
        <v>10</v>
      </c>
      <c r="I1719" s="8">
        <f>ROUND('Criaturas - Base de Dados'!K288*'Sistema de Raridade e Evolução'!E3,0)</f>
        <v>64</v>
      </c>
      <c r="J1719" s="8">
        <f>'Sistema de Raridade e Evolução'!D3</f>
        <v>6</v>
      </c>
      <c r="K1719" s="8" t="s">
        <v>9</v>
      </c>
      <c r="L1719" s="9">
        <f t="shared" si="26"/>
        <v>47619.05</v>
      </c>
    </row>
    <row r="1720" spans="1:12" ht="14.25" hidden="1" customHeight="1" x14ac:dyDescent="0.3">
      <c r="A1720" s="8">
        <v>1719</v>
      </c>
      <c r="B1720" s="8" t="str">
        <f>'Criaturas - Base de Dados'!B288</f>
        <v>Engrenagem Rúnica</v>
      </c>
      <c r="C1720" s="8" t="str">
        <f>'Criaturas - Base de Dados'!C288</f>
        <v>Tecnomancia</v>
      </c>
      <c r="D1720" s="8" t="str">
        <f>'Criaturas - Base de Dados'!D288</f>
        <v>Aranha Mecânica Ancestral</v>
      </c>
      <c r="E1720" s="8" t="str">
        <f>'Sistema de Raridade e Evolução'!B4</f>
        <v>Prata</v>
      </c>
      <c r="F1720" s="9">
        <f>ROUND(('Criaturas - Base de Dados'!H288*'Sistema de Raridade e Evolução'!E4)*1000,2)</f>
        <v>120000</v>
      </c>
      <c r="G1720" s="8">
        <f>ROUND('Criaturas - Base de Dados'!I288*'Sistema de Raridade e Evolução'!E4,0)</f>
        <v>72</v>
      </c>
      <c r="H1720" s="8">
        <f>ROUND('Criaturas - Base de Dados'!J288*'Sistema de Raridade e Evolução'!E4,0)</f>
        <v>60</v>
      </c>
      <c r="I1720" s="8">
        <f>ROUND('Criaturas - Base de Dados'!K288*'Sistema de Raridade e Evolução'!E4,0)</f>
        <v>384</v>
      </c>
      <c r="J1720" s="8">
        <f>'Sistema de Raridade e Evolução'!D4</f>
        <v>16</v>
      </c>
      <c r="K1720" s="8" t="s">
        <v>10</v>
      </c>
      <c r="L1720" s="9">
        <f t="shared" si="26"/>
        <v>285714.28999999998</v>
      </c>
    </row>
    <row r="1721" spans="1:12" ht="14.25" hidden="1" customHeight="1" x14ac:dyDescent="0.3">
      <c r="A1721" s="8">
        <v>1720</v>
      </c>
      <c r="B1721" s="8" t="str">
        <f>'Criaturas - Base de Dados'!B288</f>
        <v>Engrenagem Rúnica</v>
      </c>
      <c r="C1721" s="8" t="str">
        <f>'Criaturas - Base de Dados'!C288</f>
        <v>Tecnomancia</v>
      </c>
      <c r="D1721" s="8" t="str">
        <f>'Criaturas - Base de Dados'!D288</f>
        <v>Aranha Mecânica Ancestral</v>
      </c>
      <c r="E1721" s="8" t="str">
        <f>'Sistema de Raridade e Evolução'!B5</f>
        <v>Ouro</v>
      </c>
      <c r="F1721" s="9">
        <f>ROUND(('Criaturas - Base de Dados'!H288*'Sistema de Raridade e Evolução'!E5)*1000,2)</f>
        <v>360000</v>
      </c>
      <c r="G1721" s="8">
        <f>ROUND('Criaturas - Base de Dados'!I288*'Sistema de Raridade e Evolução'!E5,0)</f>
        <v>216</v>
      </c>
      <c r="H1721" s="8">
        <f>ROUND('Criaturas - Base de Dados'!J288*'Sistema de Raridade e Evolução'!E5,0)</f>
        <v>180</v>
      </c>
      <c r="I1721" s="8">
        <f>ROUND('Criaturas - Base de Dados'!K288*'Sistema de Raridade e Evolução'!E5,0)</f>
        <v>1152</v>
      </c>
      <c r="J1721" s="8">
        <f>'Sistema de Raridade e Evolução'!D5</f>
        <v>31</v>
      </c>
      <c r="K1721" s="8" t="s">
        <v>11</v>
      </c>
      <c r="L1721" s="9">
        <f t="shared" si="26"/>
        <v>857142.86</v>
      </c>
    </row>
    <row r="1722" spans="1:12" ht="14.25" hidden="1" customHeight="1" x14ac:dyDescent="0.3">
      <c r="A1722" s="8">
        <v>1721</v>
      </c>
      <c r="B1722" s="8" t="str">
        <f>'Criaturas - Base de Dados'!B288</f>
        <v>Engrenagem Rúnica</v>
      </c>
      <c r="C1722" s="8" t="str">
        <f>'Criaturas - Base de Dados'!C288</f>
        <v>Tecnomancia</v>
      </c>
      <c r="D1722" s="8" t="str">
        <f>'Criaturas - Base de Dados'!D288</f>
        <v>Aranha Mecânica Ancestral</v>
      </c>
      <c r="E1722" s="8" t="str">
        <f>'Sistema de Raridade e Evolução'!B6</f>
        <v>Platina</v>
      </c>
      <c r="F1722" s="9">
        <f>ROUND(('Criaturas - Base de Dados'!H288*'Sistema de Raridade e Evolução'!E6)*1000,2)</f>
        <v>1000000</v>
      </c>
      <c r="G1722" s="8">
        <f>ROUND('Criaturas - Base de Dados'!I288*'Sistema de Raridade e Evolução'!E6,0)</f>
        <v>600</v>
      </c>
      <c r="H1722" s="8">
        <f>ROUND('Criaturas - Base de Dados'!J288*'Sistema de Raridade e Evolução'!E6,0)</f>
        <v>500</v>
      </c>
      <c r="I1722" s="8">
        <f>ROUND('Criaturas - Base de Dados'!K288*'Sistema de Raridade e Evolução'!E6,0)</f>
        <v>3200</v>
      </c>
      <c r="J1722" s="8">
        <f>'Sistema de Raridade e Evolução'!D6</f>
        <v>56</v>
      </c>
      <c r="K1722" s="8" t="s">
        <v>12</v>
      </c>
      <c r="L1722" s="9">
        <f t="shared" si="26"/>
        <v>2380952.38</v>
      </c>
    </row>
    <row r="1723" spans="1:12" ht="14.25" hidden="1" customHeight="1" x14ac:dyDescent="0.3">
      <c r="A1723" s="8">
        <v>1722</v>
      </c>
      <c r="B1723" s="8" t="str">
        <f>'Criaturas - Base de Dados'!B288</f>
        <v>Engrenagem Rúnica</v>
      </c>
      <c r="C1723" s="8" t="str">
        <f>'Criaturas - Base de Dados'!C288</f>
        <v>Tecnomancia</v>
      </c>
      <c r="D1723" s="8" t="str">
        <f>'Criaturas - Base de Dados'!D288</f>
        <v>Aranha Mecânica Ancestral</v>
      </c>
      <c r="E1723" s="8" t="str">
        <f>'Sistema de Raridade e Evolução'!B7</f>
        <v>Lendário</v>
      </c>
      <c r="F1723" s="9">
        <f>ROUND(('Criaturas - Base de Dados'!H288*'Sistema de Raridade e Evolução'!E7)*1000,2)</f>
        <v>3000000</v>
      </c>
      <c r="G1723" s="8">
        <f>ROUND('Criaturas - Base de Dados'!I288*'Sistema de Raridade e Evolução'!E7,0)</f>
        <v>1800</v>
      </c>
      <c r="H1723" s="8">
        <f>ROUND('Criaturas - Base de Dados'!J288*'Sistema de Raridade e Evolução'!E7,0)</f>
        <v>1500</v>
      </c>
      <c r="I1723" s="8">
        <f>ROUND('Criaturas - Base de Dados'!K288*'Sistema de Raridade e Evolução'!E7,0)</f>
        <v>9600</v>
      </c>
      <c r="J1723" s="8">
        <f>'Sistema de Raridade e Evolução'!D7</f>
        <v>91</v>
      </c>
      <c r="K1723" s="8" t="s">
        <v>925</v>
      </c>
      <c r="L1723" s="9">
        <f t="shared" si="26"/>
        <v>7142857.1399999997</v>
      </c>
    </row>
    <row r="1724" spans="1:12" ht="14.25" customHeight="1" x14ac:dyDescent="0.3">
      <c r="A1724" s="8">
        <v>1723</v>
      </c>
      <c r="B1724" s="8" t="str">
        <f>'Criaturas - Base de Dados'!B289</f>
        <v>Engrenagem Rúnica</v>
      </c>
      <c r="C1724" s="8" t="str">
        <f>'Criaturas - Base de Dados'!C289</f>
        <v>Tecnomancia</v>
      </c>
      <c r="D1724" s="8" t="str">
        <f>'Criaturas - Base de Dados'!D289</f>
        <v>Cavaleiro de Latão</v>
      </c>
      <c r="E1724" s="8" t="str">
        <f>'Sistema de Raridade e Evolução'!B2</f>
        <v>Default</v>
      </c>
      <c r="F1724" s="9" t="e">
        <f>ROUND(('Criaturas - Base de Dados'!H289*'Sistema de Raridade e Evolução'!E2)*1000,2)</f>
        <v>#VALUE!</v>
      </c>
      <c r="G1724" s="8" t="e">
        <f>ROUND('Criaturas - Base de Dados'!I289*'Sistema de Raridade e Evolução'!E2,0)</f>
        <v>#VALUE!</v>
      </c>
      <c r="H1724" s="8" t="e">
        <f>ROUND('Criaturas - Base de Dados'!J289*'Sistema de Raridade e Evolução'!E2,0)</f>
        <v>#VALUE!</v>
      </c>
      <c r="I1724" s="8" t="e">
        <f>ROUND('Criaturas - Base de Dados'!K289*'Sistema de Raridade e Evolução'!E2,0)</f>
        <v>#VALUE!</v>
      </c>
      <c r="J1724" s="8">
        <f>'Sistema de Raridade e Evolução'!D2</f>
        <v>1</v>
      </c>
      <c r="K1724" s="8" t="s">
        <v>8</v>
      </c>
      <c r="L1724" s="9" t="e">
        <f t="shared" si="26"/>
        <v>#VALUE!</v>
      </c>
    </row>
    <row r="1725" spans="1:12" ht="14.25" hidden="1" customHeight="1" x14ac:dyDescent="0.3">
      <c r="A1725" s="8">
        <v>1724</v>
      </c>
      <c r="B1725" s="8" t="str">
        <f>'Criaturas - Base de Dados'!B289</f>
        <v>Engrenagem Rúnica</v>
      </c>
      <c r="C1725" s="8" t="str">
        <f>'Criaturas - Base de Dados'!C289</f>
        <v>Tecnomancia</v>
      </c>
      <c r="D1725" s="8" t="str">
        <f>'Criaturas - Base de Dados'!D289</f>
        <v>Cavaleiro de Latão</v>
      </c>
      <c r="E1725" s="8" t="str">
        <f>'Sistema de Raridade e Evolução'!B3</f>
        <v>Bronze</v>
      </c>
      <c r="F1725" s="9">
        <f>ROUND(('Criaturas - Base de Dados'!H289*'Sistema de Raridade e Evolução'!E3)*1000,2)</f>
        <v>22000</v>
      </c>
      <c r="G1725" s="8">
        <f>ROUND('Criaturas - Base de Dados'!I289*'Sistema de Raridade e Evolução'!E3,0)</f>
        <v>13</v>
      </c>
      <c r="H1725" s="8">
        <f>ROUND('Criaturas - Base de Dados'!J289*'Sistema de Raridade e Evolução'!E3,0)</f>
        <v>11</v>
      </c>
      <c r="I1725" s="8">
        <f>ROUND('Criaturas - Base de Dados'!K289*'Sistema de Raridade e Evolução'!E3,0)</f>
        <v>70</v>
      </c>
      <c r="J1725" s="8">
        <f>'Sistema de Raridade e Evolução'!D3</f>
        <v>6</v>
      </c>
      <c r="K1725" s="8" t="s">
        <v>9</v>
      </c>
      <c r="L1725" s="9">
        <f t="shared" si="26"/>
        <v>52380.95</v>
      </c>
    </row>
    <row r="1726" spans="1:12" ht="14.25" hidden="1" customHeight="1" x14ac:dyDescent="0.3">
      <c r="A1726" s="8">
        <v>1725</v>
      </c>
      <c r="B1726" s="8" t="str">
        <f>'Criaturas - Base de Dados'!B289</f>
        <v>Engrenagem Rúnica</v>
      </c>
      <c r="C1726" s="8" t="str">
        <f>'Criaturas - Base de Dados'!C289</f>
        <v>Tecnomancia</v>
      </c>
      <c r="D1726" s="8" t="str">
        <f>'Criaturas - Base de Dados'!D289</f>
        <v>Cavaleiro de Latão</v>
      </c>
      <c r="E1726" s="8" t="str">
        <f>'Sistema de Raridade e Evolução'!B4</f>
        <v>Prata</v>
      </c>
      <c r="F1726" s="9">
        <f>ROUND(('Criaturas - Base de Dados'!H289*'Sistema de Raridade e Evolução'!E4)*1000,2)</f>
        <v>132000</v>
      </c>
      <c r="G1726" s="8">
        <f>ROUND('Criaturas - Base de Dados'!I289*'Sistema de Raridade e Evolução'!E4,0)</f>
        <v>78</v>
      </c>
      <c r="H1726" s="8">
        <f>ROUND('Criaturas - Base de Dados'!J289*'Sistema de Raridade e Evolução'!E4,0)</f>
        <v>66</v>
      </c>
      <c r="I1726" s="8">
        <f>ROUND('Criaturas - Base de Dados'!K289*'Sistema de Raridade e Evolução'!E4,0)</f>
        <v>420</v>
      </c>
      <c r="J1726" s="8">
        <f>'Sistema de Raridade e Evolução'!D4</f>
        <v>16</v>
      </c>
      <c r="K1726" s="8" t="s">
        <v>10</v>
      </c>
      <c r="L1726" s="9">
        <f t="shared" si="26"/>
        <v>314285.71000000002</v>
      </c>
    </row>
    <row r="1727" spans="1:12" ht="14.25" hidden="1" customHeight="1" x14ac:dyDescent="0.3">
      <c r="A1727" s="8">
        <v>1726</v>
      </c>
      <c r="B1727" s="8" t="str">
        <f>'Criaturas - Base de Dados'!B289</f>
        <v>Engrenagem Rúnica</v>
      </c>
      <c r="C1727" s="8" t="str">
        <f>'Criaturas - Base de Dados'!C289</f>
        <v>Tecnomancia</v>
      </c>
      <c r="D1727" s="8" t="str">
        <f>'Criaturas - Base de Dados'!D289</f>
        <v>Cavaleiro de Latão</v>
      </c>
      <c r="E1727" s="8" t="str">
        <f>'Sistema de Raridade e Evolução'!B5</f>
        <v>Ouro</v>
      </c>
      <c r="F1727" s="9">
        <f>ROUND(('Criaturas - Base de Dados'!H289*'Sistema de Raridade e Evolução'!E5)*1000,2)</f>
        <v>396000</v>
      </c>
      <c r="G1727" s="8">
        <f>ROUND('Criaturas - Base de Dados'!I289*'Sistema de Raridade e Evolução'!E5,0)</f>
        <v>234</v>
      </c>
      <c r="H1727" s="8">
        <f>ROUND('Criaturas - Base de Dados'!J289*'Sistema de Raridade e Evolução'!E5,0)</f>
        <v>198</v>
      </c>
      <c r="I1727" s="8">
        <f>ROUND('Criaturas - Base de Dados'!K289*'Sistema de Raridade e Evolução'!E5,0)</f>
        <v>1260</v>
      </c>
      <c r="J1727" s="8">
        <f>'Sistema de Raridade e Evolução'!D5</f>
        <v>31</v>
      </c>
      <c r="K1727" s="8" t="s">
        <v>11</v>
      </c>
      <c r="L1727" s="9">
        <f t="shared" si="26"/>
        <v>942857.14</v>
      </c>
    </row>
    <row r="1728" spans="1:12" ht="14.25" hidden="1" customHeight="1" x14ac:dyDescent="0.3">
      <c r="A1728" s="8">
        <v>1727</v>
      </c>
      <c r="B1728" s="8" t="str">
        <f>'Criaturas - Base de Dados'!B289</f>
        <v>Engrenagem Rúnica</v>
      </c>
      <c r="C1728" s="8" t="str">
        <f>'Criaturas - Base de Dados'!C289</f>
        <v>Tecnomancia</v>
      </c>
      <c r="D1728" s="8" t="str">
        <f>'Criaturas - Base de Dados'!D289</f>
        <v>Cavaleiro de Latão</v>
      </c>
      <c r="E1728" s="8" t="str">
        <f>'Sistema de Raridade e Evolução'!B6</f>
        <v>Platina</v>
      </c>
      <c r="F1728" s="9">
        <f>ROUND(('Criaturas - Base de Dados'!H289*'Sistema de Raridade e Evolução'!E6)*1000,2)</f>
        <v>1100000</v>
      </c>
      <c r="G1728" s="8">
        <f>ROUND('Criaturas - Base de Dados'!I289*'Sistema de Raridade e Evolução'!E6,0)</f>
        <v>650</v>
      </c>
      <c r="H1728" s="8">
        <f>ROUND('Criaturas - Base de Dados'!J289*'Sistema de Raridade e Evolução'!E6,0)</f>
        <v>550</v>
      </c>
      <c r="I1728" s="8">
        <f>ROUND('Criaturas - Base de Dados'!K289*'Sistema de Raridade e Evolução'!E6,0)</f>
        <v>3500</v>
      </c>
      <c r="J1728" s="8">
        <f>'Sistema de Raridade e Evolução'!D6</f>
        <v>56</v>
      </c>
      <c r="K1728" s="8" t="s">
        <v>12</v>
      </c>
      <c r="L1728" s="9">
        <f t="shared" si="26"/>
        <v>2619047.62</v>
      </c>
    </row>
    <row r="1729" spans="1:12" ht="14.25" hidden="1" customHeight="1" x14ac:dyDescent="0.3">
      <c r="A1729" s="8">
        <v>1728</v>
      </c>
      <c r="B1729" s="8" t="str">
        <f>'Criaturas - Base de Dados'!B289</f>
        <v>Engrenagem Rúnica</v>
      </c>
      <c r="C1729" s="8" t="str">
        <f>'Criaturas - Base de Dados'!C289</f>
        <v>Tecnomancia</v>
      </c>
      <c r="D1729" s="8" t="str">
        <f>'Criaturas - Base de Dados'!D289</f>
        <v>Cavaleiro de Latão</v>
      </c>
      <c r="E1729" s="8" t="str">
        <f>'Sistema de Raridade e Evolução'!B7</f>
        <v>Lendário</v>
      </c>
      <c r="F1729" s="9">
        <f>ROUND(('Criaturas - Base de Dados'!H289*'Sistema de Raridade e Evolução'!E7)*1000,2)</f>
        <v>3300000</v>
      </c>
      <c r="G1729" s="8">
        <f>ROUND('Criaturas - Base de Dados'!I289*'Sistema de Raridade e Evolução'!E7,0)</f>
        <v>1950</v>
      </c>
      <c r="H1729" s="8">
        <f>ROUND('Criaturas - Base de Dados'!J289*'Sistema de Raridade e Evolução'!E7,0)</f>
        <v>1650</v>
      </c>
      <c r="I1729" s="8">
        <f>ROUND('Criaturas - Base de Dados'!K289*'Sistema de Raridade e Evolução'!E7,0)</f>
        <v>10500</v>
      </c>
      <c r="J1729" s="8">
        <f>'Sistema de Raridade e Evolução'!D7</f>
        <v>91</v>
      </c>
      <c r="K1729" s="8" t="s">
        <v>925</v>
      </c>
      <c r="L1729" s="9">
        <f t="shared" si="26"/>
        <v>7857142.8600000003</v>
      </c>
    </row>
    <row r="1730" spans="1:12" ht="14.25" customHeight="1" x14ac:dyDescent="0.3">
      <c r="A1730" s="8">
        <v>1729</v>
      </c>
      <c r="B1730" s="8" t="str">
        <f>'Criaturas - Base de Dados'!B290</f>
        <v>Engrenagem Rúnica</v>
      </c>
      <c r="C1730" s="8" t="str">
        <f>'Criaturas - Base de Dados'!C290</f>
        <v>Tecnomancia</v>
      </c>
      <c r="D1730" s="8" t="str">
        <f>'Criaturas - Base de Dados'!D290</f>
        <v>Besouro de Cobre</v>
      </c>
      <c r="E1730" s="8" t="str">
        <f>'Sistema de Raridade e Evolução'!B2</f>
        <v>Default</v>
      </c>
      <c r="F1730" s="9" t="e">
        <f>ROUND(('Criaturas - Base de Dados'!H290*'Sistema de Raridade e Evolução'!E2)*1000,2)</f>
        <v>#VALUE!</v>
      </c>
      <c r="G1730" s="8" t="e">
        <f>ROUND('Criaturas - Base de Dados'!I290*'Sistema de Raridade e Evolução'!E2,0)</f>
        <v>#VALUE!</v>
      </c>
      <c r="H1730" s="8" t="e">
        <f>ROUND('Criaturas - Base de Dados'!J290*'Sistema de Raridade e Evolução'!E2,0)</f>
        <v>#VALUE!</v>
      </c>
      <c r="I1730" s="8" t="e">
        <f>ROUND('Criaturas - Base de Dados'!K290*'Sistema de Raridade e Evolução'!E2,0)</f>
        <v>#VALUE!</v>
      </c>
      <c r="J1730" s="8">
        <f>'Sistema de Raridade e Evolução'!D2</f>
        <v>1</v>
      </c>
      <c r="K1730" s="8" t="s">
        <v>8</v>
      </c>
      <c r="L1730" s="9" t="e">
        <f t="shared" ref="L1730:L1793" si="27">ROUND(F1730*(2.5/1.05),2)</f>
        <v>#VALUE!</v>
      </c>
    </row>
    <row r="1731" spans="1:12" ht="14.25" hidden="1" customHeight="1" x14ac:dyDescent="0.3">
      <c r="A1731" s="8">
        <v>1730</v>
      </c>
      <c r="B1731" s="8" t="str">
        <f>'Criaturas - Base de Dados'!B290</f>
        <v>Engrenagem Rúnica</v>
      </c>
      <c r="C1731" s="8" t="str">
        <f>'Criaturas - Base de Dados'!C290</f>
        <v>Tecnomancia</v>
      </c>
      <c r="D1731" s="8" t="str">
        <f>'Criaturas - Base de Dados'!D290</f>
        <v>Besouro de Cobre</v>
      </c>
      <c r="E1731" s="8" t="str">
        <f>'Sistema de Raridade e Evolução'!B3</f>
        <v>Bronze</v>
      </c>
      <c r="F1731" s="9">
        <f>ROUND(('Criaturas - Base de Dados'!H290*'Sistema de Raridade e Evolução'!E3)*1000,2)</f>
        <v>24000</v>
      </c>
      <c r="G1731" s="8">
        <f>ROUND('Criaturas - Base de Dados'!I290*'Sistema de Raridade e Evolução'!E3,0)</f>
        <v>14</v>
      </c>
      <c r="H1731" s="8">
        <f>ROUND('Criaturas - Base de Dados'!J290*'Sistema de Raridade e Evolução'!E3,0)</f>
        <v>12</v>
      </c>
      <c r="I1731" s="8">
        <f>ROUND('Criaturas - Base de Dados'!K290*'Sistema de Raridade e Evolução'!E3,0)</f>
        <v>77</v>
      </c>
      <c r="J1731" s="8">
        <f>'Sistema de Raridade e Evolução'!D3</f>
        <v>6</v>
      </c>
      <c r="K1731" s="8" t="s">
        <v>9</v>
      </c>
      <c r="L1731" s="9">
        <f t="shared" si="27"/>
        <v>57142.86</v>
      </c>
    </row>
    <row r="1732" spans="1:12" ht="14.25" hidden="1" customHeight="1" x14ac:dyDescent="0.3">
      <c r="A1732" s="8">
        <v>1731</v>
      </c>
      <c r="B1732" s="8" t="str">
        <f>'Criaturas - Base de Dados'!B290</f>
        <v>Engrenagem Rúnica</v>
      </c>
      <c r="C1732" s="8" t="str">
        <f>'Criaturas - Base de Dados'!C290</f>
        <v>Tecnomancia</v>
      </c>
      <c r="D1732" s="8" t="str">
        <f>'Criaturas - Base de Dados'!D290</f>
        <v>Besouro de Cobre</v>
      </c>
      <c r="E1732" s="8" t="str">
        <f>'Sistema de Raridade e Evolução'!B4</f>
        <v>Prata</v>
      </c>
      <c r="F1732" s="9">
        <f>ROUND(('Criaturas - Base de Dados'!H290*'Sistema de Raridade e Evolução'!E4)*1000,2)</f>
        <v>144000</v>
      </c>
      <c r="G1732" s="8">
        <f>ROUND('Criaturas - Base de Dados'!I290*'Sistema de Raridade e Evolução'!E4,0)</f>
        <v>84</v>
      </c>
      <c r="H1732" s="8">
        <f>ROUND('Criaturas - Base de Dados'!J290*'Sistema de Raridade e Evolução'!E4,0)</f>
        <v>72</v>
      </c>
      <c r="I1732" s="8">
        <f>ROUND('Criaturas - Base de Dados'!K290*'Sistema de Raridade e Evolução'!E4,0)</f>
        <v>462</v>
      </c>
      <c r="J1732" s="8">
        <f>'Sistema de Raridade e Evolução'!D4</f>
        <v>16</v>
      </c>
      <c r="K1732" s="8" t="s">
        <v>10</v>
      </c>
      <c r="L1732" s="9">
        <f t="shared" si="27"/>
        <v>342857.14</v>
      </c>
    </row>
    <row r="1733" spans="1:12" ht="14.25" hidden="1" customHeight="1" x14ac:dyDescent="0.3">
      <c r="A1733" s="8">
        <v>1732</v>
      </c>
      <c r="B1733" s="8" t="str">
        <f>'Criaturas - Base de Dados'!B290</f>
        <v>Engrenagem Rúnica</v>
      </c>
      <c r="C1733" s="8" t="str">
        <f>'Criaturas - Base de Dados'!C290</f>
        <v>Tecnomancia</v>
      </c>
      <c r="D1733" s="8" t="str">
        <f>'Criaturas - Base de Dados'!D290</f>
        <v>Besouro de Cobre</v>
      </c>
      <c r="E1733" s="8" t="str">
        <f>'Sistema de Raridade e Evolução'!B5</f>
        <v>Ouro</v>
      </c>
      <c r="F1733" s="9">
        <f>ROUND(('Criaturas - Base de Dados'!H290*'Sistema de Raridade e Evolução'!E5)*1000,2)</f>
        <v>432000</v>
      </c>
      <c r="G1733" s="8">
        <f>ROUND('Criaturas - Base de Dados'!I290*'Sistema de Raridade e Evolução'!E5,0)</f>
        <v>252</v>
      </c>
      <c r="H1733" s="8">
        <f>ROUND('Criaturas - Base de Dados'!J290*'Sistema de Raridade e Evolução'!E5,0)</f>
        <v>216</v>
      </c>
      <c r="I1733" s="8">
        <f>ROUND('Criaturas - Base de Dados'!K290*'Sistema de Raridade e Evolução'!E5,0)</f>
        <v>1386</v>
      </c>
      <c r="J1733" s="8">
        <f>'Sistema de Raridade e Evolução'!D5</f>
        <v>31</v>
      </c>
      <c r="K1733" s="8" t="s">
        <v>11</v>
      </c>
      <c r="L1733" s="9">
        <f t="shared" si="27"/>
        <v>1028571.43</v>
      </c>
    </row>
    <row r="1734" spans="1:12" ht="14.25" hidden="1" customHeight="1" x14ac:dyDescent="0.3">
      <c r="A1734" s="8">
        <v>1733</v>
      </c>
      <c r="B1734" s="8" t="str">
        <f>'Criaturas - Base de Dados'!B290</f>
        <v>Engrenagem Rúnica</v>
      </c>
      <c r="C1734" s="8" t="str">
        <f>'Criaturas - Base de Dados'!C290</f>
        <v>Tecnomancia</v>
      </c>
      <c r="D1734" s="8" t="str">
        <f>'Criaturas - Base de Dados'!D290</f>
        <v>Besouro de Cobre</v>
      </c>
      <c r="E1734" s="8" t="str">
        <f>'Sistema de Raridade e Evolução'!B6</f>
        <v>Platina</v>
      </c>
      <c r="F1734" s="9">
        <f>ROUND(('Criaturas - Base de Dados'!H290*'Sistema de Raridade e Evolução'!E6)*1000,2)</f>
        <v>1200000</v>
      </c>
      <c r="G1734" s="8">
        <f>ROUND('Criaturas - Base de Dados'!I290*'Sistema de Raridade e Evolução'!E6,0)</f>
        <v>700</v>
      </c>
      <c r="H1734" s="8">
        <f>ROUND('Criaturas - Base de Dados'!J290*'Sistema de Raridade e Evolução'!E6,0)</f>
        <v>600</v>
      </c>
      <c r="I1734" s="8">
        <f>ROUND('Criaturas - Base de Dados'!K290*'Sistema de Raridade e Evolução'!E6,0)</f>
        <v>3850</v>
      </c>
      <c r="J1734" s="8">
        <f>'Sistema de Raridade e Evolução'!D6</f>
        <v>56</v>
      </c>
      <c r="K1734" s="8" t="s">
        <v>12</v>
      </c>
      <c r="L1734" s="9">
        <f t="shared" si="27"/>
        <v>2857142.86</v>
      </c>
    </row>
    <row r="1735" spans="1:12" ht="14.25" hidden="1" customHeight="1" x14ac:dyDescent="0.3">
      <c r="A1735" s="8">
        <v>1734</v>
      </c>
      <c r="B1735" s="8" t="str">
        <f>'Criaturas - Base de Dados'!B290</f>
        <v>Engrenagem Rúnica</v>
      </c>
      <c r="C1735" s="8" t="str">
        <f>'Criaturas - Base de Dados'!C290</f>
        <v>Tecnomancia</v>
      </c>
      <c r="D1735" s="8" t="str">
        <f>'Criaturas - Base de Dados'!D290</f>
        <v>Besouro de Cobre</v>
      </c>
      <c r="E1735" s="8" t="str">
        <f>'Sistema de Raridade e Evolução'!B7</f>
        <v>Lendário</v>
      </c>
      <c r="F1735" s="9">
        <f>ROUND(('Criaturas - Base de Dados'!H290*'Sistema de Raridade e Evolução'!E7)*1000,2)</f>
        <v>3600000</v>
      </c>
      <c r="G1735" s="8">
        <f>ROUND('Criaturas - Base de Dados'!I290*'Sistema de Raridade e Evolução'!E7,0)</f>
        <v>2100</v>
      </c>
      <c r="H1735" s="8">
        <f>ROUND('Criaturas - Base de Dados'!J290*'Sistema de Raridade e Evolução'!E7,0)</f>
        <v>1800</v>
      </c>
      <c r="I1735" s="8">
        <f>ROUND('Criaturas - Base de Dados'!K290*'Sistema de Raridade e Evolução'!E7,0)</f>
        <v>11550</v>
      </c>
      <c r="J1735" s="8">
        <f>'Sistema de Raridade e Evolução'!D7</f>
        <v>91</v>
      </c>
      <c r="K1735" s="8" t="s">
        <v>925</v>
      </c>
      <c r="L1735" s="9">
        <f t="shared" si="27"/>
        <v>8571428.5700000003</v>
      </c>
    </row>
    <row r="1736" spans="1:12" ht="14.25" customHeight="1" x14ac:dyDescent="0.3">
      <c r="A1736" s="8">
        <v>1735</v>
      </c>
      <c r="B1736" s="8" t="str">
        <f>'Criaturas - Base de Dados'!B291</f>
        <v>Engrenagem Rúnica</v>
      </c>
      <c r="C1736" s="8" t="str">
        <f>'Criaturas - Base de Dados'!C291</f>
        <v>Tecnomancia</v>
      </c>
      <c r="D1736" s="8" t="str">
        <f>'Criaturas - Base de Dados'!D291</f>
        <v>Torre Ambulante Rúnica</v>
      </c>
      <c r="E1736" s="8" t="str">
        <f>'Sistema de Raridade e Evolução'!B2</f>
        <v>Default</v>
      </c>
      <c r="F1736" s="9" t="e">
        <f>ROUND(('Criaturas - Base de Dados'!H291*'Sistema de Raridade e Evolução'!E2)*1000,2)</f>
        <v>#VALUE!</v>
      </c>
      <c r="G1736" s="8" t="e">
        <f>ROUND('Criaturas - Base de Dados'!I291*'Sistema de Raridade e Evolução'!E2,0)</f>
        <v>#VALUE!</v>
      </c>
      <c r="H1736" s="8" t="e">
        <f>ROUND('Criaturas - Base de Dados'!J291*'Sistema de Raridade e Evolução'!E2,0)</f>
        <v>#VALUE!</v>
      </c>
      <c r="I1736" s="8" t="e">
        <f>ROUND('Criaturas - Base de Dados'!K291*'Sistema de Raridade e Evolução'!E2,0)</f>
        <v>#VALUE!</v>
      </c>
      <c r="J1736" s="8">
        <f>'Sistema de Raridade e Evolução'!D2</f>
        <v>1</v>
      </c>
      <c r="K1736" s="8" t="s">
        <v>8</v>
      </c>
      <c r="L1736" s="9" t="e">
        <f t="shared" si="27"/>
        <v>#VALUE!</v>
      </c>
    </row>
    <row r="1737" spans="1:12" ht="14.25" hidden="1" customHeight="1" x14ac:dyDescent="0.3">
      <c r="A1737" s="8">
        <v>1736</v>
      </c>
      <c r="B1737" s="8" t="str">
        <f>'Criaturas - Base de Dados'!B291</f>
        <v>Engrenagem Rúnica</v>
      </c>
      <c r="C1737" s="8" t="str">
        <f>'Criaturas - Base de Dados'!C291</f>
        <v>Tecnomancia</v>
      </c>
      <c r="D1737" s="8" t="str">
        <f>'Criaturas - Base de Dados'!D291</f>
        <v>Torre Ambulante Rúnica</v>
      </c>
      <c r="E1737" s="8" t="str">
        <f>'Sistema de Raridade e Evolução'!B3</f>
        <v>Bronze</v>
      </c>
      <c r="F1737" s="9">
        <f>ROUND(('Criaturas - Base de Dados'!H291*'Sistema de Raridade e Evolução'!E3)*1000,2)</f>
        <v>26000</v>
      </c>
      <c r="G1737" s="8">
        <f>ROUND('Criaturas - Base de Dados'!I291*'Sistema de Raridade e Evolução'!E3,0)</f>
        <v>16</v>
      </c>
      <c r="H1737" s="8">
        <f>ROUND('Criaturas - Base de Dados'!J291*'Sistema de Raridade e Evolução'!E3,0)</f>
        <v>13</v>
      </c>
      <c r="I1737" s="8">
        <f>ROUND('Criaturas - Base de Dados'!K291*'Sistema de Raridade e Evolução'!E3,0)</f>
        <v>83</v>
      </c>
      <c r="J1737" s="8">
        <f>'Sistema de Raridade e Evolução'!D3</f>
        <v>6</v>
      </c>
      <c r="K1737" s="8" t="s">
        <v>9</v>
      </c>
      <c r="L1737" s="9">
        <f t="shared" si="27"/>
        <v>61904.76</v>
      </c>
    </row>
    <row r="1738" spans="1:12" ht="14.25" hidden="1" customHeight="1" x14ac:dyDescent="0.3">
      <c r="A1738" s="8">
        <v>1737</v>
      </c>
      <c r="B1738" s="8" t="str">
        <f>'Criaturas - Base de Dados'!B291</f>
        <v>Engrenagem Rúnica</v>
      </c>
      <c r="C1738" s="8" t="str">
        <f>'Criaturas - Base de Dados'!C291</f>
        <v>Tecnomancia</v>
      </c>
      <c r="D1738" s="8" t="str">
        <f>'Criaturas - Base de Dados'!D291</f>
        <v>Torre Ambulante Rúnica</v>
      </c>
      <c r="E1738" s="8" t="str">
        <f>'Sistema de Raridade e Evolução'!B4</f>
        <v>Prata</v>
      </c>
      <c r="F1738" s="9">
        <f>ROUND(('Criaturas - Base de Dados'!H291*'Sistema de Raridade e Evolução'!E4)*1000,2)</f>
        <v>156000</v>
      </c>
      <c r="G1738" s="8">
        <f>ROUND('Criaturas - Base de Dados'!I291*'Sistema de Raridade e Evolução'!E4,0)</f>
        <v>96</v>
      </c>
      <c r="H1738" s="8">
        <f>ROUND('Criaturas - Base de Dados'!J291*'Sistema de Raridade e Evolução'!E4,0)</f>
        <v>78</v>
      </c>
      <c r="I1738" s="8">
        <f>ROUND('Criaturas - Base de Dados'!K291*'Sistema de Raridade e Evolução'!E4,0)</f>
        <v>498</v>
      </c>
      <c r="J1738" s="8">
        <f>'Sistema de Raridade e Evolução'!D4</f>
        <v>16</v>
      </c>
      <c r="K1738" s="8" t="s">
        <v>10</v>
      </c>
      <c r="L1738" s="9">
        <f t="shared" si="27"/>
        <v>371428.57</v>
      </c>
    </row>
    <row r="1739" spans="1:12" ht="14.25" hidden="1" customHeight="1" x14ac:dyDescent="0.3">
      <c r="A1739" s="8">
        <v>1738</v>
      </c>
      <c r="B1739" s="8" t="str">
        <f>'Criaturas - Base de Dados'!B291</f>
        <v>Engrenagem Rúnica</v>
      </c>
      <c r="C1739" s="8" t="str">
        <f>'Criaturas - Base de Dados'!C291</f>
        <v>Tecnomancia</v>
      </c>
      <c r="D1739" s="8" t="str">
        <f>'Criaturas - Base de Dados'!D291</f>
        <v>Torre Ambulante Rúnica</v>
      </c>
      <c r="E1739" s="8" t="str">
        <f>'Sistema de Raridade e Evolução'!B5</f>
        <v>Ouro</v>
      </c>
      <c r="F1739" s="9">
        <f>ROUND(('Criaturas - Base de Dados'!H291*'Sistema de Raridade e Evolução'!E5)*1000,2)</f>
        <v>468000</v>
      </c>
      <c r="G1739" s="8">
        <f>ROUND('Criaturas - Base de Dados'!I291*'Sistema de Raridade e Evolução'!E5,0)</f>
        <v>288</v>
      </c>
      <c r="H1739" s="8">
        <f>ROUND('Criaturas - Base de Dados'!J291*'Sistema de Raridade e Evolução'!E5,0)</f>
        <v>234</v>
      </c>
      <c r="I1739" s="8">
        <f>ROUND('Criaturas - Base de Dados'!K291*'Sistema de Raridade e Evolução'!E5,0)</f>
        <v>1494</v>
      </c>
      <c r="J1739" s="8">
        <f>'Sistema de Raridade e Evolução'!D5</f>
        <v>31</v>
      </c>
      <c r="K1739" s="8" t="s">
        <v>11</v>
      </c>
      <c r="L1739" s="9">
        <f t="shared" si="27"/>
        <v>1114285.71</v>
      </c>
    </row>
    <row r="1740" spans="1:12" ht="14.25" hidden="1" customHeight="1" x14ac:dyDescent="0.3">
      <c r="A1740" s="8">
        <v>1739</v>
      </c>
      <c r="B1740" s="8" t="str">
        <f>'Criaturas - Base de Dados'!B291</f>
        <v>Engrenagem Rúnica</v>
      </c>
      <c r="C1740" s="8" t="str">
        <f>'Criaturas - Base de Dados'!C291</f>
        <v>Tecnomancia</v>
      </c>
      <c r="D1740" s="8" t="str">
        <f>'Criaturas - Base de Dados'!D291</f>
        <v>Torre Ambulante Rúnica</v>
      </c>
      <c r="E1740" s="8" t="str">
        <f>'Sistema de Raridade e Evolução'!B6</f>
        <v>Platina</v>
      </c>
      <c r="F1740" s="9">
        <f>ROUND(('Criaturas - Base de Dados'!H291*'Sistema de Raridade e Evolução'!E6)*1000,2)</f>
        <v>1300000</v>
      </c>
      <c r="G1740" s="8">
        <f>ROUND('Criaturas - Base de Dados'!I291*'Sistema de Raridade e Evolução'!E6,0)</f>
        <v>800</v>
      </c>
      <c r="H1740" s="8">
        <f>ROUND('Criaturas - Base de Dados'!J291*'Sistema de Raridade e Evolução'!E6,0)</f>
        <v>650</v>
      </c>
      <c r="I1740" s="8">
        <f>ROUND('Criaturas - Base de Dados'!K291*'Sistema de Raridade e Evolução'!E6,0)</f>
        <v>4150</v>
      </c>
      <c r="J1740" s="8">
        <f>'Sistema de Raridade e Evolução'!D6</f>
        <v>56</v>
      </c>
      <c r="K1740" s="8" t="s">
        <v>12</v>
      </c>
      <c r="L1740" s="9">
        <f t="shared" si="27"/>
        <v>3095238.1</v>
      </c>
    </row>
    <row r="1741" spans="1:12" ht="14.25" hidden="1" customHeight="1" x14ac:dyDescent="0.3">
      <c r="A1741" s="8">
        <v>1740</v>
      </c>
      <c r="B1741" s="8" t="str">
        <f>'Criaturas - Base de Dados'!B291</f>
        <v>Engrenagem Rúnica</v>
      </c>
      <c r="C1741" s="8" t="str">
        <f>'Criaturas - Base de Dados'!C291</f>
        <v>Tecnomancia</v>
      </c>
      <c r="D1741" s="8" t="str">
        <f>'Criaturas - Base de Dados'!D291</f>
        <v>Torre Ambulante Rúnica</v>
      </c>
      <c r="E1741" s="8" t="str">
        <f>'Sistema de Raridade e Evolução'!B7</f>
        <v>Lendário</v>
      </c>
      <c r="F1741" s="9">
        <f>ROUND(('Criaturas - Base de Dados'!H291*'Sistema de Raridade e Evolução'!E7)*1000,2)</f>
        <v>3900000</v>
      </c>
      <c r="G1741" s="8">
        <f>ROUND('Criaturas - Base de Dados'!I291*'Sistema de Raridade e Evolução'!E7,0)</f>
        <v>2400</v>
      </c>
      <c r="H1741" s="8">
        <f>ROUND('Criaturas - Base de Dados'!J291*'Sistema de Raridade e Evolução'!E7,0)</f>
        <v>1950</v>
      </c>
      <c r="I1741" s="8">
        <f>ROUND('Criaturas - Base de Dados'!K291*'Sistema de Raridade e Evolução'!E7,0)</f>
        <v>12450</v>
      </c>
      <c r="J1741" s="8">
        <f>'Sistema de Raridade e Evolução'!D7</f>
        <v>91</v>
      </c>
      <c r="K1741" s="8" t="s">
        <v>925</v>
      </c>
      <c r="L1741" s="9">
        <f t="shared" si="27"/>
        <v>9285714.2899999991</v>
      </c>
    </row>
    <row r="1742" spans="1:12" ht="14.25" customHeight="1" x14ac:dyDescent="0.3">
      <c r="A1742" s="8">
        <v>1741</v>
      </c>
      <c r="B1742" s="8" t="str">
        <f>'Criaturas - Base de Dados'!B292</f>
        <v>Engrenagem Rúnica</v>
      </c>
      <c r="C1742" s="8" t="str">
        <f>'Criaturas - Base de Dados'!C292</f>
        <v>Tecnomancia</v>
      </c>
      <c r="D1742" s="8" t="str">
        <f>'Criaturas - Base de Dados'!D292</f>
        <v>Faísca Viva</v>
      </c>
      <c r="E1742" s="8" t="str">
        <f>'Sistema de Raridade e Evolução'!B2</f>
        <v>Default</v>
      </c>
      <c r="F1742" s="9" t="e">
        <f>ROUND(('Criaturas - Base de Dados'!H292*'Sistema de Raridade e Evolução'!E2)*1000,2)</f>
        <v>#VALUE!</v>
      </c>
      <c r="G1742" s="8" t="e">
        <f>ROUND('Criaturas - Base de Dados'!I292*'Sistema de Raridade e Evolução'!E2,0)</f>
        <v>#VALUE!</v>
      </c>
      <c r="H1742" s="8" t="e">
        <f>ROUND('Criaturas - Base de Dados'!J292*'Sistema de Raridade e Evolução'!E2,0)</f>
        <v>#VALUE!</v>
      </c>
      <c r="I1742" s="8" t="e">
        <f>ROUND('Criaturas - Base de Dados'!K292*'Sistema de Raridade e Evolução'!E2,0)</f>
        <v>#VALUE!</v>
      </c>
      <c r="J1742" s="8">
        <f>'Sistema de Raridade e Evolução'!D2</f>
        <v>1</v>
      </c>
      <c r="K1742" s="8" t="s">
        <v>8</v>
      </c>
      <c r="L1742" s="9" t="e">
        <f t="shared" si="27"/>
        <v>#VALUE!</v>
      </c>
    </row>
    <row r="1743" spans="1:12" ht="14.25" hidden="1" customHeight="1" x14ac:dyDescent="0.3">
      <c r="A1743" s="8">
        <v>1742</v>
      </c>
      <c r="B1743" s="8" t="str">
        <f>'Criaturas - Base de Dados'!B292</f>
        <v>Engrenagem Rúnica</v>
      </c>
      <c r="C1743" s="8" t="str">
        <f>'Criaturas - Base de Dados'!C292</f>
        <v>Tecnomancia</v>
      </c>
      <c r="D1743" s="8" t="str">
        <f>'Criaturas - Base de Dados'!D292</f>
        <v>Faísca Viva</v>
      </c>
      <c r="E1743" s="8" t="str">
        <f>'Sistema de Raridade e Evolução'!B3</f>
        <v>Bronze</v>
      </c>
      <c r="F1743" s="9">
        <f>ROUND(('Criaturas - Base de Dados'!H292*'Sistema de Raridade e Evolução'!E3)*1000,2)</f>
        <v>28000</v>
      </c>
      <c r="G1743" s="8">
        <f>ROUND('Criaturas - Base de Dados'!I292*'Sistema de Raridade e Evolução'!E3,0)</f>
        <v>17</v>
      </c>
      <c r="H1743" s="8">
        <f>ROUND('Criaturas - Base de Dados'!J292*'Sistema de Raridade e Evolução'!E3,0)</f>
        <v>14</v>
      </c>
      <c r="I1743" s="8">
        <f>ROUND('Criaturas - Base de Dados'!K292*'Sistema de Raridade e Evolução'!E3,0)</f>
        <v>90</v>
      </c>
      <c r="J1743" s="8">
        <f>'Sistema de Raridade e Evolução'!D3</f>
        <v>6</v>
      </c>
      <c r="K1743" s="8" t="s">
        <v>9</v>
      </c>
      <c r="L1743" s="9">
        <f t="shared" si="27"/>
        <v>66666.67</v>
      </c>
    </row>
    <row r="1744" spans="1:12" ht="14.25" hidden="1" customHeight="1" x14ac:dyDescent="0.3">
      <c r="A1744" s="8">
        <v>1743</v>
      </c>
      <c r="B1744" s="8" t="str">
        <f>'Criaturas - Base de Dados'!B292</f>
        <v>Engrenagem Rúnica</v>
      </c>
      <c r="C1744" s="8" t="str">
        <f>'Criaturas - Base de Dados'!C292</f>
        <v>Tecnomancia</v>
      </c>
      <c r="D1744" s="8" t="str">
        <f>'Criaturas - Base de Dados'!D292</f>
        <v>Faísca Viva</v>
      </c>
      <c r="E1744" s="8" t="str">
        <f>'Sistema de Raridade e Evolução'!B4</f>
        <v>Prata</v>
      </c>
      <c r="F1744" s="9">
        <f>ROUND(('Criaturas - Base de Dados'!H292*'Sistema de Raridade e Evolução'!E4)*1000,2)</f>
        <v>168000</v>
      </c>
      <c r="G1744" s="8">
        <f>ROUND('Criaturas - Base de Dados'!I292*'Sistema de Raridade e Evolução'!E4,0)</f>
        <v>102</v>
      </c>
      <c r="H1744" s="8">
        <f>ROUND('Criaturas - Base de Dados'!J292*'Sistema de Raridade e Evolução'!E4,0)</f>
        <v>84</v>
      </c>
      <c r="I1744" s="8">
        <f>ROUND('Criaturas - Base de Dados'!K292*'Sistema de Raridade e Evolução'!E4,0)</f>
        <v>540</v>
      </c>
      <c r="J1744" s="8">
        <f>'Sistema de Raridade e Evolução'!D4</f>
        <v>16</v>
      </c>
      <c r="K1744" s="8" t="s">
        <v>10</v>
      </c>
      <c r="L1744" s="9">
        <f t="shared" si="27"/>
        <v>400000</v>
      </c>
    </row>
    <row r="1745" spans="1:12" ht="14.25" hidden="1" customHeight="1" x14ac:dyDescent="0.3">
      <c r="A1745" s="8">
        <v>1744</v>
      </c>
      <c r="B1745" s="8" t="str">
        <f>'Criaturas - Base de Dados'!B292</f>
        <v>Engrenagem Rúnica</v>
      </c>
      <c r="C1745" s="8" t="str">
        <f>'Criaturas - Base de Dados'!C292</f>
        <v>Tecnomancia</v>
      </c>
      <c r="D1745" s="8" t="str">
        <f>'Criaturas - Base de Dados'!D292</f>
        <v>Faísca Viva</v>
      </c>
      <c r="E1745" s="8" t="str">
        <f>'Sistema de Raridade e Evolução'!B5</f>
        <v>Ouro</v>
      </c>
      <c r="F1745" s="9">
        <f>ROUND(('Criaturas - Base de Dados'!H292*'Sistema de Raridade e Evolução'!E5)*1000,2)</f>
        <v>504000</v>
      </c>
      <c r="G1745" s="8">
        <f>ROUND('Criaturas - Base de Dados'!I292*'Sistema de Raridade e Evolução'!E5,0)</f>
        <v>306</v>
      </c>
      <c r="H1745" s="8">
        <f>ROUND('Criaturas - Base de Dados'!J292*'Sistema de Raridade e Evolução'!E5,0)</f>
        <v>252</v>
      </c>
      <c r="I1745" s="8">
        <f>ROUND('Criaturas - Base de Dados'!K292*'Sistema de Raridade e Evolução'!E5,0)</f>
        <v>1620</v>
      </c>
      <c r="J1745" s="8">
        <f>'Sistema de Raridade e Evolução'!D5</f>
        <v>31</v>
      </c>
      <c r="K1745" s="8" t="s">
        <v>11</v>
      </c>
      <c r="L1745" s="9">
        <f t="shared" si="27"/>
        <v>1200000</v>
      </c>
    </row>
    <row r="1746" spans="1:12" ht="14.25" hidden="1" customHeight="1" x14ac:dyDescent="0.3">
      <c r="A1746" s="8">
        <v>1745</v>
      </c>
      <c r="B1746" s="8" t="str">
        <f>'Criaturas - Base de Dados'!B292</f>
        <v>Engrenagem Rúnica</v>
      </c>
      <c r="C1746" s="8" t="str">
        <f>'Criaturas - Base de Dados'!C292</f>
        <v>Tecnomancia</v>
      </c>
      <c r="D1746" s="8" t="str">
        <f>'Criaturas - Base de Dados'!D292</f>
        <v>Faísca Viva</v>
      </c>
      <c r="E1746" s="8" t="str">
        <f>'Sistema de Raridade e Evolução'!B6</f>
        <v>Platina</v>
      </c>
      <c r="F1746" s="9">
        <f>ROUND(('Criaturas - Base de Dados'!H292*'Sistema de Raridade e Evolução'!E6)*1000,2)</f>
        <v>1400000</v>
      </c>
      <c r="G1746" s="8">
        <f>ROUND('Criaturas - Base de Dados'!I292*'Sistema de Raridade e Evolução'!E6,0)</f>
        <v>850</v>
      </c>
      <c r="H1746" s="8">
        <f>ROUND('Criaturas - Base de Dados'!J292*'Sistema de Raridade e Evolução'!E6,0)</f>
        <v>700</v>
      </c>
      <c r="I1746" s="8">
        <f>ROUND('Criaturas - Base de Dados'!K292*'Sistema de Raridade e Evolução'!E6,0)</f>
        <v>4500</v>
      </c>
      <c r="J1746" s="8">
        <f>'Sistema de Raridade e Evolução'!D6</f>
        <v>56</v>
      </c>
      <c r="K1746" s="8" t="s">
        <v>12</v>
      </c>
      <c r="L1746" s="9">
        <f t="shared" si="27"/>
        <v>3333333.33</v>
      </c>
    </row>
    <row r="1747" spans="1:12" ht="14.25" hidden="1" customHeight="1" x14ac:dyDescent="0.3">
      <c r="A1747" s="8">
        <v>1746</v>
      </c>
      <c r="B1747" s="8" t="str">
        <f>'Criaturas - Base de Dados'!B292</f>
        <v>Engrenagem Rúnica</v>
      </c>
      <c r="C1747" s="8" t="str">
        <f>'Criaturas - Base de Dados'!C292</f>
        <v>Tecnomancia</v>
      </c>
      <c r="D1747" s="8" t="str">
        <f>'Criaturas - Base de Dados'!D292</f>
        <v>Faísca Viva</v>
      </c>
      <c r="E1747" s="8" t="str">
        <f>'Sistema de Raridade e Evolução'!B7</f>
        <v>Lendário</v>
      </c>
      <c r="F1747" s="9">
        <f>ROUND(('Criaturas - Base de Dados'!H292*'Sistema de Raridade e Evolução'!E7)*1000,2)</f>
        <v>4200000</v>
      </c>
      <c r="G1747" s="8">
        <f>ROUND('Criaturas - Base de Dados'!I292*'Sistema de Raridade e Evolução'!E7,0)</f>
        <v>2550</v>
      </c>
      <c r="H1747" s="8">
        <f>ROUND('Criaturas - Base de Dados'!J292*'Sistema de Raridade e Evolução'!E7,0)</f>
        <v>2100</v>
      </c>
      <c r="I1747" s="8">
        <f>ROUND('Criaturas - Base de Dados'!K292*'Sistema de Raridade e Evolução'!E7,0)</f>
        <v>13500</v>
      </c>
      <c r="J1747" s="8">
        <f>'Sistema de Raridade e Evolução'!D7</f>
        <v>91</v>
      </c>
      <c r="K1747" s="8" t="s">
        <v>925</v>
      </c>
      <c r="L1747" s="9">
        <f t="shared" si="27"/>
        <v>10000000</v>
      </c>
    </row>
    <row r="1748" spans="1:12" ht="14.25" customHeight="1" x14ac:dyDescent="0.3">
      <c r="A1748" s="8">
        <v>1747</v>
      </c>
      <c r="B1748" s="8" t="str">
        <f>'Criaturas - Base de Dados'!B293</f>
        <v>Engrenagem Rúnica</v>
      </c>
      <c r="C1748" s="8" t="str">
        <f>'Criaturas - Base de Dados'!C293</f>
        <v>Tecnomancia</v>
      </c>
      <c r="D1748" s="8" t="str">
        <f>'Criaturas - Base de Dados'!D293</f>
        <v>Golem de Relógio</v>
      </c>
      <c r="E1748" s="8" t="str">
        <f>'Sistema de Raridade e Evolução'!B2</f>
        <v>Default</v>
      </c>
      <c r="F1748" s="9" t="e">
        <f>ROUND(('Criaturas - Base de Dados'!H293*'Sistema de Raridade e Evolução'!E2)*1000,2)</f>
        <v>#VALUE!</v>
      </c>
      <c r="G1748" s="8" t="e">
        <f>ROUND('Criaturas - Base de Dados'!I293*'Sistema de Raridade e Evolução'!E2,0)</f>
        <v>#VALUE!</v>
      </c>
      <c r="H1748" s="8" t="e">
        <f>ROUND('Criaturas - Base de Dados'!J293*'Sistema de Raridade e Evolução'!E2,0)</f>
        <v>#VALUE!</v>
      </c>
      <c r="I1748" s="8" t="e">
        <f>ROUND('Criaturas - Base de Dados'!K293*'Sistema de Raridade e Evolução'!E2,0)</f>
        <v>#VALUE!</v>
      </c>
      <c r="J1748" s="8">
        <f>'Sistema de Raridade e Evolução'!D2</f>
        <v>1</v>
      </c>
      <c r="K1748" s="8" t="s">
        <v>8</v>
      </c>
      <c r="L1748" s="9" t="e">
        <f t="shared" si="27"/>
        <v>#VALUE!</v>
      </c>
    </row>
    <row r="1749" spans="1:12" ht="14.25" hidden="1" customHeight="1" x14ac:dyDescent="0.3">
      <c r="A1749" s="8">
        <v>1748</v>
      </c>
      <c r="B1749" s="8" t="str">
        <f>'Criaturas - Base de Dados'!B293</f>
        <v>Engrenagem Rúnica</v>
      </c>
      <c r="C1749" s="8" t="str">
        <f>'Criaturas - Base de Dados'!C293</f>
        <v>Tecnomancia</v>
      </c>
      <c r="D1749" s="8" t="str">
        <f>'Criaturas - Base de Dados'!D293</f>
        <v>Golem de Relógio</v>
      </c>
      <c r="E1749" s="8" t="str">
        <f>'Sistema de Raridade e Evolução'!B3</f>
        <v>Bronze</v>
      </c>
      <c r="F1749" s="9">
        <f>ROUND(('Criaturas - Base de Dados'!H293*'Sistema de Raridade e Evolução'!E3)*1000,2)</f>
        <v>30000</v>
      </c>
      <c r="G1749" s="8">
        <f>ROUND('Criaturas - Base de Dados'!I293*'Sistema de Raridade e Evolução'!E3,0)</f>
        <v>18</v>
      </c>
      <c r="H1749" s="8">
        <f>ROUND('Criaturas - Base de Dados'!J293*'Sistema de Raridade e Evolução'!E3,0)</f>
        <v>15</v>
      </c>
      <c r="I1749" s="8">
        <f>ROUND('Criaturas - Base de Dados'!K293*'Sistema de Raridade e Evolução'!E3,0)</f>
        <v>96</v>
      </c>
      <c r="J1749" s="8">
        <f>'Sistema de Raridade e Evolução'!D3</f>
        <v>6</v>
      </c>
      <c r="K1749" s="8" t="s">
        <v>9</v>
      </c>
      <c r="L1749" s="9">
        <f t="shared" si="27"/>
        <v>71428.570000000007</v>
      </c>
    </row>
    <row r="1750" spans="1:12" ht="14.25" hidden="1" customHeight="1" x14ac:dyDescent="0.3">
      <c r="A1750" s="8">
        <v>1749</v>
      </c>
      <c r="B1750" s="8" t="str">
        <f>'Criaturas - Base de Dados'!B293</f>
        <v>Engrenagem Rúnica</v>
      </c>
      <c r="C1750" s="8" t="str">
        <f>'Criaturas - Base de Dados'!C293</f>
        <v>Tecnomancia</v>
      </c>
      <c r="D1750" s="8" t="str">
        <f>'Criaturas - Base de Dados'!D293</f>
        <v>Golem de Relógio</v>
      </c>
      <c r="E1750" s="8" t="str">
        <f>'Sistema de Raridade e Evolução'!B4</f>
        <v>Prata</v>
      </c>
      <c r="F1750" s="9">
        <f>ROUND(('Criaturas - Base de Dados'!H293*'Sistema de Raridade e Evolução'!E4)*1000,2)</f>
        <v>180000</v>
      </c>
      <c r="G1750" s="8">
        <f>ROUND('Criaturas - Base de Dados'!I293*'Sistema de Raridade e Evolução'!E4,0)</f>
        <v>108</v>
      </c>
      <c r="H1750" s="8">
        <f>ROUND('Criaturas - Base de Dados'!J293*'Sistema de Raridade e Evolução'!E4,0)</f>
        <v>90</v>
      </c>
      <c r="I1750" s="8">
        <f>ROUND('Criaturas - Base de Dados'!K293*'Sistema de Raridade e Evolução'!E4,0)</f>
        <v>576</v>
      </c>
      <c r="J1750" s="8">
        <f>'Sistema de Raridade e Evolução'!D4</f>
        <v>16</v>
      </c>
      <c r="K1750" s="8" t="s">
        <v>10</v>
      </c>
      <c r="L1750" s="9">
        <f t="shared" si="27"/>
        <v>428571.43</v>
      </c>
    </row>
    <row r="1751" spans="1:12" ht="14.25" hidden="1" customHeight="1" x14ac:dyDescent="0.3">
      <c r="A1751" s="8">
        <v>1750</v>
      </c>
      <c r="B1751" s="8" t="str">
        <f>'Criaturas - Base de Dados'!B293</f>
        <v>Engrenagem Rúnica</v>
      </c>
      <c r="C1751" s="8" t="str">
        <f>'Criaturas - Base de Dados'!C293</f>
        <v>Tecnomancia</v>
      </c>
      <c r="D1751" s="8" t="str">
        <f>'Criaturas - Base de Dados'!D293</f>
        <v>Golem de Relógio</v>
      </c>
      <c r="E1751" s="8" t="str">
        <f>'Sistema de Raridade e Evolução'!B5</f>
        <v>Ouro</v>
      </c>
      <c r="F1751" s="9">
        <f>ROUND(('Criaturas - Base de Dados'!H293*'Sistema de Raridade e Evolução'!E5)*1000,2)</f>
        <v>540000</v>
      </c>
      <c r="G1751" s="8">
        <f>ROUND('Criaturas - Base de Dados'!I293*'Sistema de Raridade e Evolução'!E5,0)</f>
        <v>324</v>
      </c>
      <c r="H1751" s="8">
        <f>ROUND('Criaturas - Base de Dados'!J293*'Sistema de Raridade e Evolução'!E5,0)</f>
        <v>270</v>
      </c>
      <c r="I1751" s="8">
        <f>ROUND('Criaturas - Base de Dados'!K293*'Sistema de Raridade e Evolução'!E5,0)</f>
        <v>1728</v>
      </c>
      <c r="J1751" s="8">
        <f>'Sistema de Raridade e Evolução'!D5</f>
        <v>31</v>
      </c>
      <c r="K1751" s="8" t="s">
        <v>11</v>
      </c>
      <c r="L1751" s="9">
        <f t="shared" si="27"/>
        <v>1285714.29</v>
      </c>
    </row>
    <row r="1752" spans="1:12" ht="14.25" hidden="1" customHeight="1" x14ac:dyDescent="0.3">
      <c r="A1752" s="8">
        <v>1751</v>
      </c>
      <c r="B1752" s="8" t="str">
        <f>'Criaturas - Base de Dados'!B293</f>
        <v>Engrenagem Rúnica</v>
      </c>
      <c r="C1752" s="8" t="str">
        <f>'Criaturas - Base de Dados'!C293</f>
        <v>Tecnomancia</v>
      </c>
      <c r="D1752" s="8" t="str">
        <f>'Criaturas - Base de Dados'!D293</f>
        <v>Golem de Relógio</v>
      </c>
      <c r="E1752" s="8" t="str">
        <f>'Sistema de Raridade e Evolução'!B6</f>
        <v>Platina</v>
      </c>
      <c r="F1752" s="9">
        <f>ROUND(('Criaturas - Base de Dados'!H293*'Sistema de Raridade e Evolução'!E6)*1000,2)</f>
        <v>1500000</v>
      </c>
      <c r="G1752" s="8">
        <f>ROUND('Criaturas - Base de Dados'!I293*'Sistema de Raridade e Evolução'!E6,0)</f>
        <v>900</v>
      </c>
      <c r="H1752" s="8">
        <f>ROUND('Criaturas - Base de Dados'!J293*'Sistema de Raridade e Evolução'!E6,0)</f>
        <v>750</v>
      </c>
      <c r="I1752" s="8">
        <f>ROUND('Criaturas - Base de Dados'!K293*'Sistema de Raridade e Evolução'!E6,0)</f>
        <v>4800</v>
      </c>
      <c r="J1752" s="8">
        <f>'Sistema de Raridade e Evolução'!D6</f>
        <v>56</v>
      </c>
      <c r="K1752" s="8" t="s">
        <v>12</v>
      </c>
      <c r="L1752" s="9">
        <f t="shared" si="27"/>
        <v>3571428.57</v>
      </c>
    </row>
    <row r="1753" spans="1:12" ht="14.25" hidden="1" customHeight="1" x14ac:dyDescent="0.3">
      <c r="A1753" s="8">
        <v>1752</v>
      </c>
      <c r="B1753" s="8" t="str">
        <f>'Criaturas - Base de Dados'!B293</f>
        <v>Engrenagem Rúnica</v>
      </c>
      <c r="C1753" s="8" t="str">
        <f>'Criaturas - Base de Dados'!C293</f>
        <v>Tecnomancia</v>
      </c>
      <c r="D1753" s="8" t="str">
        <f>'Criaturas - Base de Dados'!D293</f>
        <v>Golem de Relógio</v>
      </c>
      <c r="E1753" s="8" t="str">
        <f>'Sistema de Raridade e Evolução'!B7</f>
        <v>Lendário</v>
      </c>
      <c r="F1753" s="9">
        <f>ROUND(('Criaturas - Base de Dados'!H293*'Sistema de Raridade e Evolução'!E7)*1000,2)</f>
        <v>4500000</v>
      </c>
      <c r="G1753" s="8">
        <f>ROUND('Criaturas - Base de Dados'!I293*'Sistema de Raridade e Evolução'!E7,0)</f>
        <v>2700</v>
      </c>
      <c r="H1753" s="8">
        <f>ROUND('Criaturas - Base de Dados'!J293*'Sistema de Raridade e Evolução'!E7,0)</f>
        <v>2250</v>
      </c>
      <c r="I1753" s="8">
        <f>ROUND('Criaturas - Base de Dados'!K293*'Sistema de Raridade e Evolução'!E7,0)</f>
        <v>14400</v>
      </c>
      <c r="J1753" s="8">
        <f>'Sistema de Raridade e Evolução'!D7</f>
        <v>91</v>
      </c>
      <c r="K1753" s="8" t="s">
        <v>925</v>
      </c>
      <c r="L1753" s="9">
        <f t="shared" si="27"/>
        <v>10714285.710000001</v>
      </c>
    </row>
    <row r="1754" spans="1:12" ht="14.25" customHeight="1" x14ac:dyDescent="0.3">
      <c r="A1754" s="8">
        <v>1753</v>
      </c>
      <c r="B1754" s="8" t="str">
        <f>'Criaturas - Base de Dados'!B294</f>
        <v>Engrenagem Rúnica</v>
      </c>
      <c r="C1754" s="8" t="str">
        <f>'Criaturas - Base de Dados'!C294</f>
        <v>Tecnomancia</v>
      </c>
      <c r="D1754" s="8" t="str">
        <f>'Criaturas - Base de Dados'!D294</f>
        <v>Falcão de Bronze</v>
      </c>
      <c r="E1754" s="8" t="str">
        <f>'Sistema de Raridade e Evolução'!B2</f>
        <v>Default</v>
      </c>
      <c r="F1754" s="9" t="e">
        <f>ROUND(('Criaturas - Base de Dados'!H294*'Sistema de Raridade e Evolução'!E2)*1000,2)</f>
        <v>#VALUE!</v>
      </c>
      <c r="G1754" s="8" t="e">
        <f>ROUND('Criaturas - Base de Dados'!I294*'Sistema de Raridade e Evolução'!E2,0)</f>
        <v>#VALUE!</v>
      </c>
      <c r="H1754" s="8" t="e">
        <f>ROUND('Criaturas - Base de Dados'!J294*'Sistema de Raridade e Evolução'!E2,0)</f>
        <v>#VALUE!</v>
      </c>
      <c r="I1754" s="8" t="e">
        <f>ROUND('Criaturas - Base de Dados'!K294*'Sistema de Raridade e Evolução'!E2,0)</f>
        <v>#VALUE!</v>
      </c>
      <c r="J1754" s="8">
        <f>'Sistema de Raridade e Evolução'!D2</f>
        <v>1</v>
      </c>
      <c r="K1754" s="8" t="s">
        <v>8</v>
      </c>
      <c r="L1754" s="9" t="e">
        <f t="shared" si="27"/>
        <v>#VALUE!</v>
      </c>
    </row>
    <row r="1755" spans="1:12" ht="14.25" hidden="1" customHeight="1" x14ac:dyDescent="0.3">
      <c r="A1755" s="8">
        <v>1754</v>
      </c>
      <c r="B1755" s="8" t="str">
        <f>'Criaturas - Base de Dados'!B294</f>
        <v>Engrenagem Rúnica</v>
      </c>
      <c r="C1755" s="8" t="str">
        <f>'Criaturas - Base de Dados'!C294</f>
        <v>Tecnomancia</v>
      </c>
      <c r="D1755" s="8" t="str">
        <f>'Criaturas - Base de Dados'!D294</f>
        <v>Falcão de Bronze</v>
      </c>
      <c r="E1755" s="8" t="str">
        <f>'Sistema de Raridade e Evolução'!B3</f>
        <v>Bronze</v>
      </c>
      <c r="F1755" s="9">
        <f>ROUND(('Criaturas - Base de Dados'!H294*'Sistema de Raridade e Evolução'!E3)*1000,2)</f>
        <v>34000</v>
      </c>
      <c r="G1755" s="8">
        <f>ROUND('Criaturas - Base de Dados'!I294*'Sistema de Raridade e Evolução'!E3,0)</f>
        <v>20</v>
      </c>
      <c r="H1755" s="8">
        <f>ROUND('Criaturas - Base de Dados'!J294*'Sistema de Raridade e Evolução'!E3,0)</f>
        <v>17</v>
      </c>
      <c r="I1755" s="8">
        <f>ROUND('Criaturas - Base de Dados'!K294*'Sistema de Raridade e Evolução'!E3,0)</f>
        <v>109</v>
      </c>
      <c r="J1755" s="8">
        <f>'Sistema de Raridade e Evolução'!D3</f>
        <v>6</v>
      </c>
      <c r="K1755" s="8" t="s">
        <v>9</v>
      </c>
      <c r="L1755" s="9">
        <f t="shared" si="27"/>
        <v>80952.38</v>
      </c>
    </row>
    <row r="1756" spans="1:12" ht="14.25" hidden="1" customHeight="1" x14ac:dyDescent="0.3">
      <c r="A1756" s="8">
        <v>1755</v>
      </c>
      <c r="B1756" s="8" t="str">
        <f>'Criaturas - Base de Dados'!B294</f>
        <v>Engrenagem Rúnica</v>
      </c>
      <c r="C1756" s="8" t="str">
        <f>'Criaturas - Base de Dados'!C294</f>
        <v>Tecnomancia</v>
      </c>
      <c r="D1756" s="8" t="str">
        <f>'Criaturas - Base de Dados'!D294</f>
        <v>Falcão de Bronze</v>
      </c>
      <c r="E1756" s="8" t="str">
        <f>'Sistema de Raridade e Evolução'!B4</f>
        <v>Prata</v>
      </c>
      <c r="F1756" s="9">
        <f>ROUND(('Criaturas - Base de Dados'!H294*'Sistema de Raridade e Evolução'!E4)*1000,2)</f>
        <v>204000</v>
      </c>
      <c r="G1756" s="8">
        <f>ROUND('Criaturas - Base de Dados'!I294*'Sistema de Raridade e Evolução'!E4,0)</f>
        <v>120</v>
      </c>
      <c r="H1756" s="8">
        <f>ROUND('Criaturas - Base de Dados'!J294*'Sistema de Raridade e Evolução'!E4,0)</f>
        <v>102</v>
      </c>
      <c r="I1756" s="8">
        <f>ROUND('Criaturas - Base de Dados'!K294*'Sistema de Raridade e Evolução'!E4,0)</f>
        <v>654</v>
      </c>
      <c r="J1756" s="8">
        <f>'Sistema de Raridade e Evolução'!D4</f>
        <v>16</v>
      </c>
      <c r="K1756" s="8" t="s">
        <v>10</v>
      </c>
      <c r="L1756" s="9">
        <f t="shared" si="27"/>
        <v>485714.29</v>
      </c>
    </row>
    <row r="1757" spans="1:12" ht="14.25" hidden="1" customHeight="1" x14ac:dyDescent="0.3">
      <c r="A1757" s="8">
        <v>1756</v>
      </c>
      <c r="B1757" s="8" t="str">
        <f>'Criaturas - Base de Dados'!B294</f>
        <v>Engrenagem Rúnica</v>
      </c>
      <c r="C1757" s="8" t="str">
        <f>'Criaturas - Base de Dados'!C294</f>
        <v>Tecnomancia</v>
      </c>
      <c r="D1757" s="8" t="str">
        <f>'Criaturas - Base de Dados'!D294</f>
        <v>Falcão de Bronze</v>
      </c>
      <c r="E1757" s="8" t="str">
        <f>'Sistema de Raridade e Evolução'!B5</f>
        <v>Ouro</v>
      </c>
      <c r="F1757" s="9">
        <f>ROUND(('Criaturas - Base de Dados'!H294*'Sistema de Raridade e Evolução'!E5)*1000,2)</f>
        <v>612000</v>
      </c>
      <c r="G1757" s="8">
        <f>ROUND('Criaturas - Base de Dados'!I294*'Sistema de Raridade e Evolução'!E5,0)</f>
        <v>360</v>
      </c>
      <c r="H1757" s="8">
        <f>ROUND('Criaturas - Base de Dados'!J294*'Sistema de Raridade e Evolução'!E5,0)</f>
        <v>306</v>
      </c>
      <c r="I1757" s="8">
        <f>ROUND('Criaturas - Base de Dados'!K294*'Sistema de Raridade e Evolução'!E5,0)</f>
        <v>1962</v>
      </c>
      <c r="J1757" s="8">
        <f>'Sistema de Raridade e Evolução'!D5</f>
        <v>31</v>
      </c>
      <c r="K1757" s="8" t="s">
        <v>11</v>
      </c>
      <c r="L1757" s="9">
        <f t="shared" si="27"/>
        <v>1457142.86</v>
      </c>
    </row>
    <row r="1758" spans="1:12" ht="14.25" hidden="1" customHeight="1" x14ac:dyDescent="0.3">
      <c r="A1758" s="8">
        <v>1757</v>
      </c>
      <c r="B1758" s="8" t="str">
        <f>'Criaturas - Base de Dados'!B294</f>
        <v>Engrenagem Rúnica</v>
      </c>
      <c r="C1758" s="8" t="str">
        <f>'Criaturas - Base de Dados'!C294</f>
        <v>Tecnomancia</v>
      </c>
      <c r="D1758" s="8" t="str">
        <f>'Criaturas - Base de Dados'!D294</f>
        <v>Falcão de Bronze</v>
      </c>
      <c r="E1758" s="8" t="str">
        <f>'Sistema de Raridade e Evolução'!B6</f>
        <v>Platina</v>
      </c>
      <c r="F1758" s="9">
        <f>ROUND(('Criaturas - Base de Dados'!H294*'Sistema de Raridade e Evolução'!E6)*1000,2)</f>
        <v>1700000</v>
      </c>
      <c r="G1758" s="8">
        <f>ROUND('Criaturas - Base de Dados'!I294*'Sistema de Raridade e Evolução'!E6,0)</f>
        <v>1000</v>
      </c>
      <c r="H1758" s="8">
        <f>ROUND('Criaturas - Base de Dados'!J294*'Sistema de Raridade e Evolução'!E6,0)</f>
        <v>850</v>
      </c>
      <c r="I1758" s="8">
        <f>ROUND('Criaturas - Base de Dados'!K294*'Sistema de Raridade e Evolução'!E6,0)</f>
        <v>5450</v>
      </c>
      <c r="J1758" s="8">
        <f>'Sistema de Raridade e Evolução'!D6</f>
        <v>56</v>
      </c>
      <c r="K1758" s="8" t="s">
        <v>12</v>
      </c>
      <c r="L1758" s="9">
        <f t="shared" si="27"/>
        <v>4047619.05</v>
      </c>
    </row>
    <row r="1759" spans="1:12" ht="14.25" hidden="1" customHeight="1" x14ac:dyDescent="0.3">
      <c r="A1759" s="8">
        <v>1758</v>
      </c>
      <c r="B1759" s="8" t="str">
        <f>'Criaturas - Base de Dados'!B294</f>
        <v>Engrenagem Rúnica</v>
      </c>
      <c r="C1759" s="8" t="str">
        <f>'Criaturas - Base de Dados'!C294</f>
        <v>Tecnomancia</v>
      </c>
      <c r="D1759" s="8" t="str">
        <f>'Criaturas - Base de Dados'!D294</f>
        <v>Falcão de Bronze</v>
      </c>
      <c r="E1759" s="8" t="str">
        <f>'Sistema de Raridade e Evolução'!B7</f>
        <v>Lendário</v>
      </c>
      <c r="F1759" s="9">
        <f>ROUND(('Criaturas - Base de Dados'!H294*'Sistema de Raridade e Evolução'!E7)*1000,2)</f>
        <v>5100000</v>
      </c>
      <c r="G1759" s="8">
        <f>ROUND('Criaturas - Base de Dados'!I294*'Sistema de Raridade e Evolução'!E7,0)</f>
        <v>3000</v>
      </c>
      <c r="H1759" s="8">
        <f>ROUND('Criaturas - Base de Dados'!J294*'Sistema de Raridade e Evolução'!E7,0)</f>
        <v>2550</v>
      </c>
      <c r="I1759" s="8">
        <f>ROUND('Criaturas - Base de Dados'!K294*'Sistema de Raridade e Evolução'!E7,0)</f>
        <v>16350</v>
      </c>
      <c r="J1759" s="8">
        <f>'Sistema de Raridade e Evolução'!D7</f>
        <v>91</v>
      </c>
      <c r="K1759" s="8" t="s">
        <v>925</v>
      </c>
      <c r="L1759" s="9">
        <f t="shared" si="27"/>
        <v>12142857.140000001</v>
      </c>
    </row>
    <row r="1760" spans="1:12" ht="14.25" customHeight="1" x14ac:dyDescent="0.3">
      <c r="A1760" s="8">
        <v>1759</v>
      </c>
      <c r="B1760" s="8" t="str">
        <f>'Criaturas - Base de Dados'!B295</f>
        <v>Engrenagem Rúnica</v>
      </c>
      <c r="C1760" s="8" t="str">
        <f>'Criaturas - Base de Dados'!C295</f>
        <v>Tecnomancia</v>
      </c>
      <c r="D1760" s="8" t="str">
        <f>'Criaturas - Base de Dados'!D295</f>
        <v>Guardião de Runas Vivas</v>
      </c>
      <c r="E1760" s="8" t="str">
        <f>'Sistema de Raridade e Evolução'!B2</f>
        <v>Default</v>
      </c>
      <c r="F1760" s="9" t="e">
        <f>ROUND(('Criaturas - Base de Dados'!H295*'Sistema de Raridade e Evolução'!E2)*1000,2)</f>
        <v>#VALUE!</v>
      </c>
      <c r="G1760" s="8" t="e">
        <f>ROUND('Criaturas - Base de Dados'!I295*'Sistema de Raridade e Evolução'!E2,0)</f>
        <v>#VALUE!</v>
      </c>
      <c r="H1760" s="8" t="e">
        <f>ROUND('Criaturas - Base de Dados'!J295*'Sistema de Raridade e Evolução'!E2,0)</f>
        <v>#VALUE!</v>
      </c>
      <c r="I1760" s="8" t="e">
        <f>ROUND('Criaturas - Base de Dados'!K295*'Sistema de Raridade e Evolução'!E2,0)</f>
        <v>#VALUE!</v>
      </c>
      <c r="J1760" s="8">
        <f>'Sistema de Raridade e Evolução'!D2</f>
        <v>1</v>
      </c>
      <c r="K1760" s="8" t="s">
        <v>8</v>
      </c>
      <c r="L1760" s="9" t="e">
        <f t="shared" si="27"/>
        <v>#VALUE!</v>
      </c>
    </row>
    <row r="1761" spans="1:12" ht="14.25" hidden="1" customHeight="1" x14ac:dyDescent="0.3">
      <c r="A1761" s="8">
        <v>1760</v>
      </c>
      <c r="B1761" s="8" t="str">
        <f>'Criaturas - Base de Dados'!B295</f>
        <v>Engrenagem Rúnica</v>
      </c>
      <c r="C1761" s="8" t="str">
        <f>'Criaturas - Base de Dados'!C295</f>
        <v>Tecnomancia</v>
      </c>
      <c r="D1761" s="8" t="str">
        <f>'Criaturas - Base de Dados'!D295</f>
        <v>Guardião de Runas Vivas</v>
      </c>
      <c r="E1761" s="8" t="str">
        <f>'Sistema de Raridade e Evolução'!B3</f>
        <v>Bronze</v>
      </c>
      <c r="F1761" s="9">
        <f>ROUND(('Criaturas - Base de Dados'!H295*'Sistema de Raridade e Evolução'!E3)*1000,2)</f>
        <v>36000</v>
      </c>
      <c r="G1761" s="8">
        <f>ROUND('Criaturas - Base de Dados'!I295*'Sistema de Raridade e Evolução'!E3,0)</f>
        <v>22</v>
      </c>
      <c r="H1761" s="8">
        <f>ROUND('Criaturas - Base de Dados'!J295*'Sistema de Raridade e Evolução'!E3,0)</f>
        <v>18</v>
      </c>
      <c r="I1761" s="8">
        <f>ROUND('Criaturas - Base de Dados'!K295*'Sistema de Raridade e Evolução'!E3,0)</f>
        <v>115</v>
      </c>
      <c r="J1761" s="8">
        <f>'Sistema de Raridade e Evolução'!D3</f>
        <v>6</v>
      </c>
      <c r="K1761" s="8" t="s">
        <v>9</v>
      </c>
      <c r="L1761" s="9">
        <f t="shared" si="27"/>
        <v>85714.29</v>
      </c>
    </row>
    <row r="1762" spans="1:12" ht="14.25" hidden="1" customHeight="1" x14ac:dyDescent="0.3">
      <c r="A1762" s="8">
        <v>1761</v>
      </c>
      <c r="B1762" s="8" t="str">
        <f>'Criaturas - Base de Dados'!B295</f>
        <v>Engrenagem Rúnica</v>
      </c>
      <c r="C1762" s="8" t="str">
        <f>'Criaturas - Base de Dados'!C295</f>
        <v>Tecnomancia</v>
      </c>
      <c r="D1762" s="8" t="str">
        <f>'Criaturas - Base de Dados'!D295</f>
        <v>Guardião de Runas Vivas</v>
      </c>
      <c r="E1762" s="8" t="str">
        <f>'Sistema de Raridade e Evolução'!B4</f>
        <v>Prata</v>
      </c>
      <c r="F1762" s="9">
        <f>ROUND(('Criaturas - Base de Dados'!H295*'Sistema de Raridade e Evolução'!E4)*1000,2)</f>
        <v>216000</v>
      </c>
      <c r="G1762" s="8">
        <f>ROUND('Criaturas - Base de Dados'!I295*'Sistema de Raridade e Evolução'!E4,0)</f>
        <v>132</v>
      </c>
      <c r="H1762" s="8">
        <f>ROUND('Criaturas - Base de Dados'!J295*'Sistema de Raridade e Evolução'!E4,0)</f>
        <v>108</v>
      </c>
      <c r="I1762" s="8">
        <f>ROUND('Criaturas - Base de Dados'!K295*'Sistema de Raridade e Evolução'!E4,0)</f>
        <v>690</v>
      </c>
      <c r="J1762" s="8">
        <f>'Sistema de Raridade e Evolução'!D4</f>
        <v>16</v>
      </c>
      <c r="K1762" s="8" t="s">
        <v>10</v>
      </c>
      <c r="L1762" s="9">
        <f t="shared" si="27"/>
        <v>514285.71</v>
      </c>
    </row>
    <row r="1763" spans="1:12" ht="14.25" hidden="1" customHeight="1" x14ac:dyDescent="0.3">
      <c r="A1763" s="8">
        <v>1762</v>
      </c>
      <c r="B1763" s="8" t="str">
        <f>'Criaturas - Base de Dados'!B295</f>
        <v>Engrenagem Rúnica</v>
      </c>
      <c r="C1763" s="8" t="str">
        <f>'Criaturas - Base de Dados'!C295</f>
        <v>Tecnomancia</v>
      </c>
      <c r="D1763" s="8" t="str">
        <f>'Criaturas - Base de Dados'!D295</f>
        <v>Guardião de Runas Vivas</v>
      </c>
      <c r="E1763" s="8" t="str">
        <f>'Sistema de Raridade e Evolução'!B5</f>
        <v>Ouro</v>
      </c>
      <c r="F1763" s="9">
        <f>ROUND(('Criaturas - Base de Dados'!H295*'Sistema de Raridade e Evolução'!E5)*1000,2)</f>
        <v>648000</v>
      </c>
      <c r="G1763" s="8">
        <f>ROUND('Criaturas - Base de Dados'!I295*'Sistema de Raridade e Evolução'!E5,0)</f>
        <v>396</v>
      </c>
      <c r="H1763" s="8">
        <f>ROUND('Criaturas - Base de Dados'!J295*'Sistema de Raridade e Evolução'!E5,0)</f>
        <v>324</v>
      </c>
      <c r="I1763" s="8">
        <f>ROUND('Criaturas - Base de Dados'!K295*'Sistema de Raridade e Evolução'!E5,0)</f>
        <v>2070</v>
      </c>
      <c r="J1763" s="8">
        <f>'Sistema de Raridade e Evolução'!D5</f>
        <v>31</v>
      </c>
      <c r="K1763" s="8" t="s">
        <v>11</v>
      </c>
      <c r="L1763" s="9">
        <f t="shared" si="27"/>
        <v>1542857.14</v>
      </c>
    </row>
    <row r="1764" spans="1:12" ht="14.25" hidden="1" customHeight="1" x14ac:dyDescent="0.3">
      <c r="A1764" s="8">
        <v>1763</v>
      </c>
      <c r="B1764" s="8" t="str">
        <f>'Criaturas - Base de Dados'!B295</f>
        <v>Engrenagem Rúnica</v>
      </c>
      <c r="C1764" s="8" t="str">
        <f>'Criaturas - Base de Dados'!C295</f>
        <v>Tecnomancia</v>
      </c>
      <c r="D1764" s="8" t="str">
        <f>'Criaturas - Base de Dados'!D295</f>
        <v>Guardião de Runas Vivas</v>
      </c>
      <c r="E1764" s="8" t="str">
        <f>'Sistema de Raridade e Evolução'!B6</f>
        <v>Platina</v>
      </c>
      <c r="F1764" s="9">
        <f>ROUND(('Criaturas - Base de Dados'!H295*'Sistema de Raridade e Evolução'!E6)*1000,2)</f>
        <v>1800000</v>
      </c>
      <c r="G1764" s="8">
        <f>ROUND('Criaturas - Base de Dados'!I295*'Sistema de Raridade e Evolução'!E6,0)</f>
        <v>1100</v>
      </c>
      <c r="H1764" s="8">
        <f>ROUND('Criaturas - Base de Dados'!J295*'Sistema de Raridade e Evolução'!E6,0)</f>
        <v>900</v>
      </c>
      <c r="I1764" s="8">
        <f>ROUND('Criaturas - Base de Dados'!K295*'Sistema de Raridade e Evolução'!E6,0)</f>
        <v>5750</v>
      </c>
      <c r="J1764" s="8">
        <f>'Sistema de Raridade e Evolução'!D6</f>
        <v>56</v>
      </c>
      <c r="K1764" s="8" t="s">
        <v>12</v>
      </c>
      <c r="L1764" s="9">
        <f t="shared" si="27"/>
        <v>4285714.29</v>
      </c>
    </row>
    <row r="1765" spans="1:12" ht="14.25" hidden="1" customHeight="1" x14ac:dyDescent="0.3">
      <c r="A1765" s="8">
        <v>1764</v>
      </c>
      <c r="B1765" s="8" t="str">
        <f>'Criaturas - Base de Dados'!B295</f>
        <v>Engrenagem Rúnica</v>
      </c>
      <c r="C1765" s="8" t="str">
        <f>'Criaturas - Base de Dados'!C295</f>
        <v>Tecnomancia</v>
      </c>
      <c r="D1765" s="8" t="str">
        <f>'Criaturas - Base de Dados'!D295</f>
        <v>Guardião de Runas Vivas</v>
      </c>
      <c r="E1765" s="8" t="str">
        <f>'Sistema de Raridade e Evolução'!B7</f>
        <v>Lendário</v>
      </c>
      <c r="F1765" s="9">
        <f>ROUND(('Criaturas - Base de Dados'!H295*'Sistema de Raridade e Evolução'!E7)*1000,2)</f>
        <v>5400000</v>
      </c>
      <c r="G1765" s="8">
        <f>ROUND('Criaturas - Base de Dados'!I295*'Sistema de Raridade e Evolução'!E7,0)</f>
        <v>3300</v>
      </c>
      <c r="H1765" s="8">
        <f>ROUND('Criaturas - Base de Dados'!J295*'Sistema de Raridade e Evolução'!E7,0)</f>
        <v>2700</v>
      </c>
      <c r="I1765" s="8">
        <f>ROUND('Criaturas - Base de Dados'!K295*'Sistema de Raridade e Evolução'!E7,0)</f>
        <v>17250</v>
      </c>
      <c r="J1765" s="8">
        <f>'Sistema de Raridade e Evolução'!D7</f>
        <v>91</v>
      </c>
      <c r="K1765" s="8" t="s">
        <v>925</v>
      </c>
      <c r="L1765" s="9">
        <f t="shared" si="27"/>
        <v>12857142.859999999</v>
      </c>
    </row>
    <row r="1766" spans="1:12" ht="14.25" customHeight="1" x14ac:dyDescent="0.3">
      <c r="A1766" s="8">
        <v>1765</v>
      </c>
      <c r="B1766" s="8" t="str">
        <f>'Criaturas - Base de Dados'!B296</f>
        <v>Engrenagem Rúnica</v>
      </c>
      <c r="C1766" s="8" t="str">
        <f>'Criaturas - Base de Dados'!C296</f>
        <v>Tecnomancia</v>
      </c>
      <c r="D1766" s="8" t="str">
        <f>'Criaturas - Base de Dados'!D296</f>
        <v>Serpente de Engrenagens</v>
      </c>
      <c r="E1766" s="8" t="str">
        <f>'Sistema de Raridade e Evolução'!B2</f>
        <v>Default</v>
      </c>
      <c r="F1766" s="9" t="e">
        <f>ROUND(('Criaturas - Base de Dados'!H296*'Sistema de Raridade e Evolução'!E2)*1000,2)</f>
        <v>#VALUE!</v>
      </c>
      <c r="G1766" s="8" t="e">
        <f>ROUND('Criaturas - Base de Dados'!I296*'Sistema de Raridade e Evolução'!E2,0)</f>
        <v>#VALUE!</v>
      </c>
      <c r="H1766" s="8" t="e">
        <f>ROUND('Criaturas - Base de Dados'!J296*'Sistema de Raridade e Evolução'!E2,0)</f>
        <v>#VALUE!</v>
      </c>
      <c r="I1766" s="8" t="e">
        <f>ROUND('Criaturas - Base de Dados'!K296*'Sistema de Raridade e Evolução'!E2,0)</f>
        <v>#VALUE!</v>
      </c>
      <c r="J1766" s="8">
        <f>'Sistema de Raridade e Evolução'!D2</f>
        <v>1</v>
      </c>
      <c r="K1766" s="8" t="s">
        <v>8</v>
      </c>
      <c r="L1766" s="9" t="e">
        <f t="shared" si="27"/>
        <v>#VALUE!</v>
      </c>
    </row>
    <row r="1767" spans="1:12" ht="14.25" hidden="1" customHeight="1" x14ac:dyDescent="0.3">
      <c r="A1767" s="8">
        <v>1766</v>
      </c>
      <c r="B1767" s="8" t="str">
        <f>'Criaturas - Base de Dados'!B296</f>
        <v>Engrenagem Rúnica</v>
      </c>
      <c r="C1767" s="8" t="str">
        <f>'Criaturas - Base de Dados'!C296</f>
        <v>Tecnomancia</v>
      </c>
      <c r="D1767" s="8" t="str">
        <f>'Criaturas - Base de Dados'!D296</f>
        <v>Serpente de Engrenagens</v>
      </c>
      <c r="E1767" s="8" t="str">
        <f>'Sistema de Raridade e Evolução'!B3</f>
        <v>Bronze</v>
      </c>
      <c r="F1767" s="9">
        <f>ROUND(('Criaturas - Base de Dados'!H296*'Sistema de Raridade e Evolução'!E3)*1000,2)</f>
        <v>38000</v>
      </c>
      <c r="G1767" s="8">
        <f>ROUND('Criaturas - Base de Dados'!I296*'Sistema de Raridade e Evolução'!E3,0)</f>
        <v>23</v>
      </c>
      <c r="H1767" s="8">
        <f>ROUND('Criaturas - Base de Dados'!J296*'Sistema de Raridade e Evolução'!E3,0)</f>
        <v>19</v>
      </c>
      <c r="I1767" s="8">
        <f>ROUND('Criaturas - Base de Dados'!K296*'Sistema de Raridade e Evolução'!E3,0)</f>
        <v>122</v>
      </c>
      <c r="J1767" s="8">
        <f>'Sistema de Raridade e Evolução'!D3</f>
        <v>6</v>
      </c>
      <c r="K1767" s="8" t="s">
        <v>9</v>
      </c>
      <c r="L1767" s="9">
        <f t="shared" si="27"/>
        <v>90476.19</v>
      </c>
    </row>
    <row r="1768" spans="1:12" ht="14.25" hidden="1" customHeight="1" x14ac:dyDescent="0.3">
      <c r="A1768" s="8">
        <v>1767</v>
      </c>
      <c r="B1768" s="8" t="str">
        <f>'Criaturas - Base de Dados'!B296</f>
        <v>Engrenagem Rúnica</v>
      </c>
      <c r="C1768" s="8" t="str">
        <f>'Criaturas - Base de Dados'!C296</f>
        <v>Tecnomancia</v>
      </c>
      <c r="D1768" s="8" t="str">
        <f>'Criaturas - Base de Dados'!D296</f>
        <v>Serpente de Engrenagens</v>
      </c>
      <c r="E1768" s="8" t="str">
        <f>'Sistema de Raridade e Evolução'!B4</f>
        <v>Prata</v>
      </c>
      <c r="F1768" s="9">
        <f>ROUND(('Criaturas - Base de Dados'!H296*'Sistema de Raridade e Evolução'!E4)*1000,2)</f>
        <v>228000</v>
      </c>
      <c r="G1768" s="8">
        <f>ROUND('Criaturas - Base de Dados'!I296*'Sistema de Raridade e Evolução'!E4,0)</f>
        <v>138</v>
      </c>
      <c r="H1768" s="8">
        <f>ROUND('Criaturas - Base de Dados'!J296*'Sistema de Raridade e Evolução'!E4,0)</f>
        <v>114</v>
      </c>
      <c r="I1768" s="8">
        <f>ROUND('Criaturas - Base de Dados'!K296*'Sistema de Raridade e Evolução'!E4,0)</f>
        <v>732</v>
      </c>
      <c r="J1768" s="8">
        <f>'Sistema de Raridade e Evolução'!D4</f>
        <v>16</v>
      </c>
      <c r="K1768" s="8" t="s">
        <v>10</v>
      </c>
      <c r="L1768" s="9">
        <f t="shared" si="27"/>
        <v>542857.14</v>
      </c>
    </row>
    <row r="1769" spans="1:12" ht="14.25" hidden="1" customHeight="1" x14ac:dyDescent="0.3">
      <c r="A1769" s="8">
        <v>1768</v>
      </c>
      <c r="B1769" s="8" t="str">
        <f>'Criaturas - Base de Dados'!B296</f>
        <v>Engrenagem Rúnica</v>
      </c>
      <c r="C1769" s="8" t="str">
        <f>'Criaturas - Base de Dados'!C296</f>
        <v>Tecnomancia</v>
      </c>
      <c r="D1769" s="8" t="str">
        <f>'Criaturas - Base de Dados'!D296</f>
        <v>Serpente de Engrenagens</v>
      </c>
      <c r="E1769" s="8" t="str">
        <f>'Sistema de Raridade e Evolução'!B5</f>
        <v>Ouro</v>
      </c>
      <c r="F1769" s="9">
        <f>ROUND(('Criaturas - Base de Dados'!H296*'Sistema de Raridade e Evolução'!E5)*1000,2)</f>
        <v>684000</v>
      </c>
      <c r="G1769" s="8">
        <f>ROUND('Criaturas - Base de Dados'!I296*'Sistema de Raridade e Evolução'!E5,0)</f>
        <v>414</v>
      </c>
      <c r="H1769" s="8">
        <f>ROUND('Criaturas - Base de Dados'!J296*'Sistema de Raridade e Evolução'!E5,0)</f>
        <v>342</v>
      </c>
      <c r="I1769" s="8">
        <f>ROUND('Criaturas - Base de Dados'!K296*'Sistema de Raridade e Evolução'!E5,0)</f>
        <v>2196</v>
      </c>
      <c r="J1769" s="8">
        <f>'Sistema de Raridade e Evolução'!D5</f>
        <v>31</v>
      </c>
      <c r="K1769" s="8" t="s">
        <v>11</v>
      </c>
      <c r="L1769" s="9">
        <f t="shared" si="27"/>
        <v>1628571.43</v>
      </c>
    </row>
    <row r="1770" spans="1:12" ht="14.25" hidden="1" customHeight="1" x14ac:dyDescent="0.3">
      <c r="A1770" s="8">
        <v>1769</v>
      </c>
      <c r="B1770" s="8" t="str">
        <f>'Criaturas - Base de Dados'!B296</f>
        <v>Engrenagem Rúnica</v>
      </c>
      <c r="C1770" s="8" t="str">
        <f>'Criaturas - Base de Dados'!C296</f>
        <v>Tecnomancia</v>
      </c>
      <c r="D1770" s="8" t="str">
        <f>'Criaturas - Base de Dados'!D296</f>
        <v>Serpente de Engrenagens</v>
      </c>
      <c r="E1770" s="8" t="str">
        <f>'Sistema de Raridade e Evolução'!B6</f>
        <v>Platina</v>
      </c>
      <c r="F1770" s="9">
        <f>ROUND(('Criaturas - Base de Dados'!H296*'Sistema de Raridade e Evolução'!E6)*1000,2)</f>
        <v>1900000</v>
      </c>
      <c r="G1770" s="8">
        <f>ROUND('Criaturas - Base de Dados'!I296*'Sistema de Raridade e Evolução'!E6,0)</f>
        <v>1150</v>
      </c>
      <c r="H1770" s="8">
        <f>ROUND('Criaturas - Base de Dados'!J296*'Sistema de Raridade e Evolução'!E6,0)</f>
        <v>950</v>
      </c>
      <c r="I1770" s="8">
        <f>ROUND('Criaturas - Base de Dados'!K296*'Sistema de Raridade e Evolução'!E6,0)</f>
        <v>6100</v>
      </c>
      <c r="J1770" s="8">
        <f>'Sistema de Raridade e Evolução'!D6</f>
        <v>56</v>
      </c>
      <c r="K1770" s="8" t="s">
        <v>12</v>
      </c>
      <c r="L1770" s="9">
        <f t="shared" si="27"/>
        <v>4523809.5199999996</v>
      </c>
    </row>
    <row r="1771" spans="1:12" ht="14.25" hidden="1" customHeight="1" x14ac:dyDescent="0.3">
      <c r="A1771" s="8">
        <v>1770</v>
      </c>
      <c r="B1771" s="8" t="str">
        <f>'Criaturas - Base de Dados'!B296</f>
        <v>Engrenagem Rúnica</v>
      </c>
      <c r="C1771" s="8" t="str">
        <f>'Criaturas - Base de Dados'!C296</f>
        <v>Tecnomancia</v>
      </c>
      <c r="D1771" s="8" t="str">
        <f>'Criaturas - Base de Dados'!D296</f>
        <v>Serpente de Engrenagens</v>
      </c>
      <c r="E1771" s="8" t="str">
        <f>'Sistema de Raridade e Evolução'!B7</f>
        <v>Lendário</v>
      </c>
      <c r="F1771" s="9">
        <f>ROUND(('Criaturas - Base de Dados'!H296*'Sistema de Raridade e Evolução'!E7)*1000,2)</f>
        <v>5700000</v>
      </c>
      <c r="G1771" s="8">
        <f>ROUND('Criaturas - Base de Dados'!I296*'Sistema de Raridade e Evolução'!E7,0)</f>
        <v>3450</v>
      </c>
      <c r="H1771" s="8">
        <f>ROUND('Criaturas - Base de Dados'!J296*'Sistema de Raridade e Evolução'!E7,0)</f>
        <v>2850</v>
      </c>
      <c r="I1771" s="8">
        <f>ROUND('Criaturas - Base de Dados'!K296*'Sistema de Raridade e Evolução'!E7,0)</f>
        <v>18300</v>
      </c>
      <c r="J1771" s="8">
        <f>'Sistema de Raridade e Evolução'!D7</f>
        <v>91</v>
      </c>
      <c r="K1771" s="8" t="s">
        <v>925</v>
      </c>
      <c r="L1771" s="9">
        <f t="shared" si="27"/>
        <v>13571428.57</v>
      </c>
    </row>
    <row r="1772" spans="1:12" ht="14.25" customHeight="1" x14ac:dyDescent="0.3">
      <c r="A1772" s="8">
        <v>1771</v>
      </c>
      <c r="B1772" s="8" t="str">
        <f>'Criaturas - Base de Dados'!B297</f>
        <v>Engrenagem Rúnica</v>
      </c>
      <c r="C1772" s="8" t="str">
        <f>'Criaturas - Base de Dados'!C297</f>
        <v>Tecnomancia</v>
      </c>
      <c r="D1772" s="8" t="str">
        <f>'Criaturas - Base de Dados'!D297</f>
        <v>Titã Mecânico Ancestral</v>
      </c>
      <c r="E1772" s="8" t="str">
        <f>'Sistema de Raridade e Evolução'!B2</f>
        <v>Default</v>
      </c>
      <c r="F1772" s="9" t="e">
        <f>ROUND(('Criaturas - Base de Dados'!H297*'Sistema de Raridade e Evolução'!E2)*1000,2)</f>
        <v>#VALUE!</v>
      </c>
      <c r="G1772" s="8" t="e">
        <f>ROUND('Criaturas - Base de Dados'!I297*'Sistema de Raridade e Evolução'!E2,0)</f>
        <v>#VALUE!</v>
      </c>
      <c r="H1772" s="8" t="e">
        <f>ROUND('Criaturas - Base de Dados'!J297*'Sistema de Raridade e Evolução'!E2,0)</f>
        <v>#VALUE!</v>
      </c>
      <c r="I1772" s="8" t="e">
        <f>ROUND('Criaturas - Base de Dados'!K297*'Sistema de Raridade e Evolução'!E2,0)</f>
        <v>#VALUE!</v>
      </c>
      <c r="J1772" s="8">
        <f>'Sistema de Raridade e Evolução'!D2</f>
        <v>1</v>
      </c>
      <c r="K1772" s="8" t="s">
        <v>8</v>
      </c>
      <c r="L1772" s="9" t="e">
        <f t="shared" si="27"/>
        <v>#VALUE!</v>
      </c>
    </row>
    <row r="1773" spans="1:12" ht="14.25" hidden="1" customHeight="1" x14ac:dyDescent="0.3">
      <c r="A1773" s="8">
        <v>1772</v>
      </c>
      <c r="B1773" s="8" t="str">
        <f>'Criaturas - Base de Dados'!B297</f>
        <v>Engrenagem Rúnica</v>
      </c>
      <c r="C1773" s="8" t="str">
        <f>'Criaturas - Base de Dados'!C297</f>
        <v>Tecnomancia</v>
      </c>
      <c r="D1773" s="8" t="str">
        <f>'Criaturas - Base de Dados'!D297</f>
        <v>Titã Mecânico Ancestral</v>
      </c>
      <c r="E1773" s="8" t="str">
        <f>'Sistema de Raridade e Evolução'!B3</f>
        <v>Bronze</v>
      </c>
      <c r="F1773" s="9">
        <f>ROUND(('Criaturas - Base de Dados'!H297*'Sistema de Raridade e Evolução'!E3)*1000,2)</f>
        <v>54000</v>
      </c>
      <c r="G1773" s="8">
        <f>ROUND('Criaturas - Base de Dados'!I297*'Sistema de Raridade e Evolução'!E3,0)</f>
        <v>32</v>
      </c>
      <c r="H1773" s="8">
        <f>ROUND('Criaturas - Base de Dados'!J297*'Sistema de Raridade e Evolução'!E3,0)</f>
        <v>27</v>
      </c>
      <c r="I1773" s="8">
        <f>ROUND('Criaturas - Base de Dados'!K297*'Sistema de Raridade e Evolução'!E3,0)</f>
        <v>173</v>
      </c>
      <c r="J1773" s="8">
        <f>'Sistema de Raridade e Evolução'!D3</f>
        <v>6</v>
      </c>
      <c r="K1773" s="8" t="s">
        <v>9</v>
      </c>
      <c r="L1773" s="9">
        <f t="shared" si="27"/>
        <v>128571.43</v>
      </c>
    </row>
    <row r="1774" spans="1:12" ht="14.25" hidden="1" customHeight="1" x14ac:dyDescent="0.3">
      <c r="A1774" s="8">
        <v>1773</v>
      </c>
      <c r="B1774" s="8" t="str">
        <f>'Criaturas - Base de Dados'!B297</f>
        <v>Engrenagem Rúnica</v>
      </c>
      <c r="C1774" s="8" t="str">
        <f>'Criaturas - Base de Dados'!C297</f>
        <v>Tecnomancia</v>
      </c>
      <c r="D1774" s="8" t="str">
        <f>'Criaturas - Base de Dados'!D297</f>
        <v>Titã Mecânico Ancestral</v>
      </c>
      <c r="E1774" s="8" t="str">
        <f>'Sistema de Raridade e Evolução'!B4</f>
        <v>Prata</v>
      </c>
      <c r="F1774" s="9">
        <f>ROUND(('Criaturas - Base de Dados'!H297*'Sistema de Raridade e Evolução'!E4)*1000,2)</f>
        <v>324000</v>
      </c>
      <c r="G1774" s="8">
        <f>ROUND('Criaturas - Base de Dados'!I297*'Sistema de Raridade e Evolução'!E4,0)</f>
        <v>192</v>
      </c>
      <c r="H1774" s="8">
        <f>ROUND('Criaturas - Base de Dados'!J297*'Sistema de Raridade e Evolução'!E4,0)</f>
        <v>162</v>
      </c>
      <c r="I1774" s="8">
        <f>ROUND('Criaturas - Base de Dados'!K297*'Sistema de Raridade e Evolução'!E4,0)</f>
        <v>1038</v>
      </c>
      <c r="J1774" s="8">
        <f>'Sistema de Raridade e Evolução'!D4</f>
        <v>16</v>
      </c>
      <c r="K1774" s="8" t="s">
        <v>10</v>
      </c>
      <c r="L1774" s="9">
        <f t="shared" si="27"/>
        <v>771428.57</v>
      </c>
    </row>
    <row r="1775" spans="1:12" ht="14.25" hidden="1" customHeight="1" x14ac:dyDescent="0.3">
      <c r="A1775" s="8">
        <v>1774</v>
      </c>
      <c r="B1775" s="8" t="str">
        <f>'Criaturas - Base de Dados'!B297</f>
        <v>Engrenagem Rúnica</v>
      </c>
      <c r="C1775" s="8" t="str">
        <f>'Criaturas - Base de Dados'!C297</f>
        <v>Tecnomancia</v>
      </c>
      <c r="D1775" s="8" t="str">
        <f>'Criaturas - Base de Dados'!D297</f>
        <v>Titã Mecânico Ancestral</v>
      </c>
      <c r="E1775" s="8" t="str">
        <f>'Sistema de Raridade e Evolução'!B5</f>
        <v>Ouro</v>
      </c>
      <c r="F1775" s="9">
        <f>ROUND(('Criaturas - Base de Dados'!H297*'Sistema de Raridade e Evolução'!E5)*1000,2)</f>
        <v>972000</v>
      </c>
      <c r="G1775" s="8">
        <f>ROUND('Criaturas - Base de Dados'!I297*'Sistema de Raridade e Evolução'!E5,0)</f>
        <v>576</v>
      </c>
      <c r="H1775" s="8">
        <f>ROUND('Criaturas - Base de Dados'!J297*'Sistema de Raridade e Evolução'!E5,0)</f>
        <v>486</v>
      </c>
      <c r="I1775" s="8">
        <f>ROUND('Criaturas - Base de Dados'!K297*'Sistema de Raridade e Evolução'!E5,0)</f>
        <v>3114</v>
      </c>
      <c r="J1775" s="8">
        <f>'Sistema de Raridade e Evolução'!D5</f>
        <v>31</v>
      </c>
      <c r="K1775" s="8" t="s">
        <v>11</v>
      </c>
      <c r="L1775" s="9">
        <f t="shared" si="27"/>
        <v>2314285.71</v>
      </c>
    </row>
    <row r="1776" spans="1:12" ht="14.25" hidden="1" customHeight="1" x14ac:dyDescent="0.3">
      <c r="A1776" s="8">
        <v>1775</v>
      </c>
      <c r="B1776" s="8" t="str">
        <f>'Criaturas - Base de Dados'!B297</f>
        <v>Engrenagem Rúnica</v>
      </c>
      <c r="C1776" s="8" t="str">
        <f>'Criaturas - Base de Dados'!C297</f>
        <v>Tecnomancia</v>
      </c>
      <c r="D1776" s="8" t="str">
        <f>'Criaturas - Base de Dados'!D297</f>
        <v>Titã Mecânico Ancestral</v>
      </c>
      <c r="E1776" s="8" t="str">
        <f>'Sistema de Raridade e Evolução'!B6</f>
        <v>Platina</v>
      </c>
      <c r="F1776" s="9">
        <f>ROUND(('Criaturas - Base de Dados'!H297*'Sistema de Raridade e Evolução'!E6)*1000,2)</f>
        <v>2700000</v>
      </c>
      <c r="G1776" s="8">
        <f>ROUND('Criaturas - Base de Dados'!I297*'Sistema de Raridade e Evolução'!E6,0)</f>
        <v>1600</v>
      </c>
      <c r="H1776" s="8">
        <f>ROUND('Criaturas - Base de Dados'!J297*'Sistema de Raridade e Evolução'!E6,0)</f>
        <v>1350</v>
      </c>
      <c r="I1776" s="8">
        <f>ROUND('Criaturas - Base de Dados'!K297*'Sistema de Raridade e Evolução'!E6,0)</f>
        <v>8650</v>
      </c>
      <c r="J1776" s="8">
        <f>'Sistema de Raridade e Evolução'!D6</f>
        <v>56</v>
      </c>
      <c r="K1776" s="8" t="s">
        <v>12</v>
      </c>
      <c r="L1776" s="9">
        <f t="shared" si="27"/>
        <v>6428571.4299999997</v>
      </c>
    </row>
    <row r="1777" spans="1:12" ht="14.25" hidden="1" customHeight="1" x14ac:dyDescent="0.3">
      <c r="A1777" s="8">
        <v>1776</v>
      </c>
      <c r="B1777" s="8" t="str">
        <f>'Criaturas - Base de Dados'!B297</f>
        <v>Engrenagem Rúnica</v>
      </c>
      <c r="C1777" s="8" t="str">
        <f>'Criaturas - Base de Dados'!C297</f>
        <v>Tecnomancia</v>
      </c>
      <c r="D1777" s="8" t="str">
        <f>'Criaturas - Base de Dados'!D297</f>
        <v>Titã Mecânico Ancestral</v>
      </c>
      <c r="E1777" s="8" t="str">
        <f>'Sistema de Raridade e Evolução'!B7</f>
        <v>Lendário</v>
      </c>
      <c r="F1777" s="9">
        <f>ROUND(('Criaturas - Base de Dados'!H297*'Sistema de Raridade e Evolução'!E7)*1000,2)</f>
        <v>8100000</v>
      </c>
      <c r="G1777" s="8">
        <f>ROUND('Criaturas - Base de Dados'!I297*'Sistema de Raridade e Evolução'!E7,0)</f>
        <v>4800</v>
      </c>
      <c r="H1777" s="8">
        <f>ROUND('Criaturas - Base de Dados'!J297*'Sistema de Raridade e Evolução'!E7,0)</f>
        <v>4050</v>
      </c>
      <c r="I1777" s="8">
        <f>ROUND('Criaturas - Base de Dados'!K297*'Sistema de Raridade e Evolução'!E7,0)</f>
        <v>25950</v>
      </c>
      <c r="J1777" s="8">
        <f>'Sistema de Raridade e Evolução'!D7</f>
        <v>91</v>
      </c>
      <c r="K1777" s="8" t="s">
        <v>925</v>
      </c>
      <c r="L1777" s="9">
        <f t="shared" si="27"/>
        <v>19285714.289999999</v>
      </c>
    </row>
    <row r="1778" spans="1:12" ht="14.25" customHeight="1" x14ac:dyDescent="0.3">
      <c r="A1778" s="8">
        <v>1777</v>
      </c>
      <c r="B1778" s="8" t="str">
        <f>'Criaturas - Base de Dados'!B298</f>
        <v>Engrenagem Rúnica</v>
      </c>
      <c r="C1778" s="8" t="str">
        <f>'Criaturas - Base de Dados'!C298</f>
        <v>Tecnomancia</v>
      </c>
      <c r="D1778" s="8" t="str">
        <f>'Criaturas - Base de Dados'!D298</f>
        <v>Enxame de Nanoautômatos</v>
      </c>
      <c r="E1778" s="8" t="str">
        <f>'Sistema de Raridade e Evolução'!B2</f>
        <v>Default</v>
      </c>
      <c r="F1778" s="9" t="e">
        <f>ROUND(('Criaturas - Base de Dados'!H298*'Sistema de Raridade e Evolução'!E2)*1000,2)</f>
        <v>#VALUE!</v>
      </c>
      <c r="G1778" s="8" t="e">
        <f>ROUND('Criaturas - Base de Dados'!I298*'Sistema de Raridade e Evolução'!E2,0)</f>
        <v>#VALUE!</v>
      </c>
      <c r="H1778" s="8" t="e">
        <f>ROUND('Criaturas - Base de Dados'!J298*'Sistema de Raridade e Evolução'!E2,0)</f>
        <v>#VALUE!</v>
      </c>
      <c r="I1778" s="8" t="e">
        <f>ROUND('Criaturas - Base de Dados'!K298*'Sistema de Raridade e Evolução'!E2,0)</f>
        <v>#VALUE!</v>
      </c>
      <c r="J1778" s="8">
        <f>'Sistema de Raridade e Evolução'!D2</f>
        <v>1</v>
      </c>
      <c r="K1778" s="8" t="s">
        <v>8</v>
      </c>
      <c r="L1778" s="9" t="e">
        <f t="shared" si="27"/>
        <v>#VALUE!</v>
      </c>
    </row>
    <row r="1779" spans="1:12" ht="14.25" hidden="1" customHeight="1" x14ac:dyDescent="0.3">
      <c r="A1779" s="8">
        <v>1778</v>
      </c>
      <c r="B1779" s="8" t="str">
        <f>'Criaturas - Base de Dados'!B298</f>
        <v>Engrenagem Rúnica</v>
      </c>
      <c r="C1779" s="8" t="str">
        <f>'Criaturas - Base de Dados'!C298</f>
        <v>Tecnomancia</v>
      </c>
      <c r="D1779" s="8" t="str">
        <f>'Criaturas - Base de Dados'!D298</f>
        <v>Enxame de Nanoautômatos</v>
      </c>
      <c r="E1779" s="8" t="str">
        <f>'Sistema de Raridade e Evolução'!B3</f>
        <v>Bronze</v>
      </c>
      <c r="F1779" s="9">
        <f>ROUND(('Criaturas - Base de Dados'!H298*'Sistema de Raridade e Evolução'!E3)*1000,2)</f>
        <v>48000</v>
      </c>
      <c r="G1779" s="8">
        <f>ROUND('Criaturas - Base de Dados'!I298*'Sistema de Raridade e Evolução'!E3,0)</f>
        <v>29</v>
      </c>
      <c r="H1779" s="8">
        <f>ROUND('Criaturas - Base de Dados'!J298*'Sistema de Raridade e Evolução'!E3,0)</f>
        <v>24</v>
      </c>
      <c r="I1779" s="8">
        <f>ROUND('Criaturas - Base de Dados'!K298*'Sistema de Raridade e Evolução'!E3,0)</f>
        <v>154</v>
      </c>
      <c r="J1779" s="8">
        <f>'Sistema de Raridade e Evolução'!D3</f>
        <v>6</v>
      </c>
      <c r="K1779" s="8" t="s">
        <v>9</v>
      </c>
      <c r="L1779" s="9">
        <f t="shared" si="27"/>
        <v>114285.71</v>
      </c>
    </row>
    <row r="1780" spans="1:12" ht="14.25" hidden="1" customHeight="1" x14ac:dyDescent="0.3">
      <c r="A1780" s="8">
        <v>1779</v>
      </c>
      <c r="B1780" s="8" t="str">
        <f>'Criaturas - Base de Dados'!B298</f>
        <v>Engrenagem Rúnica</v>
      </c>
      <c r="C1780" s="8" t="str">
        <f>'Criaturas - Base de Dados'!C298</f>
        <v>Tecnomancia</v>
      </c>
      <c r="D1780" s="8" t="str">
        <f>'Criaturas - Base de Dados'!D298</f>
        <v>Enxame de Nanoautômatos</v>
      </c>
      <c r="E1780" s="8" t="str">
        <f>'Sistema de Raridade e Evolução'!B4</f>
        <v>Prata</v>
      </c>
      <c r="F1780" s="9">
        <f>ROUND(('Criaturas - Base de Dados'!H298*'Sistema de Raridade e Evolução'!E4)*1000,2)</f>
        <v>288000</v>
      </c>
      <c r="G1780" s="8">
        <f>ROUND('Criaturas - Base de Dados'!I298*'Sistema de Raridade e Evolução'!E4,0)</f>
        <v>174</v>
      </c>
      <c r="H1780" s="8">
        <f>ROUND('Criaturas - Base de Dados'!J298*'Sistema de Raridade e Evolução'!E4,0)</f>
        <v>144</v>
      </c>
      <c r="I1780" s="8">
        <f>ROUND('Criaturas - Base de Dados'!K298*'Sistema de Raridade e Evolução'!E4,0)</f>
        <v>924</v>
      </c>
      <c r="J1780" s="8">
        <f>'Sistema de Raridade e Evolução'!D4</f>
        <v>16</v>
      </c>
      <c r="K1780" s="8" t="s">
        <v>10</v>
      </c>
      <c r="L1780" s="9">
        <f t="shared" si="27"/>
        <v>685714.29</v>
      </c>
    </row>
    <row r="1781" spans="1:12" ht="14.25" hidden="1" customHeight="1" x14ac:dyDescent="0.3">
      <c r="A1781" s="8">
        <v>1780</v>
      </c>
      <c r="B1781" s="8" t="str">
        <f>'Criaturas - Base de Dados'!B298</f>
        <v>Engrenagem Rúnica</v>
      </c>
      <c r="C1781" s="8" t="str">
        <f>'Criaturas - Base de Dados'!C298</f>
        <v>Tecnomancia</v>
      </c>
      <c r="D1781" s="8" t="str">
        <f>'Criaturas - Base de Dados'!D298</f>
        <v>Enxame de Nanoautômatos</v>
      </c>
      <c r="E1781" s="8" t="str">
        <f>'Sistema de Raridade e Evolução'!B5</f>
        <v>Ouro</v>
      </c>
      <c r="F1781" s="9">
        <f>ROUND(('Criaturas - Base de Dados'!H298*'Sistema de Raridade e Evolução'!E5)*1000,2)</f>
        <v>864000</v>
      </c>
      <c r="G1781" s="8">
        <f>ROUND('Criaturas - Base de Dados'!I298*'Sistema de Raridade e Evolução'!E5,0)</f>
        <v>522</v>
      </c>
      <c r="H1781" s="8">
        <f>ROUND('Criaturas - Base de Dados'!J298*'Sistema de Raridade e Evolução'!E5,0)</f>
        <v>432</v>
      </c>
      <c r="I1781" s="8">
        <f>ROUND('Criaturas - Base de Dados'!K298*'Sistema de Raridade e Evolução'!E5,0)</f>
        <v>2772</v>
      </c>
      <c r="J1781" s="8">
        <f>'Sistema de Raridade e Evolução'!D5</f>
        <v>31</v>
      </c>
      <c r="K1781" s="8" t="s">
        <v>11</v>
      </c>
      <c r="L1781" s="9">
        <f t="shared" si="27"/>
        <v>2057142.86</v>
      </c>
    </row>
    <row r="1782" spans="1:12" ht="14.25" hidden="1" customHeight="1" x14ac:dyDescent="0.3">
      <c r="A1782" s="8">
        <v>1781</v>
      </c>
      <c r="B1782" s="8" t="str">
        <f>'Criaturas - Base de Dados'!B298</f>
        <v>Engrenagem Rúnica</v>
      </c>
      <c r="C1782" s="8" t="str">
        <f>'Criaturas - Base de Dados'!C298</f>
        <v>Tecnomancia</v>
      </c>
      <c r="D1782" s="8" t="str">
        <f>'Criaturas - Base de Dados'!D298</f>
        <v>Enxame de Nanoautômatos</v>
      </c>
      <c r="E1782" s="8" t="str">
        <f>'Sistema de Raridade e Evolução'!B6</f>
        <v>Platina</v>
      </c>
      <c r="F1782" s="9">
        <f>ROUND(('Criaturas - Base de Dados'!H298*'Sistema de Raridade e Evolução'!E6)*1000,2)</f>
        <v>2400000</v>
      </c>
      <c r="G1782" s="8">
        <f>ROUND('Criaturas - Base de Dados'!I298*'Sistema de Raridade e Evolução'!E6,0)</f>
        <v>1450</v>
      </c>
      <c r="H1782" s="8">
        <f>ROUND('Criaturas - Base de Dados'!J298*'Sistema de Raridade e Evolução'!E6,0)</f>
        <v>1200</v>
      </c>
      <c r="I1782" s="8">
        <f>ROUND('Criaturas - Base de Dados'!K298*'Sistema de Raridade e Evolução'!E6,0)</f>
        <v>7700</v>
      </c>
      <c r="J1782" s="8">
        <f>'Sistema de Raridade e Evolução'!D6</f>
        <v>56</v>
      </c>
      <c r="K1782" s="8" t="s">
        <v>12</v>
      </c>
      <c r="L1782" s="9">
        <f t="shared" si="27"/>
        <v>5714285.71</v>
      </c>
    </row>
    <row r="1783" spans="1:12" ht="14.25" hidden="1" customHeight="1" x14ac:dyDescent="0.3">
      <c r="A1783" s="8">
        <v>1782</v>
      </c>
      <c r="B1783" s="8" t="str">
        <f>'Criaturas - Base de Dados'!B298</f>
        <v>Engrenagem Rúnica</v>
      </c>
      <c r="C1783" s="8" t="str">
        <f>'Criaturas - Base de Dados'!C298</f>
        <v>Tecnomancia</v>
      </c>
      <c r="D1783" s="8" t="str">
        <f>'Criaturas - Base de Dados'!D298</f>
        <v>Enxame de Nanoautômatos</v>
      </c>
      <c r="E1783" s="8" t="str">
        <f>'Sistema de Raridade e Evolução'!B7</f>
        <v>Lendário</v>
      </c>
      <c r="F1783" s="9">
        <f>ROUND(('Criaturas - Base de Dados'!H298*'Sistema de Raridade e Evolução'!E7)*1000,2)</f>
        <v>7200000</v>
      </c>
      <c r="G1783" s="8">
        <f>ROUND('Criaturas - Base de Dados'!I298*'Sistema de Raridade e Evolução'!E7,0)</f>
        <v>4350</v>
      </c>
      <c r="H1783" s="8">
        <f>ROUND('Criaturas - Base de Dados'!J298*'Sistema de Raridade e Evolução'!E7,0)</f>
        <v>3600</v>
      </c>
      <c r="I1783" s="8">
        <f>ROUND('Criaturas - Base de Dados'!K298*'Sistema de Raridade e Evolução'!E7,0)</f>
        <v>23100</v>
      </c>
      <c r="J1783" s="8">
        <f>'Sistema de Raridade e Evolução'!D7</f>
        <v>91</v>
      </c>
      <c r="K1783" s="8" t="s">
        <v>925</v>
      </c>
      <c r="L1783" s="9">
        <f t="shared" si="27"/>
        <v>17142857.140000001</v>
      </c>
    </row>
    <row r="1784" spans="1:12" ht="14.25" customHeight="1" x14ac:dyDescent="0.3">
      <c r="A1784" s="8">
        <v>1783</v>
      </c>
      <c r="B1784" s="8" t="str">
        <f>'Criaturas - Base de Dados'!B299</f>
        <v>Engrenagem Rúnica</v>
      </c>
      <c r="C1784" s="8" t="str">
        <f>'Criaturas - Base de Dados'!C299</f>
        <v>Tecnomancia</v>
      </c>
      <c r="D1784" s="8" t="str">
        <f>'Criaturas - Base de Dados'!D299</f>
        <v>Fera de Vapor</v>
      </c>
      <c r="E1784" s="8" t="str">
        <f>'Sistema de Raridade e Evolução'!B2</f>
        <v>Default</v>
      </c>
      <c r="F1784" s="9" t="e">
        <f>ROUND(('Criaturas - Base de Dados'!H299*'Sistema de Raridade e Evolução'!E2)*1000,2)</f>
        <v>#VALUE!</v>
      </c>
      <c r="G1784" s="8" t="e">
        <f>ROUND('Criaturas - Base de Dados'!I299*'Sistema de Raridade e Evolução'!E2,0)</f>
        <v>#VALUE!</v>
      </c>
      <c r="H1784" s="8" t="e">
        <f>ROUND('Criaturas - Base de Dados'!J299*'Sistema de Raridade e Evolução'!E2,0)</f>
        <v>#VALUE!</v>
      </c>
      <c r="I1784" s="8" t="e">
        <f>ROUND('Criaturas - Base de Dados'!K299*'Sistema de Raridade e Evolução'!E2,0)</f>
        <v>#VALUE!</v>
      </c>
      <c r="J1784" s="8">
        <f>'Sistema de Raridade e Evolução'!D2</f>
        <v>1</v>
      </c>
      <c r="K1784" s="8" t="s">
        <v>8</v>
      </c>
      <c r="L1784" s="9" t="e">
        <f t="shared" si="27"/>
        <v>#VALUE!</v>
      </c>
    </row>
    <row r="1785" spans="1:12" ht="14.25" hidden="1" customHeight="1" x14ac:dyDescent="0.3">
      <c r="A1785" s="8">
        <v>1784</v>
      </c>
      <c r="B1785" s="8" t="str">
        <f>'Criaturas - Base de Dados'!B299</f>
        <v>Engrenagem Rúnica</v>
      </c>
      <c r="C1785" s="8" t="str">
        <f>'Criaturas - Base de Dados'!C299</f>
        <v>Tecnomancia</v>
      </c>
      <c r="D1785" s="8" t="str">
        <f>'Criaturas - Base de Dados'!D299</f>
        <v>Fera de Vapor</v>
      </c>
      <c r="E1785" s="8" t="str">
        <f>'Sistema de Raridade e Evolução'!B3</f>
        <v>Bronze</v>
      </c>
      <c r="F1785" s="9">
        <f>ROUND(('Criaturas - Base de Dados'!H299*'Sistema de Raridade e Evolução'!E3)*1000,2)</f>
        <v>50000</v>
      </c>
      <c r="G1785" s="8">
        <f>ROUND('Criaturas - Base de Dados'!I299*'Sistema de Raridade e Evolução'!E3,0)</f>
        <v>30</v>
      </c>
      <c r="H1785" s="8">
        <f>ROUND('Criaturas - Base de Dados'!J299*'Sistema de Raridade e Evolução'!E3,0)</f>
        <v>25</v>
      </c>
      <c r="I1785" s="8">
        <f>ROUND('Criaturas - Base de Dados'!K299*'Sistema de Raridade e Evolução'!E3,0)</f>
        <v>160</v>
      </c>
      <c r="J1785" s="8">
        <f>'Sistema de Raridade e Evolução'!D3</f>
        <v>6</v>
      </c>
      <c r="K1785" s="8" t="s">
        <v>9</v>
      </c>
      <c r="L1785" s="9">
        <f t="shared" si="27"/>
        <v>119047.62</v>
      </c>
    </row>
    <row r="1786" spans="1:12" ht="14.25" hidden="1" customHeight="1" x14ac:dyDescent="0.3">
      <c r="A1786" s="8">
        <v>1785</v>
      </c>
      <c r="B1786" s="8" t="str">
        <f>'Criaturas - Base de Dados'!B299</f>
        <v>Engrenagem Rúnica</v>
      </c>
      <c r="C1786" s="8" t="str">
        <f>'Criaturas - Base de Dados'!C299</f>
        <v>Tecnomancia</v>
      </c>
      <c r="D1786" s="8" t="str">
        <f>'Criaturas - Base de Dados'!D299</f>
        <v>Fera de Vapor</v>
      </c>
      <c r="E1786" s="8" t="str">
        <f>'Sistema de Raridade e Evolução'!B4</f>
        <v>Prata</v>
      </c>
      <c r="F1786" s="9">
        <f>ROUND(('Criaturas - Base de Dados'!H299*'Sistema de Raridade e Evolução'!E4)*1000,2)</f>
        <v>300000</v>
      </c>
      <c r="G1786" s="8">
        <f>ROUND('Criaturas - Base de Dados'!I299*'Sistema de Raridade e Evolução'!E4,0)</f>
        <v>180</v>
      </c>
      <c r="H1786" s="8">
        <f>ROUND('Criaturas - Base de Dados'!J299*'Sistema de Raridade e Evolução'!E4,0)</f>
        <v>150</v>
      </c>
      <c r="I1786" s="8">
        <f>ROUND('Criaturas - Base de Dados'!K299*'Sistema de Raridade e Evolução'!E4,0)</f>
        <v>960</v>
      </c>
      <c r="J1786" s="8">
        <f>'Sistema de Raridade e Evolução'!D4</f>
        <v>16</v>
      </c>
      <c r="K1786" s="8" t="s">
        <v>10</v>
      </c>
      <c r="L1786" s="9">
        <f t="shared" si="27"/>
        <v>714285.71</v>
      </c>
    </row>
    <row r="1787" spans="1:12" ht="14.25" hidden="1" customHeight="1" x14ac:dyDescent="0.3">
      <c r="A1787" s="8">
        <v>1786</v>
      </c>
      <c r="B1787" s="8" t="str">
        <f>'Criaturas - Base de Dados'!B299</f>
        <v>Engrenagem Rúnica</v>
      </c>
      <c r="C1787" s="8" t="str">
        <f>'Criaturas - Base de Dados'!C299</f>
        <v>Tecnomancia</v>
      </c>
      <c r="D1787" s="8" t="str">
        <f>'Criaturas - Base de Dados'!D299</f>
        <v>Fera de Vapor</v>
      </c>
      <c r="E1787" s="8" t="str">
        <f>'Sistema de Raridade e Evolução'!B5</f>
        <v>Ouro</v>
      </c>
      <c r="F1787" s="9">
        <f>ROUND(('Criaturas - Base de Dados'!H299*'Sistema de Raridade e Evolução'!E5)*1000,2)</f>
        <v>900000</v>
      </c>
      <c r="G1787" s="8">
        <f>ROUND('Criaturas - Base de Dados'!I299*'Sistema de Raridade e Evolução'!E5,0)</f>
        <v>540</v>
      </c>
      <c r="H1787" s="8">
        <f>ROUND('Criaturas - Base de Dados'!J299*'Sistema de Raridade e Evolução'!E5,0)</f>
        <v>450</v>
      </c>
      <c r="I1787" s="8">
        <f>ROUND('Criaturas - Base de Dados'!K299*'Sistema de Raridade e Evolução'!E5,0)</f>
        <v>2880</v>
      </c>
      <c r="J1787" s="8">
        <f>'Sistema de Raridade e Evolução'!D5</f>
        <v>31</v>
      </c>
      <c r="K1787" s="8" t="s">
        <v>11</v>
      </c>
      <c r="L1787" s="9">
        <f t="shared" si="27"/>
        <v>2142857.14</v>
      </c>
    </row>
    <row r="1788" spans="1:12" ht="14.25" hidden="1" customHeight="1" x14ac:dyDescent="0.3">
      <c r="A1788" s="8">
        <v>1787</v>
      </c>
      <c r="B1788" s="8" t="str">
        <f>'Criaturas - Base de Dados'!B299</f>
        <v>Engrenagem Rúnica</v>
      </c>
      <c r="C1788" s="8" t="str">
        <f>'Criaturas - Base de Dados'!C299</f>
        <v>Tecnomancia</v>
      </c>
      <c r="D1788" s="8" t="str">
        <f>'Criaturas - Base de Dados'!D299</f>
        <v>Fera de Vapor</v>
      </c>
      <c r="E1788" s="8" t="str">
        <f>'Sistema de Raridade e Evolução'!B6</f>
        <v>Platina</v>
      </c>
      <c r="F1788" s="9">
        <f>ROUND(('Criaturas - Base de Dados'!H299*'Sistema de Raridade e Evolução'!E6)*1000,2)</f>
        <v>2500000</v>
      </c>
      <c r="G1788" s="8">
        <f>ROUND('Criaturas - Base de Dados'!I299*'Sistema de Raridade e Evolução'!E6,0)</f>
        <v>1500</v>
      </c>
      <c r="H1788" s="8">
        <f>ROUND('Criaturas - Base de Dados'!J299*'Sistema de Raridade e Evolução'!E6,0)</f>
        <v>1250</v>
      </c>
      <c r="I1788" s="8">
        <f>ROUND('Criaturas - Base de Dados'!K299*'Sistema de Raridade e Evolução'!E6,0)</f>
        <v>8000</v>
      </c>
      <c r="J1788" s="8">
        <f>'Sistema de Raridade e Evolução'!D6</f>
        <v>56</v>
      </c>
      <c r="K1788" s="8" t="s">
        <v>12</v>
      </c>
      <c r="L1788" s="9">
        <f t="shared" si="27"/>
        <v>5952380.9500000002</v>
      </c>
    </row>
    <row r="1789" spans="1:12" ht="14.25" hidden="1" customHeight="1" x14ac:dyDescent="0.3">
      <c r="A1789" s="8">
        <v>1788</v>
      </c>
      <c r="B1789" s="8" t="str">
        <f>'Criaturas - Base de Dados'!B299</f>
        <v>Engrenagem Rúnica</v>
      </c>
      <c r="C1789" s="8" t="str">
        <f>'Criaturas - Base de Dados'!C299</f>
        <v>Tecnomancia</v>
      </c>
      <c r="D1789" s="8" t="str">
        <f>'Criaturas - Base de Dados'!D299</f>
        <v>Fera de Vapor</v>
      </c>
      <c r="E1789" s="8" t="str">
        <f>'Sistema de Raridade e Evolução'!B7</f>
        <v>Lendário</v>
      </c>
      <c r="F1789" s="9">
        <f>ROUND(('Criaturas - Base de Dados'!H299*'Sistema de Raridade e Evolução'!E7)*1000,2)</f>
        <v>7500000</v>
      </c>
      <c r="G1789" s="8">
        <f>ROUND('Criaturas - Base de Dados'!I299*'Sistema de Raridade e Evolução'!E7,0)</f>
        <v>4500</v>
      </c>
      <c r="H1789" s="8">
        <f>ROUND('Criaturas - Base de Dados'!J299*'Sistema de Raridade e Evolução'!E7,0)</f>
        <v>3750</v>
      </c>
      <c r="I1789" s="8">
        <f>ROUND('Criaturas - Base de Dados'!K299*'Sistema de Raridade e Evolução'!E7,0)</f>
        <v>24000</v>
      </c>
      <c r="J1789" s="8">
        <f>'Sistema de Raridade e Evolução'!D7</f>
        <v>91</v>
      </c>
      <c r="K1789" s="8" t="s">
        <v>925</v>
      </c>
      <c r="L1789" s="9">
        <f t="shared" si="27"/>
        <v>17857142.859999999</v>
      </c>
    </row>
    <row r="1790" spans="1:12" ht="14.25" customHeight="1" x14ac:dyDescent="0.3">
      <c r="A1790" s="8">
        <v>1789</v>
      </c>
      <c r="B1790" s="8" t="str">
        <f>'Criaturas - Base de Dados'!B300</f>
        <v>Engrenagem Rúnica</v>
      </c>
      <c r="C1790" s="8" t="str">
        <f>'Criaturas - Base de Dados'!C300</f>
        <v>Tecnomancia</v>
      </c>
      <c r="D1790" s="8" t="str">
        <f>'Criaturas - Base de Dados'!D300</f>
        <v>Oráculo Mecânico</v>
      </c>
      <c r="E1790" s="8" t="str">
        <f>'Sistema de Raridade e Evolução'!B2</f>
        <v>Default</v>
      </c>
      <c r="F1790" s="9" t="e">
        <f>ROUND(('Criaturas - Base de Dados'!H300*'Sistema de Raridade e Evolução'!E2)*1000,2)</f>
        <v>#VALUE!</v>
      </c>
      <c r="G1790" s="8" t="e">
        <f>ROUND('Criaturas - Base de Dados'!I300*'Sistema de Raridade e Evolução'!E2,0)</f>
        <v>#VALUE!</v>
      </c>
      <c r="H1790" s="8" t="e">
        <f>ROUND('Criaturas - Base de Dados'!J300*'Sistema de Raridade e Evolução'!E2,0)</f>
        <v>#VALUE!</v>
      </c>
      <c r="I1790" s="8" t="e">
        <f>ROUND('Criaturas - Base de Dados'!K300*'Sistema de Raridade e Evolução'!E2,0)</f>
        <v>#VALUE!</v>
      </c>
      <c r="J1790" s="8">
        <f>'Sistema de Raridade e Evolução'!D2</f>
        <v>1</v>
      </c>
      <c r="K1790" s="8" t="s">
        <v>8</v>
      </c>
      <c r="L1790" s="9" t="e">
        <f t="shared" si="27"/>
        <v>#VALUE!</v>
      </c>
    </row>
    <row r="1791" spans="1:12" ht="14.25" hidden="1" customHeight="1" x14ac:dyDescent="0.3">
      <c r="A1791" s="8">
        <v>1790</v>
      </c>
      <c r="B1791" s="8" t="str">
        <f>'Criaturas - Base de Dados'!B300</f>
        <v>Engrenagem Rúnica</v>
      </c>
      <c r="C1791" s="8" t="str">
        <f>'Criaturas - Base de Dados'!C300</f>
        <v>Tecnomancia</v>
      </c>
      <c r="D1791" s="8" t="str">
        <f>'Criaturas - Base de Dados'!D300</f>
        <v>Oráculo Mecânico</v>
      </c>
      <c r="E1791" s="8" t="str">
        <f>'Sistema de Raridade e Evolução'!B3</f>
        <v>Bronze</v>
      </c>
      <c r="F1791" s="9">
        <f>ROUND(('Criaturas - Base de Dados'!H300*'Sistema de Raridade e Evolução'!E3)*1000,2)</f>
        <v>69000</v>
      </c>
      <c r="G1791" s="8">
        <f>ROUND('Criaturas - Base de Dados'!I300*'Sistema de Raridade e Evolução'!E3,0)</f>
        <v>41</v>
      </c>
      <c r="H1791" s="8">
        <f>ROUND('Criaturas - Base de Dados'!J300*'Sistema de Raridade e Evolução'!E3,0)</f>
        <v>34</v>
      </c>
      <c r="I1791" s="8">
        <f>ROUND('Criaturas - Base de Dados'!K300*'Sistema de Raridade e Evolução'!E3,0)</f>
        <v>221</v>
      </c>
      <c r="J1791" s="8">
        <f>'Sistema de Raridade e Evolução'!D3</f>
        <v>6</v>
      </c>
      <c r="K1791" s="8" t="s">
        <v>9</v>
      </c>
      <c r="L1791" s="9">
        <f t="shared" si="27"/>
        <v>164285.71</v>
      </c>
    </row>
    <row r="1792" spans="1:12" ht="14.25" hidden="1" customHeight="1" x14ac:dyDescent="0.3">
      <c r="A1792" s="8">
        <v>1791</v>
      </c>
      <c r="B1792" s="8" t="str">
        <f>'Criaturas - Base de Dados'!B300</f>
        <v>Engrenagem Rúnica</v>
      </c>
      <c r="C1792" s="8" t="str">
        <f>'Criaturas - Base de Dados'!C300</f>
        <v>Tecnomancia</v>
      </c>
      <c r="D1792" s="8" t="str">
        <f>'Criaturas - Base de Dados'!D300</f>
        <v>Oráculo Mecânico</v>
      </c>
      <c r="E1792" s="8" t="str">
        <f>'Sistema de Raridade e Evolução'!B4</f>
        <v>Prata</v>
      </c>
      <c r="F1792" s="9">
        <f>ROUND(('Criaturas - Base de Dados'!H300*'Sistema de Raridade e Evolução'!E4)*1000,2)</f>
        <v>414000</v>
      </c>
      <c r="G1792" s="8">
        <f>ROUND('Criaturas - Base de Dados'!I300*'Sistema de Raridade e Evolução'!E4,0)</f>
        <v>246</v>
      </c>
      <c r="H1792" s="8">
        <f>ROUND('Criaturas - Base de Dados'!J300*'Sistema de Raridade e Evolução'!E4,0)</f>
        <v>204</v>
      </c>
      <c r="I1792" s="8">
        <f>ROUND('Criaturas - Base de Dados'!K300*'Sistema de Raridade e Evolução'!E4,0)</f>
        <v>1326</v>
      </c>
      <c r="J1792" s="8">
        <f>'Sistema de Raridade e Evolução'!D4</f>
        <v>16</v>
      </c>
      <c r="K1792" s="8" t="s">
        <v>10</v>
      </c>
      <c r="L1792" s="9">
        <f t="shared" si="27"/>
        <v>985714.29</v>
      </c>
    </row>
    <row r="1793" spans="1:12" ht="14.25" hidden="1" customHeight="1" x14ac:dyDescent="0.3">
      <c r="A1793" s="8">
        <v>1792</v>
      </c>
      <c r="B1793" s="8" t="str">
        <f>'Criaturas - Base de Dados'!B300</f>
        <v>Engrenagem Rúnica</v>
      </c>
      <c r="C1793" s="8" t="str">
        <f>'Criaturas - Base de Dados'!C300</f>
        <v>Tecnomancia</v>
      </c>
      <c r="D1793" s="8" t="str">
        <f>'Criaturas - Base de Dados'!D300</f>
        <v>Oráculo Mecânico</v>
      </c>
      <c r="E1793" s="8" t="str">
        <f>'Sistema de Raridade e Evolução'!B5</f>
        <v>Ouro</v>
      </c>
      <c r="F1793" s="9">
        <f>ROUND(('Criaturas - Base de Dados'!H300*'Sistema de Raridade e Evolução'!E5)*1000,2)</f>
        <v>1242000</v>
      </c>
      <c r="G1793" s="8">
        <f>ROUND('Criaturas - Base de Dados'!I300*'Sistema de Raridade e Evolução'!E5,0)</f>
        <v>738</v>
      </c>
      <c r="H1793" s="8">
        <f>ROUND('Criaturas - Base de Dados'!J300*'Sistema de Raridade e Evolução'!E5,0)</f>
        <v>612</v>
      </c>
      <c r="I1793" s="8">
        <f>ROUND('Criaturas - Base de Dados'!K300*'Sistema de Raridade e Evolução'!E5,0)</f>
        <v>3978</v>
      </c>
      <c r="J1793" s="8">
        <f>'Sistema de Raridade e Evolução'!D5</f>
        <v>31</v>
      </c>
      <c r="K1793" s="8" t="s">
        <v>11</v>
      </c>
      <c r="L1793" s="9">
        <f t="shared" si="27"/>
        <v>2957142.86</v>
      </c>
    </row>
    <row r="1794" spans="1:12" ht="14.25" hidden="1" customHeight="1" x14ac:dyDescent="0.3">
      <c r="A1794" s="8">
        <v>1793</v>
      </c>
      <c r="B1794" s="8" t="str">
        <f>'Criaturas - Base de Dados'!B300</f>
        <v>Engrenagem Rúnica</v>
      </c>
      <c r="C1794" s="8" t="str">
        <f>'Criaturas - Base de Dados'!C300</f>
        <v>Tecnomancia</v>
      </c>
      <c r="D1794" s="8" t="str">
        <f>'Criaturas - Base de Dados'!D300</f>
        <v>Oráculo Mecânico</v>
      </c>
      <c r="E1794" s="8" t="str">
        <f>'Sistema de Raridade e Evolução'!B6</f>
        <v>Platina</v>
      </c>
      <c r="F1794" s="9">
        <f>ROUND(('Criaturas - Base de Dados'!H300*'Sistema de Raridade e Evolução'!E6)*1000,2)</f>
        <v>3450000</v>
      </c>
      <c r="G1794" s="8">
        <f>ROUND('Criaturas - Base de Dados'!I300*'Sistema de Raridade e Evolução'!E6,0)</f>
        <v>2050</v>
      </c>
      <c r="H1794" s="8">
        <f>ROUND('Criaturas - Base de Dados'!J300*'Sistema de Raridade e Evolução'!E6,0)</f>
        <v>1700</v>
      </c>
      <c r="I1794" s="8">
        <f>ROUND('Criaturas - Base de Dados'!K300*'Sistema de Raridade e Evolução'!E6,0)</f>
        <v>11050</v>
      </c>
      <c r="J1794" s="8">
        <f>'Sistema de Raridade e Evolução'!D6</f>
        <v>56</v>
      </c>
      <c r="K1794" s="8" t="s">
        <v>12</v>
      </c>
      <c r="L1794" s="9">
        <f t="shared" ref="L1794:L1801" si="28">ROUND(F1794*(2.5/1.05),2)</f>
        <v>8214285.71</v>
      </c>
    </row>
    <row r="1795" spans="1:12" ht="14.25" hidden="1" customHeight="1" x14ac:dyDescent="0.3">
      <c r="A1795" s="8">
        <v>1794</v>
      </c>
      <c r="B1795" s="8" t="str">
        <f>'Criaturas - Base de Dados'!B300</f>
        <v>Engrenagem Rúnica</v>
      </c>
      <c r="C1795" s="8" t="str">
        <f>'Criaturas - Base de Dados'!C300</f>
        <v>Tecnomancia</v>
      </c>
      <c r="D1795" s="8" t="str">
        <f>'Criaturas - Base de Dados'!D300</f>
        <v>Oráculo Mecânico</v>
      </c>
      <c r="E1795" s="8" t="str">
        <f>'Sistema de Raridade e Evolução'!B7</f>
        <v>Lendário</v>
      </c>
      <c r="F1795" s="9">
        <f>ROUND(('Criaturas - Base de Dados'!H300*'Sistema de Raridade e Evolução'!E7)*1000,2)</f>
        <v>10350000</v>
      </c>
      <c r="G1795" s="8">
        <f>ROUND('Criaturas - Base de Dados'!I300*'Sistema de Raridade e Evolução'!E7,0)</f>
        <v>6150</v>
      </c>
      <c r="H1795" s="8">
        <f>ROUND('Criaturas - Base de Dados'!J300*'Sistema de Raridade e Evolução'!E7,0)</f>
        <v>5100</v>
      </c>
      <c r="I1795" s="8">
        <f>ROUND('Criaturas - Base de Dados'!K300*'Sistema de Raridade e Evolução'!E7,0)</f>
        <v>33150</v>
      </c>
      <c r="J1795" s="8">
        <f>'Sistema de Raridade e Evolução'!D7</f>
        <v>91</v>
      </c>
      <c r="K1795" s="8" t="s">
        <v>925</v>
      </c>
      <c r="L1795" s="9">
        <f t="shared" si="28"/>
        <v>24642857.140000001</v>
      </c>
    </row>
    <row r="1796" spans="1:12" ht="14.25" customHeight="1" x14ac:dyDescent="0.3">
      <c r="A1796" s="8">
        <v>1795</v>
      </c>
      <c r="B1796" s="8" t="str">
        <f>'Criaturas - Base de Dados'!B301</f>
        <v>Engrenagem Rúnica</v>
      </c>
      <c r="C1796" s="8" t="str">
        <f>'Criaturas - Base de Dados'!C301</f>
        <v>Tecnomancia</v>
      </c>
      <c r="D1796" s="8" t="str">
        <f>'Criaturas - Base de Dados'!D301</f>
        <v>Núcleo Rúnico Ancestral</v>
      </c>
      <c r="E1796" s="8" t="str">
        <f>'Sistema de Raridade e Evolução'!B2</f>
        <v>Default</v>
      </c>
      <c r="F1796" s="9" t="e">
        <f>ROUND(('Criaturas - Base de Dados'!H301*'Sistema de Raridade e Evolução'!E2)*1000,2)</f>
        <v>#VALUE!</v>
      </c>
      <c r="G1796" s="8" t="e">
        <f>ROUND('Criaturas - Base de Dados'!I301*'Sistema de Raridade e Evolução'!E2,0)</f>
        <v>#VALUE!</v>
      </c>
      <c r="H1796" s="8" t="e">
        <f>ROUND('Criaturas - Base de Dados'!J301*'Sistema de Raridade e Evolução'!E2,0)</f>
        <v>#VALUE!</v>
      </c>
      <c r="I1796" s="8" t="e">
        <f>ROUND('Criaturas - Base de Dados'!K301*'Sistema de Raridade e Evolução'!E2,0)</f>
        <v>#VALUE!</v>
      </c>
      <c r="J1796" s="8">
        <f>'Sistema de Raridade e Evolução'!D2</f>
        <v>1</v>
      </c>
      <c r="K1796" s="8" t="s">
        <v>8</v>
      </c>
      <c r="L1796" s="9" t="e">
        <f t="shared" si="28"/>
        <v>#VALUE!</v>
      </c>
    </row>
    <row r="1797" spans="1:12" ht="14.25" hidden="1" customHeight="1" x14ac:dyDescent="0.3">
      <c r="A1797" s="8">
        <v>1796</v>
      </c>
      <c r="B1797" s="8" t="str">
        <f>'Criaturas - Base de Dados'!B301</f>
        <v>Engrenagem Rúnica</v>
      </c>
      <c r="C1797" s="8" t="str">
        <f>'Criaturas - Base de Dados'!C301</f>
        <v>Tecnomancia</v>
      </c>
      <c r="D1797" s="8" t="str">
        <f>'Criaturas - Base de Dados'!D301</f>
        <v>Núcleo Rúnico Ancestral</v>
      </c>
      <c r="E1797" s="8" t="str">
        <f>'Sistema de Raridade e Evolução'!B3</f>
        <v>Bronze</v>
      </c>
      <c r="F1797" s="9">
        <f>ROUND(('Criaturas - Base de Dados'!H301*'Sistema de Raridade e Evolução'!E3)*1000,2)</f>
        <v>71000</v>
      </c>
      <c r="G1797" s="8">
        <f>ROUND('Criaturas - Base de Dados'!I301*'Sistema de Raridade e Evolução'!E3,0)</f>
        <v>43</v>
      </c>
      <c r="H1797" s="8">
        <f>ROUND('Criaturas - Base de Dados'!J301*'Sistema de Raridade e Evolução'!E3,0)</f>
        <v>36</v>
      </c>
      <c r="I1797" s="8">
        <f>ROUND('Criaturas - Base de Dados'!K301*'Sistema de Raridade e Evolução'!E3,0)</f>
        <v>227</v>
      </c>
      <c r="J1797" s="8">
        <f>'Sistema de Raridade e Evolução'!D3</f>
        <v>6</v>
      </c>
      <c r="K1797" s="8" t="s">
        <v>9</v>
      </c>
      <c r="L1797" s="9">
        <f t="shared" si="28"/>
        <v>169047.62</v>
      </c>
    </row>
    <row r="1798" spans="1:12" ht="14.25" hidden="1" customHeight="1" x14ac:dyDescent="0.3">
      <c r="A1798" s="8">
        <v>1797</v>
      </c>
      <c r="B1798" s="8" t="str">
        <f>'Criaturas - Base de Dados'!B301</f>
        <v>Engrenagem Rúnica</v>
      </c>
      <c r="C1798" s="8" t="str">
        <f>'Criaturas - Base de Dados'!C301</f>
        <v>Tecnomancia</v>
      </c>
      <c r="D1798" s="8" t="str">
        <f>'Criaturas - Base de Dados'!D301</f>
        <v>Núcleo Rúnico Ancestral</v>
      </c>
      <c r="E1798" s="8" t="str">
        <f>'Sistema de Raridade e Evolução'!B4</f>
        <v>Prata</v>
      </c>
      <c r="F1798" s="9">
        <f>ROUND(('Criaturas - Base de Dados'!H301*'Sistema de Raridade e Evolução'!E4)*1000,2)</f>
        <v>426000</v>
      </c>
      <c r="G1798" s="8">
        <f>ROUND('Criaturas - Base de Dados'!I301*'Sistema de Raridade e Evolução'!E4,0)</f>
        <v>258</v>
      </c>
      <c r="H1798" s="8">
        <f>ROUND('Criaturas - Base de Dados'!J301*'Sistema de Raridade e Evolução'!E4,0)</f>
        <v>216</v>
      </c>
      <c r="I1798" s="8">
        <f>ROUND('Criaturas - Base de Dados'!K301*'Sistema de Raridade e Evolução'!E4,0)</f>
        <v>1362</v>
      </c>
      <c r="J1798" s="8">
        <f>'Sistema de Raridade e Evolução'!D4</f>
        <v>16</v>
      </c>
      <c r="K1798" s="8" t="s">
        <v>10</v>
      </c>
      <c r="L1798" s="9">
        <f t="shared" si="28"/>
        <v>1014285.71</v>
      </c>
    </row>
    <row r="1799" spans="1:12" ht="14.25" hidden="1" customHeight="1" x14ac:dyDescent="0.3">
      <c r="A1799" s="8">
        <v>1798</v>
      </c>
      <c r="B1799" s="8" t="str">
        <f>'Criaturas - Base de Dados'!B301</f>
        <v>Engrenagem Rúnica</v>
      </c>
      <c r="C1799" s="8" t="str">
        <f>'Criaturas - Base de Dados'!C301</f>
        <v>Tecnomancia</v>
      </c>
      <c r="D1799" s="8" t="str">
        <f>'Criaturas - Base de Dados'!D301</f>
        <v>Núcleo Rúnico Ancestral</v>
      </c>
      <c r="E1799" s="8" t="str">
        <f>'Sistema de Raridade e Evolução'!B5</f>
        <v>Ouro</v>
      </c>
      <c r="F1799" s="9">
        <f>ROUND(('Criaturas - Base de Dados'!H301*'Sistema de Raridade e Evolução'!E5)*1000,2)</f>
        <v>1278000</v>
      </c>
      <c r="G1799" s="8">
        <f>ROUND('Criaturas - Base de Dados'!I301*'Sistema de Raridade e Evolução'!E5,0)</f>
        <v>774</v>
      </c>
      <c r="H1799" s="8">
        <f>ROUND('Criaturas - Base de Dados'!J301*'Sistema de Raridade e Evolução'!E5,0)</f>
        <v>648</v>
      </c>
      <c r="I1799" s="8">
        <f>ROUND('Criaturas - Base de Dados'!K301*'Sistema de Raridade e Evolução'!E5,0)</f>
        <v>4086</v>
      </c>
      <c r="J1799" s="8">
        <f>'Sistema de Raridade e Evolução'!D5</f>
        <v>31</v>
      </c>
      <c r="K1799" s="8" t="s">
        <v>11</v>
      </c>
      <c r="L1799" s="9">
        <f t="shared" si="28"/>
        <v>3042857.14</v>
      </c>
    </row>
    <row r="1800" spans="1:12" ht="14.25" hidden="1" customHeight="1" x14ac:dyDescent="0.3">
      <c r="A1800" s="8">
        <v>1799</v>
      </c>
      <c r="B1800" s="8" t="str">
        <f>'Criaturas - Base de Dados'!B301</f>
        <v>Engrenagem Rúnica</v>
      </c>
      <c r="C1800" s="8" t="str">
        <f>'Criaturas - Base de Dados'!C301</f>
        <v>Tecnomancia</v>
      </c>
      <c r="D1800" s="8" t="str">
        <f>'Criaturas - Base de Dados'!D301</f>
        <v>Núcleo Rúnico Ancestral</v>
      </c>
      <c r="E1800" s="8" t="str">
        <f>'Sistema de Raridade e Evolução'!B6</f>
        <v>Platina</v>
      </c>
      <c r="F1800" s="9">
        <f>ROUND(('Criaturas - Base de Dados'!H301*'Sistema de Raridade e Evolução'!E6)*1000,2)</f>
        <v>3550000</v>
      </c>
      <c r="G1800" s="8">
        <f>ROUND('Criaturas - Base de Dados'!I301*'Sistema de Raridade e Evolução'!E6,0)</f>
        <v>2150</v>
      </c>
      <c r="H1800" s="8">
        <f>ROUND('Criaturas - Base de Dados'!J301*'Sistema de Raridade e Evolução'!E6,0)</f>
        <v>1800</v>
      </c>
      <c r="I1800" s="8">
        <f>ROUND('Criaturas - Base de Dados'!K301*'Sistema de Raridade e Evolução'!E6,0)</f>
        <v>11350</v>
      </c>
      <c r="J1800" s="8">
        <f>'Sistema de Raridade e Evolução'!D6</f>
        <v>56</v>
      </c>
      <c r="K1800" s="8" t="s">
        <v>12</v>
      </c>
      <c r="L1800" s="9">
        <f t="shared" si="28"/>
        <v>8452380.9499999993</v>
      </c>
    </row>
    <row r="1801" spans="1:12" ht="14.25" hidden="1" customHeight="1" x14ac:dyDescent="0.3">
      <c r="A1801" s="8">
        <v>1800</v>
      </c>
      <c r="B1801" s="8" t="str">
        <f>'Criaturas - Base de Dados'!B301</f>
        <v>Engrenagem Rúnica</v>
      </c>
      <c r="C1801" s="8" t="str">
        <f>'Criaturas - Base de Dados'!C301</f>
        <v>Tecnomancia</v>
      </c>
      <c r="D1801" s="8" t="str">
        <f>'Criaturas - Base de Dados'!D301</f>
        <v>Núcleo Rúnico Ancestral</v>
      </c>
      <c r="E1801" s="8" t="str">
        <f>'Sistema de Raridade e Evolução'!B7</f>
        <v>Lendário</v>
      </c>
      <c r="F1801" s="9">
        <f>ROUND(('Criaturas - Base de Dados'!H301*'Sistema de Raridade e Evolução'!E7)*1000,2)</f>
        <v>10650000</v>
      </c>
      <c r="G1801" s="8">
        <f>ROUND('Criaturas - Base de Dados'!I301*'Sistema de Raridade e Evolução'!E7,0)</f>
        <v>6450</v>
      </c>
      <c r="H1801" s="8">
        <f>ROUND('Criaturas - Base de Dados'!J301*'Sistema de Raridade e Evolução'!E7,0)</f>
        <v>5400</v>
      </c>
      <c r="I1801" s="8">
        <f>ROUND('Criaturas - Base de Dados'!K301*'Sistema de Raridade e Evolução'!E7,0)</f>
        <v>34050</v>
      </c>
      <c r="J1801" s="8">
        <f>'Sistema de Raridade e Evolução'!D7</f>
        <v>91</v>
      </c>
      <c r="K1801" s="8" t="s">
        <v>925</v>
      </c>
      <c r="L1801" s="9">
        <f t="shared" si="28"/>
        <v>25357142.859999999</v>
      </c>
    </row>
  </sheetData>
  <autoFilter ref="A1:L1801" xr:uid="{00000000-0009-0000-0000-000004000000}">
    <filterColumn colId="4">
      <filters>
        <filter val="Default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7.77734375" customWidth="1"/>
    <col min="2" max="2" width="30" customWidth="1"/>
    <col min="3" max="3" width="52" customWidth="1"/>
  </cols>
  <sheetData>
    <row r="1" spans="1:3" ht="25.5" customHeight="1" x14ac:dyDescent="0.3">
      <c r="A1" s="3" t="s">
        <v>926</v>
      </c>
      <c r="B1" s="3" t="s">
        <v>4</v>
      </c>
      <c r="C1" s="3" t="s">
        <v>927</v>
      </c>
    </row>
    <row r="2" spans="1:3" ht="14.25" customHeight="1" x14ac:dyDescent="0.3">
      <c r="A2" t="s">
        <v>928</v>
      </c>
      <c r="B2">
        <v>1</v>
      </c>
      <c r="C2" t="s">
        <v>929</v>
      </c>
    </row>
    <row r="3" spans="1:3" ht="14.25" customHeight="1" x14ac:dyDescent="0.3">
      <c r="A3">
        <v>7</v>
      </c>
      <c r="B3">
        <v>1.05</v>
      </c>
      <c r="C3">
        <v>40</v>
      </c>
    </row>
    <row r="4" spans="1:3" ht="14.25" customHeight="1" x14ac:dyDescent="0.3">
      <c r="A4">
        <v>7.5</v>
      </c>
      <c r="B4">
        <v>1.1499999999999999</v>
      </c>
      <c r="C4">
        <v>27</v>
      </c>
    </row>
    <row r="5" spans="1:3" ht="14.25" customHeight="1" x14ac:dyDescent="0.3">
      <c r="A5">
        <v>8</v>
      </c>
      <c r="B5">
        <v>1.3</v>
      </c>
      <c r="C5">
        <v>17</v>
      </c>
    </row>
    <row r="6" spans="1:3" ht="14.25" customHeight="1" x14ac:dyDescent="0.3">
      <c r="A6">
        <v>8.5</v>
      </c>
      <c r="B6">
        <v>1.5</v>
      </c>
      <c r="C6">
        <v>9</v>
      </c>
    </row>
    <row r="7" spans="1:3" ht="14.25" customHeight="1" x14ac:dyDescent="0.3">
      <c r="A7">
        <v>9</v>
      </c>
      <c r="B7">
        <v>1.75</v>
      </c>
      <c r="C7">
        <v>4.5</v>
      </c>
    </row>
    <row r="8" spans="1:3" ht="14.25" customHeight="1" x14ac:dyDescent="0.3">
      <c r="A8">
        <v>9.5</v>
      </c>
      <c r="B8">
        <v>2.1</v>
      </c>
      <c r="C8">
        <v>2</v>
      </c>
    </row>
    <row r="9" spans="1:3" ht="14.25" customHeight="1" x14ac:dyDescent="0.3">
      <c r="A9">
        <v>10</v>
      </c>
      <c r="B9">
        <v>2.5</v>
      </c>
      <c r="C9">
        <v>0.5</v>
      </c>
    </row>
    <row r="10" spans="1:3" ht="14.25" customHeight="1" x14ac:dyDescent="0.3">
      <c r="A10" s="5" t="s">
        <v>930</v>
      </c>
      <c r="B10" s="5"/>
      <c r="C10" s="5">
        <f>SUM(C3:C9)</f>
        <v>100</v>
      </c>
    </row>
    <row r="11" spans="1:3" ht="14.25" customHeight="1" x14ac:dyDescent="0.3"/>
    <row r="12" spans="1:3" ht="14.25" customHeight="1" x14ac:dyDescent="0.3">
      <c r="A12" s="6" t="s">
        <v>931</v>
      </c>
    </row>
    <row r="13" spans="1:3" ht="14.25" customHeight="1" x14ac:dyDescent="0.3">
      <c r="A13" s="7" t="s">
        <v>932</v>
      </c>
    </row>
    <row r="14" spans="1:3" ht="14.25" customHeight="1" x14ac:dyDescent="0.3">
      <c r="A14" s="7" t="s">
        <v>933</v>
      </c>
    </row>
    <row r="15" spans="1:3" ht="14.25" customHeight="1" x14ac:dyDescent="0.3">
      <c r="A15" s="7" t="s">
        <v>934</v>
      </c>
    </row>
    <row r="16" spans="1:3" ht="14.25" customHeight="1" x14ac:dyDescent="0.3">
      <c r="A16" s="7" t="s">
        <v>935</v>
      </c>
    </row>
    <row r="17" spans="1:2" ht="14.25" customHeight="1" x14ac:dyDescent="0.3">
      <c r="A17" s="7" t="s">
        <v>936</v>
      </c>
    </row>
    <row r="19" spans="1:2" ht="14.25" customHeight="1" x14ac:dyDescent="0.3">
      <c r="A19" s="6" t="s">
        <v>937</v>
      </c>
    </row>
    <row r="20" spans="1:2" ht="14.25" customHeight="1" x14ac:dyDescent="0.3">
      <c r="A20" s="10" t="s">
        <v>1</v>
      </c>
      <c r="B20" s="10" t="s">
        <v>938</v>
      </c>
    </row>
    <row r="21" spans="1:2" ht="14.25" customHeight="1" x14ac:dyDescent="0.3">
      <c r="A21" t="s">
        <v>7</v>
      </c>
      <c r="B21" s="11">
        <v>1200</v>
      </c>
    </row>
    <row r="22" spans="1:2" ht="14.25" customHeight="1" x14ac:dyDescent="0.3">
      <c r="A22" t="s">
        <v>8</v>
      </c>
      <c r="B22" s="11">
        <v>2100</v>
      </c>
    </row>
    <row r="23" spans="1:2" ht="14.25" customHeight="1" x14ac:dyDescent="0.3">
      <c r="A23" t="s">
        <v>9</v>
      </c>
      <c r="B23" s="11">
        <v>3300</v>
      </c>
    </row>
    <row r="24" spans="1:2" ht="14.25" customHeight="1" x14ac:dyDescent="0.3">
      <c r="A24" t="s">
        <v>10</v>
      </c>
      <c r="B24" s="11">
        <v>4800</v>
      </c>
    </row>
    <row r="25" spans="1:2" ht="14.25" customHeight="1" x14ac:dyDescent="0.3">
      <c r="A25" t="s">
        <v>11</v>
      </c>
      <c r="B25" s="11">
        <v>6300</v>
      </c>
    </row>
    <row r="26" spans="1:2" ht="14.25" customHeight="1" x14ac:dyDescent="0.3">
      <c r="A26" t="s">
        <v>12</v>
      </c>
      <c r="B26" s="11">
        <v>10000</v>
      </c>
    </row>
    <row r="27" spans="1:2" ht="14.25" customHeight="1" x14ac:dyDescent="0.3">
      <c r="A27" t="s">
        <v>13</v>
      </c>
      <c r="B27" s="11">
        <v>25000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5" customWidth="1"/>
    <col min="2" max="2" width="44" customWidth="1"/>
  </cols>
  <sheetData>
    <row r="1" spans="1:2" ht="25.5" customHeight="1" x14ac:dyDescent="0.3">
      <c r="A1" s="3" t="s">
        <v>939</v>
      </c>
      <c r="B1" s="3" t="s">
        <v>940</v>
      </c>
    </row>
    <row r="2" spans="1:2" ht="14.25" customHeight="1" x14ac:dyDescent="0.3">
      <c r="A2" t="s">
        <v>7</v>
      </c>
      <c r="B2" s="11">
        <v>5</v>
      </c>
    </row>
    <row r="3" spans="1:2" ht="14.25" customHeight="1" x14ac:dyDescent="0.3">
      <c r="A3" t="s">
        <v>8</v>
      </c>
      <c r="B3" s="11">
        <v>10</v>
      </c>
    </row>
    <row r="4" spans="1:2" ht="14.25" customHeight="1" x14ac:dyDescent="0.3">
      <c r="A4" t="s">
        <v>9</v>
      </c>
      <c r="B4" s="11">
        <v>25</v>
      </c>
    </row>
    <row r="5" spans="1:2" ht="14.25" customHeight="1" x14ac:dyDescent="0.3">
      <c r="A5" t="s">
        <v>10</v>
      </c>
      <c r="B5" s="11">
        <v>60</v>
      </c>
    </row>
    <row r="6" spans="1:2" ht="14.25" customHeight="1" x14ac:dyDescent="0.3">
      <c r="A6" t="s">
        <v>11</v>
      </c>
      <c r="B6" s="11">
        <v>150</v>
      </c>
    </row>
    <row r="7" spans="1:2" ht="14.25" customHeight="1" x14ac:dyDescent="0.3">
      <c r="A7" t="s">
        <v>12</v>
      </c>
      <c r="B7" s="11">
        <v>400</v>
      </c>
    </row>
    <row r="8" spans="1:2" ht="14.25" customHeight="1" x14ac:dyDescent="0.3">
      <c r="B8" s="11"/>
    </row>
    <row r="9" spans="1:2" ht="14.25" customHeight="1" x14ac:dyDescent="0.3">
      <c r="A9" s="12" t="s">
        <v>941</v>
      </c>
      <c r="B9" s="13">
        <v>1000</v>
      </c>
    </row>
    <row r="10" spans="1:2" ht="14.25" customHeight="1" x14ac:dyDescent="0.3"/>
    <row r="11" spans="1:2" ht="14.25" customHeight="1" x14ac:dyDescent="0.3">
      <c r="A11" s="7" t="s">
        <v>942</v>
      </c>
    </row>
    <row r="12" spans="1:2" ht="14.25" customHeight="1" x14ac:dyDescent="0.3">
      <c r="A12" s="6" t="s">
        <v>943</v>
      </c>
    </row>
    <row r="13" spans="1:2" ht="14.25" customHeight="1" x14ac:dyDescent="0.3">
      <c r="A13" s="14" t="s">
        <v>944</v>
      </c>
      <c r="B13" s="15">
        <f>300*B2+300*B3+300*B4+300*B5+300*B6+300*B7</f>
        <v>195000</v>
      </c>
    </row>
    <row r="14" spans="1:2" ht="14.25" customHeight="1" x14ac:dyDescent="0.3">
      <c r="A14" s="14" t="s">
        <v>945</v>
      </c>
      <c r="B14" s="15">
        <f>15*B9</f>
        <v>15000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"/>
  <sheetViews>
    <sheetView topLeftCell="E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" customWidth="1"/>
    <col min="2" max="2" width="18" customWidth="1"/>
    <col min="3" max="3" width="15" customWidth="1"/>
    <col min="4" max="4" width="20" customWidth="1"/>
    <col min="5" max="5" width="25" customWidth="1"/>
    <col min="6" max="6" width="40" customWidth="1"/>
    <col min="7" max="9" width="12" customWidth="1"/>
    <col min="10" max="10" width="10" customWidth="1"/>
    <col min="11" max="11" width="28" customWidth="1"/>
    <col min="12" max="12" width="12" customWidth="1"/>
  </cols>
  <sheetData>
    <row r="1" spans="1:12" ht="30" customHeight="1" x14ac:dyDescent="0.3">
      <c r="A1" s="42" t="s">
        <v>217</v>
      </c>
      <c r="B1" s="42" t="s">
        <v>153</v>
      </c>
      <c r="C1" s="42" t="s">
        <v>154</v>
      </c>
      <c r="D1" s="42" t="s">
        <v>946</v>
      </c>
      <c r="E1" s="42" t="s">
        <v>219</v>
      </c>
      <c r="F1" s="42" t="s">
        <v>220</v>
      </c>
      <c r="G1" s="42" t="s">
        <v>222</v>
      </c>
      <c r="H1" s="42" t="s">
        <v>223</v>
      </c>
      <c r="I1" s="42" t="s">
        <v>224</v>
      </c>
      <c r="J1" s="42" t="s">
        <v>225</v>
      </c>
      <c r="K1" s="42" t="s">
        <v>947</v>
      </c>
      <c r="L1" s="42" t="s">
        <v>948</v>
      </c>
    </row>
    <row r="2" spans="1:12" ht="14.25" customHeight="1" x14ac:dyDescent="0.3">
      <c r="A2" s="43">
        <v>1</v>
      </c>
      <c r="B2" s="43" t="s">
        <v>157</v>
      </c>
      <c r="C2" s="43" t="s">
        <v>158</v>
      </c>
      <c r="D2" s="43" t="s">
        <v>949</v>
      </c>
      <c r="E2" s="43" t="s">
        <v>950</v>
      </c>
      <c r="F2" s="43" t="s">
        <v>951</v>
      </c>
      <c r="G2" s="43">
        <v>90</v>
      </c>
      <c r="H2" s="43">
        <v>54</v>
      </c>
      <c r="I2" s="43">
        <v>44</v>
      </c>
      <c r="J2" s="43">
        <v>260</v>
      </c>
      <c r="K2" s="43" t="s">
        <v>952</v>
      </c>
      <c r="L2" s="43">
        <v>10000</v>
      </c>
    </row>
    <row r="3" spans="1:12" ht="14.25" customHeight="1" x14ac:dyDescent="0.3">
      <c r="A3" s="43">
        <v>2</v>
      </c>
      <c r="B3" s="43" t="s">
        <v>161</v>
      </c>
      <c r="C3" s="43" t="s">
        <v>162</v>
      </c>
      <c r="D3" s="43" t="s">
        <v>953</v>
      </c>
      <c r="E3" s="43" t="s">
        <v>233</v>
      </c>
      <c r="F3" s="43" t="s">
        <v>954</v>
      </c>
      <c r="G3" s="43">
        <v>92</v>
      </c>
      <c r="H3" s="43">
        <v>55</v>
      </c>
      <c r="I3" s="43">
        <v>45</v>
      </c>
      <c r="J3" s="43">
        <v>262</v>
      </c>
      <c r="K3" s="43" t="s">
        <v>952</v>
      </c>
      <c r="L3" s="43">
        <v>10000</v>
      </c>
    </row>
    <row r="4" spans="1:12" ht="14.25" customHeight="1" x14ac:dyDescent="0.3">
      <c r="A4" s="43">
        <v>3</v>
      </c>
      <c r="B4" s="43" t="s">
        <v>165</v>
      </c>
      <c r="C4" s="43" t="s">
        <v>166</v>
      </c>
      <c r="D4" s="43" t="s">
        <v>955</v>
      </c>
      <c r="E4" s="43" t="s">
        <v>956</v>
      </c>
      <c r="F4" s="43" t="s">
        <v>957</v>
      </c>
      <c r="G4" s="43">
        <v>91</v>
      </c>
      <c r="H4" s="43">
        <v>56</v>
      </c>
      <c r="I4" s="43">
        <v>46</v>
      </c>
      <c r="J4" s="43">
        <v>265</v>
      </c>
      <c r="K4" s="43" t="s">
        <v>952</v>
      </c>
      <c r="L4" s="43">
        <v>10000</v>
      </c>
    </row>
    <row r="5" spans="1:12" ht="14.25" customHeight="1" x14ac:dyDescent="0.3">
      <c r="A5" s="43">
        <v>4</v>
      </c>
      <c r="B5" s="43" t="s">
        <v>169</v>
      </c>
      <c r="C5" s="43" t="s">
        <v>170</v>
      </c>
      <c r="D5" s="43" t="s">
        <v>958</v>
      </c>
      <c r="E5" s="43" t="s">
        <v>273</v>
      </c>
      <c r="F5" s="43" t="s">
        <v>959</v>
      </c>
      <c r="G5" s="43">
        <v>93</v>
      </c>
      <c r="H5" s="43">
        <v>55</v>
      </c>
      <c r="I5" s="43">
        <v>47</v>
      </c>
      <c r="J5" s="43">
        <v>268</v>
      </c>
      <c r="K5" s="43" t="s">
        <v>952</v>
      </c>
      <c r="L5" s="43">
        <v>10000</v>
      </c>
    </row>
    <row r="6" spans="1:12" ht="14.25" customHeight="1" x14ac:dyDescent="0.3">
      <c r="A6" s="43">
        <v>5</v>
      </c>
      <c r="B6" s="43" t="s">
        <v>173</v>
      </c>
      <c r="C6" s="43" t="s">
        <v>174</v>
      </c>
      <c r="D6" s="43" t="s">
        <v>960</v>
      </c>
      <c r="E6" s="43" t="s">
        <v>233</v>
      </c>
      <c r="F6" s="43" t="s">
        <v>961</v>
      </c>
      <c r="G6" s="43">
        <v>94</v>
      </c>
      <c r="H6" s="43">
        <v>54</v>
      </c>
      <c r="I6" s="43">
        <v>48</v>
      </c>
      <c r="J6" s="43">
        <v>270</v>
      </c>
      <c r="K6" s="43" t="s">
        <v>952</v>
      </c>
      <c r="L6" s="43">
        <v>10000</v>
      </c>
    </row>
    <row r="7" spans="1:12" ht="14.25" customHeight="1" x14ac:dyDescent="0.3">
      <c r="A7" s="43">
        <v>6</v>
      </c>
      <c r="B7" s="43" t="s">
        <v>177</v>
      </c>
      <c r="C7" s="43" t="s">
        <v>178</v>
      </c>
      <c r="D7" s="43" t="s">
        <v>962</v>
      </c>
      <c r="E7" s="43" t="s">
        <v>963</v>
      </c>
      <c r="F7" s="43" t="s">
        <v>964</v>
      </c>
      <c r="G7" s="43">
        <v>89</v>
      </c>
      <c r="H7" s="43">
        <v>57</v>
      </c>
      <c r="I7" s="43">
        <v>43</v>
      </c>
      <c r="J7" s="43">
        <v>258</v>
      </c>
      <c r="K7" s="43" t="s">
        <v>952</v>
      </c>
      <c r="L7" s="43">
        <v>10000</v>
      </c>
    </row>
    <row r="8" spans="1:12" ht="14.25" customHeight="1" x14ac:dyDescent="0.3">
      <c r="A8" s="43">
        <v>7</v>
      </c>
      <c r="B8" s="43" t="s">
        <v>181</v>
      </c>
      <c r="C8" s="43" t="s">
        <v>182</v>
      </c>
      <c r="D8" s="43" t="s">
        <v>965</v>
      </c>
      <c r="E8" s="43" t="s">
        <v>950</v>
      </c>
      <c r="F8" s="43" t="s">
        <v>966</v>
      </c>
      <c r="G8" s="43">
        <v>95</v>
      </c>
      <c r="H8" s="43">
        <v>58</v>
      </c>
      <c r="I8" s="43">
        <v>46</v>
      </c>
      <c r="J8" s="43">
        <v>272</v>
      </c>
      <c r="K8" s="43" t="s">
        <v>952</v>
      </c>
      <c r="L8" s="43">
        <v>10000</v>
      </c>
    </row>
    <row r="9" spans="1:12" ht="14.25" customHeight="1" x14ac:dyDescent="0.3">
      <c r="A9" s="43">
        <v>8</v>
      </c>
      <c r="B9" s="43" t="s">
        <v>185</v>
      </c>
      <c r="C9" s="43" t="s">
        <v>186</v>
      </c>
      <c r="D9" s="43" t="s">
        <v>967</v>
      </c>
      <c r="E9" s="43" t="s">
        <v>233</v>
      </c>
      <c r="F9" s="43" t="s">
        <v>968</v>
      </c>
      <c r="G9" s="43">
        <v>88</v>
      </c>
      <c r="H9" s="43">
        <v>52</v>
      </c>
      <c r="I9" s="43">
        <v>50</v>
      </c>
      <c r="J9" s="43">
        <v>275</v>
      </c>
      <c r="K9" s="43" t="s">
        <v>952</v>
      </c>
      <c r="L9" s="43">
        <v>10000</v>
      </c>
    </row>
    <row r="10" spans="1:12" ht="14.25" customHeight="1" x14ac:dyDescent="0.3">
      <c r="A10" s="43">
        <v>9</v>
      </c>
      <c r="B10" s="43" t="s">
        <v>189</v>
      </c>
      <c r="C10" s="43" t="s">
        <v>190</v>
      </c>
      <c r="D10" s="43" t="s">
        <v>969</v>
      </c>
      <c r="E10" s="43" t="s">
        <v>248</v>
      </c>
      <c r="F10" s="43" t="s">
        <v>970</v>
      </c>
      <c r="G10" s="43">
        <v>87</v>
      </c>
      <c r="H10" s="43">
        <v>53</v>
      </c>
      <c r="I10" s="43">
        <v>51</v>
      </c>
      <c r="J10" s="43">
        <v>280</v>
      </c>
      <c r="K10" s="43" t="s">
        <v>952</v>
      </c>
      <c r="L10" s="43">
        <v>10000</v>
      </c>
    </row>
    <row r="11" spans="1:12" ht="14.25" customHeight="1" x14ac:dyDescent="0.3">
      <c r="A11" s="43">
        <v>10</v>
      </c>
      <c r="B11" s="43" t="s">
        <v>193</v>
      </c>
      <c r="C11" s="43" t="s">
        <v>194</v>
      </c>
      <c r="D11" s="43" t="s">
        <v>971</v>
      </c>
      <c r="E11" s="43" t="s">
        <v>963</v>
      </c>
      <c r="F11" s="43" t="s">
        <v>972</v>
      </c>
      <c r="G11" s="43">
        <v>96</v>
      </c>
      <c r="H11" s="43">
        <v>59</v>
      </c>
      <c r="I11" s="43">
        <v>45</v>
      </c>
      <c r="J11" s="43">
        <v>276</v>
      </c>
      <c r="K11" s="43" t="s">
        <v>952</v>
      </c>
      <c r="L11" s="43">
        <v>10000</v>
      </c>
    </row>
    <row r="12" spans="1:12" ht="14.25" customHeight="1" x14ac:dyDescent="0.3">
      <c r="A12" s="43">
        <v>11</v>
      </c>
      <c r="B12" s="43" t="s">
        <v>197</v>
      </c>
      <c r="C12" s="43" t="s">
        <v>198</v>
      </c>
      <c r="D12" s="43" t="s">
        <v>973</v>
      </c>
      <c r="E12" s="43" t="s">
        <v>537</v>
      </c>
      <c r="F12" s="43" t="s">
        <v>974</v>
      </c>
      <c r="G12" s="43">
        <v>97</v>
      </c>
      <c r="H12" s="43">
        <v>56</v>
      </c>
      <c r="I12" s="43">
        <v>49</v>
      </c>
      <c r="J12" s="43">
        <v>278</v>
      </c>
      <c r="K12" s="43" t="s">
        <v>952</v>
      </c>
      <c r="L12" s="43">
        <v>10000</v>
      </c>
    </row>
    <row r="13" spans="1:12" ht="14.25" customHeight="1" x14ac:dyDescent="0.3">
      <c r="A13" s="43">
        <v>12</v>
      </c>
      <c r="B13" s="43" t="s">
        <v>201</v>
      </c>
      <c r="C13" s="43" t="s">
        <v>202</v>
      </c>
      <c r="D13" s="43" t="s">
        <v>975</v>
      </c>
      <c r="E13" s="43" t="s">
        <v>976</v>
      </c>
      <c r="F13" s="43" t="s">
        <v>977</v>
      </c>
      <c r="G13" s="43">
        <v>98</v>
      </c>
      <c r="H13" s="43">
        <v>60</v>
      </c>
      <c r="I13" s="43">
        <v>52</v>
      </c>
      <c r="J13" s="43">
        <v>290</v>
      </c>
      <c r="K13" s="43" t="s">
        <v>952</v>
      </c>
      <c r="L13" s="43">
        <v>10000</v>
      </c>
    </row>
    <row r="14" spans="1:12" ht="14.25" customHeight="1" x14ac:dyDescent="0.3">
      <c r="A14" s="43">
        <v>13</v>
      </c>
      <c r="B14" s="43" t="s">
        <v>205</v>
      </c>
      <c r="C14" s="43" t="s">
        <v>206</v>
      </c>
      <c r="D14" s="43" t="s">
        <v>978</v>
      </c>
      <c r="E14" s="43" t="s">
        <v>979</v>
      </c>
      <c r="F14" s="43" t="s">
        <v>980</v>
      </c>
      <c r="G14" s="43">
        <v>91</v>
      </c>
      <c r="H14" s="43">
        <v>61</v>
      </c>
      <c r="I14" s="43">
        <v>44</v>
      </c>
      <c r="J14" s="43">
        <v>285</v>
      </c>
      <c r="K14" s="43" t="s">
        <v>952</v>
      </c>
      <c r="L14" s="43">
        <v>10000</v>
      </c>
    </row>
    <row r="15" spans="1:12" ht="14.25" customHeight="1" x14ac:dyDescent="0.3">
      <c r="A15" s="43">
        <v>14</v>
      </c>
      <c r="B15" s="43" t="s">
        <v>209</v>
      </c>
      <c r="C15" s="43" t="s">
        <v>210</v>
      </c>
      <c r="D15" s="43" t="s">
        <v>981</v>
      </c>
      <c r="E15" s="43" t="s">
        <v>982</v>
      </c>
      <c r="F15" s="43" t="s">
        <v>983</v>
      </c>
      <c r="G15" s="43">
        <v>90</v>
      </c>
      <c r="H15" s="43">
        <v>57</v>
      </c>
      <c r="I15" s="43">
        <v>48</v>
      </c>
      <c r="J15" s="43">
        <v>282</v>
      </c>
      <c r="K15" s="43" t="s">
        <v>952</v>
      </c>
      <c r="L15" s="43">
        <v>10000</v>
      </c>
    </row>
    <row r="16" spans="1:12" ht="14.25" customHeight="1" x14ac:dyDescent="0.3">
      <c r="A16" s="43">
        <v>15</v>
      </c>
      <c r="B16" s="43" t="s">
        <v>213</v>
      </c>
      <c r="C16" s="43" t="s">
        <v>214</v>
      </c>
      <c r="D16" s="43" t="s">
        <v>984</v>
      </c>
      <c r="E16" s="43" t="s">
        <v>248</v>
      </c>
      <c r="F16" s="43" t="s">
        <v>985</v>
      </c>
      <c r="G16" s="43">
        <v>99</v>
      </c>
      <c r="H16" s="43">
        <v>55</v>
      </c>
      <c r="I16" s="43">
        <v>53</v>
      </c>
      <c r="J16" s="43">
        <v>288</v>
      </c>
      <c r="K16" s="43" t="s">
        <v>952</v>
      </c>
      <c r="L16" s="43">
        <v>10000</v>
      </c>
    </row>
    <row r="18" ht="14.25" customHeight="1" x14ac:dyDescent="0.3"/>
    <row r="19" ht="14.25" customHeight="1" x14ac:dyDescent="0.3"/>
    <row r="20" ht="14.25" customHeight="1" x14ac:dyDescent="0.3"/>
    <row r="21" ht="14.2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zoomScaleNormal="100" workbookViewId="0">
      <pane ySplit="3" topLeftCell="A12" activePane="bottomLeft" state="frozen"/>
      <selection pane="bottomLeft" sqref="A1:C1"/>
    </sheetView>
  </sheetViews>
  <sheetFormatPr defaultColWidth="8.6640625" defaultRowHeight="14.4" x14ac:dyDescent="0.3"/>
  <cols>
    <col min="1" max="1" width="46" customWidth="1"/>
    <col min="2" max="2" width="14" customWidth="1"/>
  </cols>
  <sheetData>
    <row r="1" spans="1:8" ht="15.75" customHeight="1" x14ac:dyDescent="0.3">
      <c r="A1" s="62" t="s">
        <v>986</v>
      </c>
      <c r="B1" s="60"/>
      <c r="C1" s="60"/>
    </row>
    <row r="3" spans="1:8" ht="15" customHeight="1" x14ac:dyDescent="0.3">
      <c r="A3" s="16" t="s">
        <v>1</v>
      </c>
      <c r="B3" s="16" t="s">
        <v>987</v>
      </c>
    </row>
    <row r="4" spans="1:8" ht="15" customHeight="1" x14ac:dyDescent="0.3">
      <c r="A4" s="17" t="s">
        <v>7</v>
      </c>
      <c r="B4" s="18">
        <v>1</v>
      </c>
    </row>
    <row r="5" spans="1:8" ht="15" customHeight="1" x14ac:dyDescent="0.3">
      <c r="A5" s="17" t="s">
        <v>8</v>
      </c>
      <c r="B5" s="18">
        <v>6</v>
      </c>
    </row>
    <row r="6" spans="1:8" ht="15" customHeight="1" x14ac:dyDescent="0.3">
      <c r="A6" s="17" t="s">
        <v>9</v>
      </c>
      <c r="B6" s="18">
        <v>18</v>
      </c>
    </row>
    <row r="7" spans="1:8" ht="15" customHeight="1" x14ac:dyDescent="0.3">
      <c r="A7" s="17" t="s">
        <v>10</v>
      </c>
      <c r="B7" s="18">
        <v>50</v>
      </c>
    </row>
    <row r="8" spans="1:8" ht="15" customHeight="1" x14ac:dyDescent="0.3">
      <c r="A8" s="17" t="s">
        <v>11</v>
      </c>
      <c r="B8" s="18">
        <v>150</v>
      </c>
    </row>
    <row r="9" spans="1:8" ht="15" customHeight="1" x14ac:dyDescent="0.3">
      <c r="A9" s="17" t="s">
        <v>12</v>
      </c>
      <c r="B9" s="18">
        <v>500</v>
      </c>
    </row>
    <row r="10" spans="1:8" ht="15" customHeight="1" x14ac:dyDescent="0.3">
      <c r="A10" s="17" t="s">
        <v>13</v>
      </c>
      <c r="B10" s="18">
        <v>10000</v>
      </c>
    </row>
    <row r="12" spans="1:8" ht="15" customHeight="1" x14ac:dyDescent="0.3">
      <c r="A12" s="19" t="s">
        <v>988</v>
      </c>
      <c r="B12" s="18">
        <v>31.8</v>
      </c>
    </row>
    <row r="13" spans="1:8" ht="15" customHeight="1" x14ac:dyDescent="0.3">
      <c r="A13" s="19" t="s">
        <v>989</v>
      </c>
      <c r="B13" s="18">
        <v>1000</v>
      </c>
    </row>
    <row r="15" spans="1:8" ht="15" customHeight="1" x14ac:dyDescent="0.3">
      <c r="A15" s="61" t="s">
        <v>990</v>
      </c>
      <c r="B15" s="60"/>
      <c r="C15" s="60"/>
      <c r="D15" s="60"/>
      <c r="E15" s="60"/>
      <c r="F15" s="60"/>
      <c r="G15" s="60"/>
      <c r="H15" s="60"/>
    </row>
    <row r="16" spans="1:8" ht="15" customHeight="1" x14ac:dyDescent="0.3">
      <c r="A16" s="61" t="s">
        <v>991</v>
      </c>
      <c r="B16" s="60"/>
      <c r="C16" s="60"/>
      <c r="D16" s="60"/>
      <c r="E16" s="60"/>
      <c r="F16" s="60"/>
      <c r="G16" s="60"/>
      <c r="H16" s="60"/>
    </row>
    <row r="18" spans="1:8" ht="15" customHeight="1" x14ac:dyDescent="0.3">
      <c r="A18" s="59" t="s">
        <v>992</v>
      </c>
      <c r="B18" s="60"/>
      <c r="C18" s="60"/>
      <c r="D18" s="60"/>
      <c r="E18" s="60"/>
      <c r="F18" s="60"/>
      <c r="G18" s="60"/>
      <c r="H18" s="60"/>
    </row>
    <row r="20" spans="1:8" ht="15" customHeight="1" x14ac:dyDescent="0.3">
      <c r="A20" s="20" t="s">
        <v>993</v>
      </c>
    </row>
    <row r="22" spans="1:8" ht="15" customHeight="1" x14ac:dyDescent="0.3">
      <c r="A22" s="17" t="s">
        <v>994</v>
      </c>
      <c r="B22" s="18">
        <v>15000000</v>
      </c>
    </row>
    <row r="23" spans="1:8" ht="15" customHeight="1" x14ac:dyDescent="0.3">
      <c r="A23" s="17" t="s">
        <v>995</v>
      </c>
      <c r="B23" s="18">
        <v>120</v>
      </c>
    </row>
    <row r="24" spans="1:8" ht="15" customHeight="1" x14ac:dyDescent="0.3">
      <c r="A24" s="17" t="s">
        <v>996</v>
      </c>
      <c r="B24" s="18">
        <v>1.8</v>
      </c>
    </row>
    <row r="26" spans="1:8" ht="15" customHeight="1" x14ac:dyDescent="0.3">
      <c r="A26" s="20" t="s">
        <v>997</v>
      </c>
    </row>
    <row r="28" spans="1:8" ht="15" customHeight="1" x14ac:dyDescent="0.3">
      <c r="A28" s="17" t="s">
        <v>998</v>
      </c>
      <c r="B28" s="18">
        <v>300</v>
      </c>
    </row>
    <row r="29" spans="1:8" ht="15" customHeight="1" x14ac:dyDescent="0.3">
      <c r="A29" s="17" t="s">
        <v>999</v>
      </c>
      <c r="B29" s="18">
        <v>1.5</v>
      </c>
    </row>
    <row r="31" spans="1:8" ht="15" customHeight="1" x14ac:dyDescent="0.3">
      <c r="A31" s="59" t="s">
        <v>1000</v>
      </c>
      <c r="B31" s="60"/>
      <c r="C31" s="60"/>
      <c r="D31" s="60"/>
      <c r="E31" s="60"/>
      <c r="F31" s="60"/>
      <c r="G31" s="60"/>
      <c r="H31" s="60"/>
    </row>
  </sheetData>
  <mergeCells count="5">
    <mergeCell ref="A18:H18"/>
    <mergeCell ref="A15:H15"/>
    <mergeCell ref="A1:C1"/>
    <mergeCell ref="A16:H16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3"/>
  <sheetViews>
    <sheetView topLeftCell="D1" zoomScaleNormal="100" workbookViewId="0">
      <pane ySplit="1" topLeftCell="A18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6" customWidth="1"/>
    <col min="3" max="3" width="14" customWidth="1"/>
    <col min="4" max="4" width="16" customWidth="1"/>
    <col min="5" max="5" width="12" customWidth="1"/>
    <col min="6" max="9" width="9" customWidth="1"/>
    <col min="10" max="10" width="10" customWidth="1"/>
    <col min="11" max="12" width="9" customWidth="1"/>
    <col min="13" max="13" width="10" customWidth="1"/>
    <col min="14" max="14" width="15" customWidth="1"/>
    <col min="15" max="15" width="16" customWidth="1"/>
    <col min="16" max="16" width="14" customWidth="1"/>
    <col min="17" max="17" width="50" customWidth="1"/>
    <col min="18" max="18" width="14" customWidth="1"/>
  </cols>
  <sheetData>
    <row r="1" spans="1:18" ht="39" customHeight="1" x14ac:dyDescent="0.3">
      <c r="A1" s="2" t="s">
        <v>917</v>
      </c>
      <c r="B1" s="2" t="s">
        <v>1001</v>
      </c>
      <c r="C1" s="2" t="s">
        <v>1002</v>
      </c>
      <c r="D1" s="2" t="s">
        <v>1003</v>
      </c>
      <c r="E1" s="2" t="s">
        <v>1004</v>
      </c>
      <c r="F1" s="2" t="s">
        <v>1005</v>
      </c>
      <c r="G1" s="2" t="s">
        <v>1006</v>
      </c>
      <c r="H1" s="2" t="s">
        <v>1007</v>
      </c>
      <c r="I1" s="2" t="s">
        <v>1008</v>
      </c>
      <c r="J1" s="2" t="s">
        <v>1009</v>
      </c>
      <c r="K1" s="2" t="s">
        <v>1010</v>
      </c>
      <c r="L1" s="2" t="s">
        <v>1011</v>
      </c>
      <c r="M1" s="2" t="s">
        <v>1012</v>
      </c>
      <c r="N1" s="2" t="s">
        <v>1013</v>
      </c>
      <c r="O1" s="2" t="s">
        <v>1014</v>
      </c>
      <c r="P1" s="2" t="s">
        <v>1015</v>
      </c>
      <c r="Q1" s="2" t="s">
        <v>1016</v>
      </c>
      <c r="R1" s="2" t="s">
        <v>1017</v>
      </c>
    </row>
    <row r="2" spans="1:18" ht="15" customHeight="1" x14ac:dyDescent="0.3">
      <c r="A2" s="21">
        <v>1</v>
      </c>
      <c r="B2" s="21" t="s">
        <v>1018</v>
      </c>
      <c r="C2" s="22" t="s">
        <v>1019</v>
      </c>
      <c r="D2" s="21" t="s">
        <v>1020</v>
      </c>
      <c r="E2" s="23">
        <v>1</v>
      </c>
      <c r="F2" s="24">
        <v>0.7</v>
      </c>
      <c r="G2" s="24">
        <v>0.2</v>
      </c>
      <c r="H2" s="24">
        <v>7.0000000000000007E-2</v>
      </c>
      <c r="I2" s="24">
        <v>2.5000000000000001E-2</v>
      </c>
      <c r="J2" s="24">
        <v>4.0000000000000001E-3</v>
      </c>
      <c r="K2" s="24">
        <v>1E-3</v>
      </c>
      <c r="L2" s="24">
        <v>0</v>
      </c>
      <c r="M2" s="25">
        <f t="shared" ref="M2:M33" si="0">SUM(F2:L2)</f>
        <v>1</v>
      </c>
      <c r="N2" s="26">
        <f>F2*'Pacotes - Parâmetros'!$B$4+G2*'Pacotes - Parâmetros'!$B$5+H2*'Pacotes - Parâmetros'!$B$6+I2*'Pacotes - Parâmetros'!$B$7+J2*'Pacotes - Parâmetros'!$B$8+K2*'Pacotes - Parâmetros'!$B$9+L2*'Pacotes - Parâmetros'!$B$10</f>
        <v>5.51</v>
      </c>
      <c r="O2" s="27">
        <v>90</v>
      </c>
      <c r="P2" s="28">
        <f>ROUND('Pacotes - Parâmetros'!$B$22*'Pacotes - Parâmetros'!$B$23^(((A2-1)/29)^'Pacotes - Parâmetros'!$B$24),-5)</f>
        <v>15000000</v>
      </c>
      <c r="Q2" s="21" t="s">
        <v>1021</v>
      </c>
      <c r="R2" s="28">
        <f>1+ROUND(('Pacotes - Parâmetros'!$B$28-1)*(((A2-1)/29)^'Pacotes - Parâmetros'!$B$29),0)</f>
        <v>1</v>
      </c>
    </row>
    <row r="3" spans="1:18" ht="15" customHeight="1" x14ac:dyDescent="0.3">
      <c r="A3" s="21">
        <v>2</v>
      </c>
      <c r="B3" s="21" t="s">
        <v>1022</v>
      </c>
      <c r="C3" s="22" t="s">
        <v>1019</v>
      </c>
      <c r="D3" s="21" t="s">
        <v>1020</v>
      </c>
      <c r="E3" s="23">
        <v>1</v>
      </c>
      <c r="F3" s="24">
        <v>0.69137999999999999</v>
      </c>
      <c r="G3" s="24">
        <v>0.20172000000000001</v>
      </c>
      <c r="H3" s="24">
        <v>7.2760000000000005E-2</v>
      </c>
      <c r="I3" s="24">
        <v>2.69E-2</v>
      </c>
      <c r="J3" s="24">
        <v>5.5900000000000004E-3</v>
      </c>
      <c r="K3" s="24">
        <v>1.66E-3</v>
      </c>
      <c r="L3" s="24">
        <v>0</v>
      </c>
      <c r="M3" s="25">
        <f t="shared" si="0"/>
        <v>1.0000100000000001</v>
      </c>
      <c r="N3" s="26">
        <f>F3*'Pacotes - Parâmetros'!$B$4+G3*'Pacotes - Parâmetros'!$B$5+H3*'Pacotes - Parâmetros'!$B$6+I3*'Pacotes - Parâmetros'!$B$7+J3*'Pacotes - Parâmetros'!$B$8+K3*'Pacotes - Parâmetros'!$B$9+L3*'Pacotes - Parâmetros'!$B$10</f>
        <v>6.2248799999999997</v>
      </c>
      <c r="O3" s="27">
        <v>88.8</v>
      </c>
      <c r="P3" s="28">
        <f>ROUND('Pacotes - Parâmetros'!$B$22*'Pacotes - Parâmetros'!$B$23^(((A3-1)/29)^'Pacotes - Parâmetros'!$B$24),-5)</f>
        <v>15200000</v>
      </c>
      <c r="Q3" s="21" t="s">
        <v>1023</v>
      </c>
      <c r="R3" s="28">
        <f>1+ROUND(('Pacotes - Parâmetros'!$B$28-1)*(((A3-1)/29)^'Pacotes - Parâmetros'!$B$29),0)</f>
        <v>3</v>
      </c>
    </row>
    <row r="4" spans="1:18" ht="15" customHeight="1" x14ac:dyDescent="0.3">
      <c r="A4" s="21">
        <v>3</v>
      </c>
      <c r="B4" s="21" t="s">
        <v>1024</v>
      </c>
      <c r="C4" s="22" t="s">
        <v>1019</v>
      </c>
      <c r="D4" s="21" t="s">
        <v>1020</v>
      </c>
      <c r="E4" s="23">
        <v>1</v>
      </c>
      <c r="F4" s="24">
        <v>0.68276000000000003</v>
      </c>
      <c r="G4" s="24">
        <v>0.20344999999999999</v>
      </c>
      <c r="H4" s="24">
        <v>7.5520000000000004E-2</v>
      </c>
      <c r="I4" s="24">
        <v>2.879E-2</v>
      </c>
      <c r="J4" s="24">
        <v>7.1700000000000002E-3</v>
      </c>
      <c r="K4" s="24">
        <v>2.31E-3</v>
      </c>
      <c r="L4" s="24">
        <v>0</v>
      </c>
      <c r="M4" s="25">
        <f t="shared" si="0"/>
        <v>1</v>
      </c>
      <c r="N4" s="26">
        <f>F4*'Pacotes - Parâmetros'!$B$4+G4*'Pacotes - Parâmetros'!$B$5+H4*'Pacotes - Parâmetros'!$B$6+I4*'Pacotes - Parâmetros'!$B$7+J4*'Pacotes - Parâmetros'!$B$8+K4*'Pacotes - Parâmetros'!$B$9+L4*'Pacotes - Parâmetros'!$B$10</f>
        <v>6.9328200000000004</v>
      </c>
      <c r="O4" s="27">
        <v>87.6</v>
      </c>
      <c r="P4" s="28">
        <f>ROUND('Pacotes - Parâmetros'!$B$22*'Pacotes - Parâmetros'!$B$23^(((A4-1)/29)^'Pacotes - Parâmetros'!$B$24),-5)</f>
        <v>15600000</v>
      </c>
      <c r="Q4" s="21" t="s">
        <v>1025</v>
      </c>
      <c r="R4" s="28">
        <f>1+ROUND(('Pacotes - Parâmetros'!$B$28-1)*(((A4-1)/29)^'Pacotes - Parâmetros'!$B$29),0)</f>
        <v>6</v>
      </c>
    </row>
    <row r="5" spans="1:18" ht="15" customHeight="1" x14ac:dyDescent="0.3">
      <c r="A5" s="21">
        <v>4</v>
      </c>
      <c r="B5" s="21" t="s">
        <v>1026</v>
      </c>
      <c r="C5" s="22" t="s">
        <v>1019</v>
      </c>
      <c r="D5" s="21" t="s">
        <v>1020</v>
      </c>
      <c r="E5" s="23">
        <v>1</v>
      </c>
      <c r="F5" s="24">
        <v>0.67413999999999996</v>
      </c>
      <c r="G5" s="24">
        <v>0.20516999999999999</v>
      </c>
      <c r="H5" s="24">
        <v>7.8280000000000002E-2</v>
      </c>
      <c r="I5" s="24">
        <v>3.0689999999999999E-2</v>
      </c>
      <c r="J5" s="24">
        <v>8.7600000000000004E-3</v>
      </c>
      <c r="K5" s="24">
        <v>2.97E-3</v>
      </c>
      <c r="L5" s="24">
        <v>0</v>
      </c>
      <c r="M5" s="25">
        <f t="shared" si="0"/>
        <v>1.0000099999999998</v>
      </c>
      <c r="N5" s="26">
        <f>F5*'Pacotes - Parâmetros'!$B$4+G5*'Pacotes - Parâmetros'!$B$5+H5*'Pacotes - Parâmetros'!$B$6+I5*'Pacotes - Parâmetros'!$B$7+J5*'Pacotes - Parâmetros'!$B$8+K5*'Pacotes - Parâmetros'!$B$9+L5*'Pacotes - Parâmetros'!$B$10</f>
        <v>7.6477000000000004</v>
      </c>
      <c r="O5" s="27">
        <v>86.4</v>
      </c>
      <c r="P5" s="28">
        <f>ROUND('Pacotes - Parâmetros'!$B$22*'Pacotes - Parâmetros'!$B$23^(((A5-1)/29)^'Pacotes - Parâmetros'!$B$24),-5)</f>
        <v>16300000</v>
      </c>
      <c r="Q5" s="21" t="s">
        <v>1027</v>
      </c>
      <c r="R5" s="28">
        <f>1+ROUND(('Pacotes - Parâmetros'!$B$28-1)*(((A5-1)/29)^'Pacotes - Parâmetros'!$B$29),0)</f>
        <v>11</v>
      </c>
    </row>
    <row r="6" spans="1:18" ht="15" customHeight="1" x14ac:dyDescent="0.3">
      <c r="A6" s="21">
        <v>5</v>
      </c>
      <c r="B6" s="21" t="s">
        <v>1028</v>
      </c>
      <c r="C6" s="22" t="s">
        <v>1019</v>
      </c>
      <c r="D6" s="21" t="s">
        <v>1020</v>
      </c>
      <c r="E6" s="23">
        <v>1</v>
      </c>
      <c r="F6" s="24">
        <v>0.66552</v>
      </c>
      <c r="G6" s="24">
        <v>0.2069</v>
      </c>
      <c r="H6" s="24">
        <v>8.1030000000000005E-2</v>
      </c>
      <c r="I6" s="24">
        <v>3.2590000000000001E-2</v>
      </c>
      <c r="J6" s="24">
        <v>1.034E-2</v>
      </c>
      <c r="K6" s="24">
        <v>3.62E-3</v>
      </c>
      <c r="L6" s="24">
        <v>0</v>
      </c>
      <c r="M6" s="25">
        <f t="shared" si="0"/>
        <v>1</v>
      </c>
      <c r="N6" s="26">
        <f>F6*'Pacotes - Parâmetros'!$B$4+G6*'Pacotes - Parâmetros'!$B$5+H6*'Pacotes - Parâmetros'!$B$6+I6*'Pacotes - Parâmetros'!$B$7+J6*'Pacotes - Parâmetros'!$B$8+K6*'Pacotes - Parâmetros'!$B$9+L6*'Pacotes - Parâmetros'!$B$10</f>
        <v>8.3559599999999996</v>
      </c>
      <c r="O6" s="27">
        <v>85.2</v>
      </c>
      <c r="P6" s="28">
        <f>ROUND('Pacotes - Parâmetros'!$B$22*'Pacotes - Parâmetros'!$B$23^(((A6-1)/29)^'Pacotes - Parâmetros'!$B$24),-5)</f>
        <v>17200000</v>
      </c>
      <c r="Q6" s="21" t="s">
        <v>1029</v>
      </c>
      <c r="R6" s="28">
        <f>1+ROUND(('Pacotes - Parâmetros'!$B$28-1)*(((A6-1)/29)^'Pacotes - Parâmetros'!$B$29),0)</f>
        <v>16</v>
      </c>
    </row>
    <row r="7" spans="1:18" ht="15" customHeight="1" x14ac:dyDescent="0.3">
      <c r="A7" s="21">
        <v>6</v>
      </c>
      <c r="B7" s="21" t="s">
        <v>1030</v>
      </c>
      <c r="C7" s="22" t="s">
        <v>1019</v>
      </c>
      <c r="D7" s="21" t="s">
        <v>1020</v>
      </c>
      <c r="E7" s="23">
        <v>1</v>
      </c>
      <c r="F7" s="24">
        <v>0.65690000000000004</v>
      </c>
      <c r="G7" s="24">
        <v>0.20862</v>
      </c>
      <c r="H7" s="24">
        <v>8.3790000000000003E-2</v>
      </c>
      <c r="I7" s="24">
        <v>3.4479999999999997E-2</v>
      </c>
      <c r="J7" s="24">
        <v>1.193E-2</v>
      </c>
      <c r="K7" s="24">
        <v>4.28E-3</v>
      </c>
      <c r="L7" s="24">
        <v>0</v>
      </c>
      <c r="M7" s="25">
        <f t="shared" si="0"/>
        <v>1</v>
      </c>
      <c r="N7" s="26">
        <f>F7*'Pacotes - Parâmetros'!$B$4+G7*'Pacotes - Parâmetros'!$B$5+H7*'Pacotes - Parâmetros'!$B$6+I7*'Pacotes - Parâmetros'!$B$7+J7*'Pacotes - Parâmetros'!$B$8+K7*'Pacotes - Parâmetros'!$B$9+L7*'Pacotes - Parâmetros'!$B$10</f>
        <v>9.0703399999999998</v>
      </c>
      <c r="O7" s="27">
        <v>84</v>
      </c>
      <c r="P7" s="28">
        <f>ROUND('Pacotes - Parâmetros'!$B$22*'Pacotes - Parâmetros'!$B$23^(((A7-1)/29)^'Pacotes - Parâmetros'!$B$24),-5)</f>
        <v>18400000</v>
      </c>
      <c r="Q7" s="21" t="s">
        <v>1031</v>
      </c>
      <c r="R7" s="28">
        <f>1+ROUND(('Pacotes - Parâmetros'!$B$28-1)*(((A7-1)/29)^'Pacotes - Parâmetros'!$B$29),0)</f>
        <v>22</v>
      </c>
    </row>
    <row r="8" spans="1:18" ht="15" customHeight="1" x14ac:dyDescent="0.3">
      <c r="A8" s="21">
        <v>7</v>
      </c>
      <c r="B8" s="21" t="s">
        <v>1032</v>
      </c>
      <c r="C8" s="22" t="s">
        <v>1019</v>
      </c>
      <c r="D8" s="21" t="s">
        <v>1020</v>
      </c>
      <c r="E8" s="23">
        <v>1</v>
      </c>
      <c r="F8" s="24">
        <v>0.64827999999999997</v>
      </c>
      <c r="G8" s="24">
        <v>0.21034</v>
      </c>
      <c r="H8" s="24">
        <v>8.6550000000000002E-2</v>
      </c>
      <c r="I8" s="24">
        <v>3.6380000000000003E-2</v>
      </c>
      <c r="J8" s="24">
        <v>1.3520000000000001E-2</v>
      </c>
      <c r="K8" s="24">
        <v>4.9300000000000004E-3</v>
      </c>
      <c r="L8" s="24">
        <v>0</v>
      </c>
      <c r="M8" s="25">
        <f t="shared" si="0"/>
        <v>0.99999999999999989</v>
      </c>
      <c r="N8" s="26">
        <f>F8*'Pacotes - Parâmetros'!$B$4+G8*'Pacotes - Parâmetros'!$B$5+H8*'Pacotes - Parâmetros'!$B$6+I8*'Pacotes - Parâmetros'!$B$7+J8*'Pacotes - Parâmetros'!$B$8+K8*'Pacotes - Parâmetros'!$B$9+L8*'Pacotes - Parâmetros'!$B$10</f>
        <v>9.7802199999999999</v>
      </c>
      <c r="O8" s="27">
        <v>82.8</v>
      </c>
      <c r="P8" s="28">
        <f>ROUND('Pacotes - Parâmetros'!$B$22*'Pacotes - Parâmetros'!$B$23^(((A8-1)/29)^'Pacotes - Parâmetros'!$B$24),-5)</f>
        <v>19900000</v>
      </c>
      <c r="Q8" s="21" t="s">
        <v>1033</v>
      </c>
      <c r="R8" s="28">
        <f>1+ROUND(('Pacotes - Parâmetros'!$B$28-1)*(((A8-1)/29)^'Pacotes - Parâmetros'!$B$29),0)</f>
        <v>29</v>
      </c>
    </row>
    <row r="9" spans="1:18" ht="15" customHeight="1" x14ac:dyDescent="0.3">
      <c r="A9" s="21">
        <v>8</v>
      </c>
      <c r="B9" s="21" t="s">
        <v>1034</v>
      </c>
      <c r="C9" s="22" t="s">
        <v>1019</v>
      </c>
      <c r="D9" s="21" t="s">
        <v>1020</v>
      </c>
      <c r="E9" s="23">
        <v>1</v>
      </c>
      <c r="F9" s="24">
        <v>0.63966000000000001</v>
      </c>
      <c r="G9" s="24">
        <v>0.21207000000000001</v>
      </c>
      <c r="H9" s="24">
        <v>8.931E-2</v>
      </c>
      <c r="I9" s="24">
        <v>3.8280000000000002E-2</v>
      </c>
      <c r="J9" s="24">
        <v>1.5100000000000001E-2</v>
      </c>
      <c r="K9" s="24">
        <v>5.5900000000000004E-3</v>
      </c>
      <c r="L9" s="24">
        <v>0</v>
      </c>
      <c r="M9" s="25">
        <f t="shared" si="0"/>
        <v>1.0000100000000001</v>
      </c>
      <c r="N9" s="26">
        <f>F9*'Pacotes - Parâmetros'!$B$4+G9*'Pacotes - Parâmetros'!$B$5+H9*'Pacotes - Parâmetros'!$B$6+I9*'Pacotes - Parâmetros'!$B$7+J9*'Pacotes - Parâmetros'!$B$8+K9*'Pacotes - Parâmetros'!$B$9+L9*'Pacotes - Parâmetros'!$B$10</f>
        <v>10.49366</v>
      </c>
      <c r="O9" s="27">
        <v>81.599999999999994</v>
      </c>
      <c r="P9" s="28">
        <f>ROUND('Pacotes - Parâmetros'!$B$22*'Pacotes - Parâmetros'!$B$23^(((A9-1)/29)^'Pacotes - Parâmetros'!$B$24),-5)</f>
        <v>21700000</v>
      </c>
      <c r="Q9" s="21" t="s">
        <v>1035</v>
      </c>
      <c r="R9" s="28">
        <f>1+ROUND(('Pacotes - Parâmetros'!$B$28-1)*(((A9-1)/29)^'Pacotes - Parâmetros'!$B$29),0)</f>
        <v>36</v>
      </c>
    </row>
    <row r="10" spans="1:18" ht="15" customHeight="1" x14ac:dyDescent="0.3">
      <c r="A10" s="21">
        <v>9</v>
      </c>
      <c r="B10" s="21" t="s">
        <v>1036</v>
      </c>
      <c r="C10" s="22" t="s">
        <v>1019</v>
      </c>
      <c r="D10" s="21" t="s">
        <v>1020</v>
      </c>
      <c r="E10" s="23">
        <v>1</v>
      </c>
      <c r="F10" s="24">
        <v>0.63102999999999998</v>
      </c>
      <c r="G10" s="24">
        <v>0.21379000000000001</v>
      </c>
      <c r="H10" s="24">
        <v>9.2069999999999999E-2</v>
      </c>
      <c r="I10" s="24">
        <v>4.0169999999999997E-2</v>
      </c>
      <c r="J10" s="24">
        <v>1.669E-2</v>
      </c>
      <c r="K10" s="24">
        <v>6.2399999999999999E-3</v>
      </c>
      <c r="L10" s="24">
        <v>0</v>
      </c>
      <c r="M10" s="25">
        <f t="shared" si="0"/>
        <v>0.99999000000000005</v>
      </c>
      <c r="N10" s="26">
        <f>F10*'Pacotes - Parâmetros'!$B$4+G10*'Pacotes - Parâmetros'!$B$5+H10*'Pacotes - Parâmetros'!$B$6+I10*'Pacotes - Parâmetros'!$B$7+J10*'Pacotes - Parâmetros'!$B$8+K10*'Pacotes - Parâmetros'!$B$9+L10*'Pacotes - Parâmetros'!$B$10</f>
        <v>11.203030000000002</v>
      </c>
      <c r="O10" s="27">
        <v>80.3</v>
      </c>
      <c r="P10" s="28">
        <f>ROUND('Pacotes - Parâmetros'!$B$22*'Pacotes - Parâmetros'!$B$23^(((A10-1)/29)^'Pacotes - Parâmetros'!$B$24),-5)</f>
        <v>24000000</v>
      </c>
      <c r="Q10" s="21" t="s">
        <v>1037</v>
      </c>
      <c r="R10" s="28">
        <f>1+ROUND(('Pacotes - Parâmetros'!$B$28-1)*(((A10-1)/29)^'Pacotes - Parâmetros'!$B$29),0)</f>
        <v>44</v>
      </c>
    </row>
    <row r="11" spans="1:18" ht="15" customHeight="1" x14ac:dyDescent="0.3">
      <c r="A11" s="21">
        <v>10</v>
      </c>
      <c r="B11" s="21" t="s">
        <v>1038</v>
      </c>
      <c r="C11" s="22" t="s">
        <v>1019</v>
      </c>
      <c r="D11" s="21" t="s">
        <v>1020</v>
      </c>
      <c r="E11" s="23">
        <v>1</v>
      </c>
      <c r="F11" s="24">
        <v>0.62241000000000002</v>
      </c>
      <c r="G11" s="24">
        <v>0.21551999999999999</v>
      </c>
      <c r="H11" s="24">
        <v>9.4829999999999998E-2</v>
      </c>
      <c r="I11" s="24">
        <v>4.2070000000000003E-2</v>
      </c>
      <c r="J11" s="24">
        <v>1.8280000000000001E-2</v>
      </c>
      <c r="K11" s="24">
        <v>6.8999999999999999E-3</v>
      </c>
      <c r="L11" s="24">
        <v>0</v>
      </c>
      <c r="M11" s="25">
        <f t="shared" si="0"/>
        <v>1.0000100000000001</v>
      </c>
      <c r="N11" s="26">
        <f>F11*'Pacotes - Parâmetros'!$B$4+G11*'Pacotes - Parâmetros'!$B$5+H11*'Pacotes - Parâmetros'!$B$6+I11*'Pacotes - Parâmetros'!$B$7+J11*'Pacotes - Parâmetros'!$B$8+K11*'Pacotes - Parâmetros'!$B$9+L11*'Pacotes - Parâmetros'!$B$10</f>
        <v>11.91797</v>
      </c>
      <c r="O11" s="27">
        <v>79.099999999999994</v>
      </c>
      <c r="P11" s="28">
        <f>ROUND('Pacotes - Parâmetros'!$B$22*'Pacotes - Parâmetros'!$B$23^(((A11-1)/29)^'Pacotes - Parâmetros'!$B$24),-5)</f>
        <v>26900000</v>
      </c>
      <c r="Q11" s="21" t="s">
        <v>1039</v>
      </c>
      <c r="R11" s="28">
        <f>1+ROUND(('Pacotes - Parâmetros'!$B$28-1)*(((A11-1)/29)^'Pacotes - Parâmetros'!$B$29),0)</f>
        <v>53</v>
      </c>
    </row>
    <row r="12" spans="1:18" ht="15" customHeight="1" x14ac:dyDescent="0.3">
      <c r="A12" s="21">
        <v>11</v>
      </c>
      <c r="B12" s="21" t="s">
        <v>1040</v>
      </c>
      <c r="C12" s="22" t="s">
        <v>1019</v>
      </c>
      <c r="D12" s="21" t="s">
        <v>1020</v>
      </c>
      <c r="E12" s="23">
        <v>1</v>
      </c>
      <c r="F12" s="24">
        <v>0.61378999999999995</v>
      </c>
      <c r="G12" s="24">
        <v>0.21723999999999999</v>
      </c>
      <c r="H12" s="24">
        <v>9.7589999999999996E-2</v>
      </c>
      <c r="I12" s="24">
        <v>4.3970000000000002E-2</v>
      </c>
      <c r="J12" s="24">
        <v>1.9859999999999999E-2</v>
      </c>
      <c r="K12" s="24">
        <v>7.5500000000000003E-3</v>
      </c>
      <c r="L12" s="24">
        <v>0</v>
      </c>
      <c r="M12" s="25">
        <f t="shared" si="0"/>
        <v>0.99999999999999978</v>
      </c>
      <c r="N12" s="26">
        <f>F12*'Pacotes - Parâmetros'!$B$4+G12*'Pacotes - Parâmetros'!$B$5+H12*'Pacotes - Parâmetros'!$B$6+I12*'Pacotes - Parâmetros'!$B$7+J12*'Pacotes - Parâmetros'!$B$8+K12*'Pacotes - Parâmetros'!$B$9+L12*'Pacotes - Parâmetros'!$B$10</f>
        <v>12.62635</v>
      </c>
      <c r="O12" s="27">
        <v>77.900000000000006</v>
      </c>
      <c r="P12" s="28">
        <f>ROUND('Pacotes - Parâmetros'!$B$22*'Pacotes - Parâmetros'!$B$23^(((A12-1)/29)^'Pacotes - Parâmetros'!$B$24),-5)</f>
        <v>30300000</v>
      </c>
      <c r="Q12" s="21" t="s">
        <v>1041</v>
      </c>
      <c r="R12" s="28">
        <f>1+ROUND(('Pacotes - Parâmetros'!$B$28-1)*(((A12-1)/29)^'Pacotes - Parâmetros'!$B$29),0)</f>
        <v>62</v>
      </c>
    </row>
    <row r="13" spans="1:18" ht="15" customHeight="1" x14ac:dyDescent="0.3">
      <c r="A13" s="21">
        <v>12</v>
      </c>
      <c r="B13" s="21" t="s">
        <v>1042</v>
      </c>
      <c r="C13" s="22" t="s">
        <v>1019</v>
      </c>
      <c r="D13" s="21" t="s">
        <v>1020</v>
      </c>
      <c r="E13" s="23">
        <v>1</v>
      </c>
      <c r="F13" s="24">
        <v>0.60516999999999999</v>
      </c>
      <c r="G13" s="24">
        <v>0.21897</v>
      </c>
      <c r="H13" s="24">
        <v>0.10034</v>
      </c>
      <c r="I13" s="24">
        <v>4.5859999999999998E-2</v>
      </c>
      <c r="J13" s="24">
        <v>2.145E-2</v>
      </c>
      <c r="K13" s="24">
        <v>8.2100000000000003E-3</v>
      </c>
      <c r="L13" s="24">
        <v>0</v>
      </c>
      <c r="M13" s="25">
        <f t="shared" si="0"/>
        <v>1</v>
      </c>
      <c r="N13" s="26">
        <f>F13*'Pacotes - Parâmetros'!$B$4+G13*'Pacotes - Parâmetros'!$B$5+H13*'Pacotes - Parâmetros'!$B$6+I13*'Pacotes - Parâmetros'!$B$7+J13*'Pacotes - Parâmetros'!$B$8+K13*'Pacotes - Parâmetros'!$B$9+L13*'Pacotes - Parâmetros'!$B$10</f>
        <v>13.340610000000002</v>
      </c>
      <c r="O13" s="27">
        <v>76.7</v>
      </c>
      <c r="P13" s="28">
        <f>ROUND('Pacotes - Parâmetros'!$B$22*'Pacotes - Parâmetros'!$B$23^(((A13-1)/29)^'Pacotes - Parâmetros'!$B$24),-5)</f>
        <v>34600000</v>
      </c>
      <c r="Q13" s="21" t="s">
        <v>1043</v>
      </c>
      <c r="R13" s="28">
        <f>1+ROUND(('Pacotes - Parâmetros'!$B$28-1)*(((A13-1)/29)^'Pacotes - Parâmetros'!$B$29),0)</f>
        <v>71</v>
      </c>
    </row>
    <row r="14" spans="1:18" ht="15" customHeight="1" x14ac:dyDescent="0.3">
      <c r="A14" s="21">
        <v>13</v>
      </c>
      <c r="B14" s="21" t="s">
        <v>1044</v>
      </c>
      <c r="C14" s="22" t="s">
        <v>1019</v>
      </c>
      <c r="D14" s="21" t="s">
        <v>1020</v>
      </c>
      <c r="E14" s="23">
        <v>1</v>
      </c>
      <c r="F14" s="24">
        <v>0.59655000000000002</v>
      </c>
      <c r="G14" s="24">
        <v>0.22069</v>
      </c>
      <c r="H14" s="24">
        <v>0.1031</v>
      </c>
      <c r="I14" s="24">
        <v>4.7759999999999997E-2</v>
      </c>
      <c r="J14" s="24">
        <v>2.3029999999999998E-2</v>
      </c>
      <c r="K14" s="24">
        <v>8.8599999999999998E-3</v>
      </c>
      <c r="L14" s="24">
        <v>0</v>
      </c>
      <c r="M14" s="25">
        <f t="shared" si="0"/>
        <v>0.99998999999999993</v>
      </c>
      <c r="N14" s="26">
        <f>F14*'Pacotes - Parâmetros'!$B$4+G14*'Pacotes - Parâmetros'!$B$5+H14*'Pacotes - Parâmetros'!$B$6+I14*'Pacotes - Parâmetros'!$B$7+J14*'Pacotes - Parâmetros'!$B$8+K14*'Pacotes - Parâmetros'!$B$9+L14*'Pacotes - Parâmetros'!$B$10</f>
        <v>14.04899</v>
      </c>
      <c r="O14" s="27">
        <v>75.5</v>
      </c>
      <c r="P14" s="28">
        <f>ROUND('Pacotes - Parâmetros'!$B$22*'Pacotes - Parâmetros'!$B$23^(((A14-1)/29)^'Pacotes - Parâmetros'!$B$24),-5)</f>
        <v>39900000</v>
      </c>
      <c r="Q14" s="21" t="s">
        <v>1045</v>
      </c>
      <c r="R14" s="28">
        <f>1+ROUND(('Pacotes - Parâmetros'!$B$28-1)*(((A14-1)/29)^'Pacotes - Parâmetros'!$B$29),0)</f>
        <v>81</v>
      </c>
    </row>
    <row r="15" spans="1:18" ht="15" customHeight="1" x14ac:dyDescent="0.3">
      <c r="A15" s="21">
        <v>14</v>
      </c>
      <c r="B15" s="21" t="s">
        <v>1046</v>
      </c>
      <c r="C15" s="22" t="s">
        <v>1019</v>
      </c>
      <c r="D15" s="21" t="s">
        <v>1020</v>
      </c>
      <c r="E15" s="23">
        <v>1</v>
      </c>
      <c r="F15" s="24">
        <v>0.58792999999999995</v>
      </c>
      <c r="G15" s="24">
        <v>0.22241</v>
      </c>
      <c r="H15" s="24">
        <v>0.10586</v>
      </c>
      <c r="I15" s="24">
        <v>4.9660000000000003E-2</v>
      </c>
      <c r="J15" s="24">
        <v>2.462E-2</v>
      </c>
      <c r="K15" s="24">
        <v>9.5200000000000007E-3</v>
      </c>
      <c r="L15" s="24">
        <v>0</v>
      </c>
      <c r="M15" s="25">
        <f t="shared" si="0"/>
        <v>0.99999999999999989</v>
      </c>
      <c r="N15" s="26">
        <f>F15*'Pacotes - Parâmetros'!$B$4+G15*'Pacotes - Parâmetros'!$B$5+H15*'Pacotes - Parâmetros'!$B$6+I15*'Pacotes - Parâmetros'!$B$7+J15*'Pacotes - Parâmetros'!$B$8+K15*'Pacotes - Parâmetros'!$B$9+L15*'Pacotes - Parâmetros'!$B$10</f>
        <v>14.763870000000001</v>
      </c>
      <c r="O15" s="27">
        <v>74.3</v>
      </c>
      <c r="P15" s="28">
        <f>ROUND('Pacotes - Parâmetros'!$B$22*'Pacotes - Parâmetros'!$B$23^(((A15-1)/29)^'Pacotes - Parâmetros'!$B$24),-5)</f>
        <v>46400000</v>
      </c>
      <c r="Q15" s="21" t="s">
        <v>1047</v>
      </c>
      <c r="R15" s="28">
        <f>1+ROUND(('Pacotes - Parâmetros'!$B$28-1)*(((A15-1)/29)^'Pacotes - Parâmetros'!$B$29),0)</f>
        <v>91</v>
      </c>
    </row>
    <row r="16" spans="1:18" ht="15" customHeight="1" x14ac:dyDescent="0.3">
      <c r="A16" s="21">
        <v>15</v>
      </c>
      <c r="B16" s="21" t="s">
        <v>1048</v>
      </c>
      <c r="C16" s="22" t="s">
        <v>1019</v>
      </c>
      <c r="D16" s="21" t="s">
        <v>1020</v>
      </c>
      <c r="E16" s="23">
        <v>1</v>
      </c>
      <c r="F16" s="24">
        <v>0.57930999999999999</v>
      </c>
      <c r="G16" s="24">
        <v>0.22414000000000001</v>
      </c>
      <c r="H16" s="24">
        <v>0.10861999999999999</v>
      </c>
      <c r="I16" s="24">
        <v>5.1549999999999999E-2</v>
      </c>
      <c r="J16" s="24">
        <v>2.6210000000000001E-2</v>
      </c>
      <c r="K16" s="24">
        <v>1.017E-2</v>
      </c>
      <c r="L16" s="24">
        <v>0</v>
      </c>
      <c r="M16" s="25">
        <f t="shared" si="0"/>
        <v>0.99999999999999989</v>
      </c>
      <c r="N16" s="26">
        <f>F16*'Pacotes - Parâmetros'!$B$4+G16*'Pacotes - Parâmetros'!$B$5+H16*'Pacotes - Parâmetros'!$B$6+I16*'Pacotes - Parâmetros'!$B$7+J16*'Pacotes - Parâmetros'!$B$8+K16*'Pacotes - Parâmetros'!$B$9+L16*'Pacotes - Parâmetros'!$B$10</f>
        <v>15.473310000000001</v>
      </c>
      <c r="O16" s="27">
        <v>73.099999999999994</v>
      </c>
      <c r="P16" s="28">
        <f>ROUND('Pacotes - Parâmetros'!$B$22*'Pacotes - Parâmetros'!$B$23^(((A16-1)/29)^'Pacotes - Parâmetros'!$B$24),-5)</f>
        <v>54500000</v>
      </c>
      <c r="Q16" s="21" t="s">
        <v>1049</v>
      </c>
      <c r="R16" s="28">
        <f>1+ROUND(('Pacotes - Parâmetros'!$B$28-1)*(((A16-1)/29)^'Pacotes - Parâmetros'!$B$29),0)</f>
        <v>101</v>
      </c>
    </row>
    <row r="17" spans="1:18" ht="15" customHeight="1" x14ac:dyDescent="0.3">
      <c r="A17" s="21">
        <v>16</v>
      </c>
      <c r="B17" s="21" t="s">
        <v>1050</v>
      </c>
      <c r="C17" s="22" t="s">
        <v>1019</v>
      </c>
      <c r="D17" s="21" t="s">
        <v>1020</v>
      </c>
      <c r="E17" s="23">
        <v>1</v>
      </c>
      <c r="F17" s="24">
        <v>0.57069000000000003</v>
      </c>
      <c r="G17" s="24">
        <v>0.22586000000000001</v>
      </c>
      <c r="H17" s="24">
        <v>0.11138000000000001</v>
      </c>
      <c r="I17" s="24">
        <v>5.3449999999999998E-2</v>
      </c>
      <c r="J17" s="24">
        <v>2.7789999999999999E-2</v>
      </c>
      <c r="K17" s="24">
        <v>1.0829999999999999E-2</v>
      </c>
      <c r="L17" s="24">
        <v>0</v>
      </c>
      <c r="M17" s="25">
        <f t="shared" si="0"/>
        <v>1</v>
      </c>
      <c r="N17" s="26">
        <f>F17*'Pacotes - Parâmetros'!$B$4+G17*'Pacotes - Parâmetros'!$B$5+H17*'Pacotes - Parâmetros'!$B$6+I17*'Pacotes - Parâmetros'!$B$7+J17*'Pacotes - Parâmetros'!$B$8+K17*'Pacotes - Parâmetros'!$B$9+L17*'Pacotes - Parâmetros'!$B$10</f>
        <v>16.186689999999999</v>
      </c>
      <c r="O17" s="27">
        <v>71.900000000000006</v>
      </c>
      <c r="P17" s="28">
        <f>ROUND('Pacotes - Parâmetros'!$B$22*'Pacotes - Parâmetros'!$B$23^(((A17-1)/29)^'Pacotes - Parâmetros'!$B$24),-5)</f>
        <v>64700000</v>
      </c>
      <c r="Q17" s="21" t="s">
        <v>1051</v>
      </c>
      <c r="R17" s="28">
        <f>1+ROUND(('Pacotes - Parâmetros'!$B$28-1)*(((A17-1)/29)^'Pacotes - Parâmetros'!$B$29),0)</f>
        <v>112</v>
      </c>
    </row>
    <row r="18" spans="1:18" ht="15" customHeight="1" x14ac:dyDescent="0.3">
      <c r="A18" s="21">
        <v>17</v>
      </c>
      <c r="B18" s="21" t="s">
        <v>1052</v>
      </c>
      <c r="C18" s="22" t="s">
        <v>1019</v>
      </c>
      <c r="D18" s="21" t="s">
        <v>1020</v>
      </c>
      <c r="E18" s="23">
        <v>1</v>
      </c>
      <c r="F18" s="24">
        <v>0.56206999999999996</v>
      </c>
      <c r="G18" s="24">
        <v>0.22758999999999999</v>
      </c>
      <c r="H18" s="24">
        <v>0.11414000000000001</v>
      </c>
      <c r="I18" s="24">
        <v>5.534E-2</v>
      </c>
      <c r="J18" s="24">
        <v>2.938E-2</v>
      </c>
      <c r="K18" s="24">
        <v>1.1480000000000001E-2</v>
      </c>
      <c r="L18" s="24">
        <v>0</v>
      </c>
      <c r="M18" s="25">
        <f t="shared" si="0"/>
        <v>0.99999999999999989</v>
      </c>
      <c r="N18" s="26">
        <f>F18*'Pacotes - Parâmetros'!$B$4+G18*'Pacotes - Parâmetros'!$B$5+H18*'Pacotes - Parâmetros'!$B$6+I18*'Pacotes - Parâmetros'!$B$7+J18*'Pacotes - Parâmetros'!$B$8+K18*'Pacotes - Parâmetros'!$B$9+L18*'Pacotes - Parâmetros'!$B$10</f>
        <v>16.896129999999999</v>
      </c>
      <c r="O18" s="27">
        <v>70.7</v>
      </c>
      <c r="P18" s="28">
        <f>ROUND('Pacotes - Parâmetros'!$B$22*'Pacotes - Parâmetros'!$B$23^(((A18-1)/29)^'Pacotes - Parâmetros'!$B$24),-5)</f>
        <v>77400000</v>
      </c>
      <c r="Q18" s="21" t="s">
        <v>1053</v>
      </c>
      <c r="R18" s="28">
        <f>1+ROUND(('Pacotes - Parâmetros'!$B$28-1)*(((A18-1)/29)^'Pacotes - Parâmetros'!$B$29),0)</f>
        <v>124</v>
      </c>
    </row>
    <row r="19" spans="1:18" ht="15" customHeight="1" x14ac:dyDescent="0.3">
      <c r="A19" s="21">
        <v>18</v>
      </c>
      <c r="B19" s="21" t="s">
        <v>1054</v>
      </c>
      <c r="C19" s="22" t="s">
        <v>1019</v>
      </c>
      <c r="D19" s="21" t="s">
        <v>1020</v>
      </c>
      <c r="E19" s="23">
        <v>1</v>
      </c>
      <c r="F19" s="24">
        <v>0.55345</v>
      </c>
      <c r="G19" s="24">
        <v>0.22931000000000001</v>
      </c>
      <c r="H19" s="24">
        <v>0.1169</v>
      </c>
      <c r="I19" s="24">
        <v>5.7239999999999999E-2</v>
      </c>
      <c r="J19" s="24">
        <v>3.0970000000000001E-2</v>
      </c>
      <c r="K19" s="24">
        <v>1.214E-2</v>
      </c>
      <c r="L19" s="24">
        <v>0</v>
      </c>
      <c r="M19" s="25">
        <f t="shared" si="0"/>
        <v>1.0000100000000001</v>
      </c>
      <c r="N19" s="26">
        <f>F19*'Pacotes - Parâmetros'!$B$4+G19*'Pacotes - Parâmetros'!$B$5+H19*'Pacotes - Parâmetros'!$B$6+I19*'Pacotes - Parâmetros'!$B$7+J19*'Pacotes - Parâmetros'!$B$8+K19*'Pacotes - Parâmetros'!$B$9+L19*'Pacotes - Parâmetros'!$B$10</f>
        <v>17.61101</v>
      </c>
      <c r="O19" s="27">
        <v>69.5</v>
      </c>
      <c r="P19" s="28">
        <f>ROUND('Pacotes - Parâmetros'!$B$22*'Pacotes - Parâmetros'!$B$23^(((A19-1)/29)^'Pacotes - Parâmetros'!$B$24),-5)</f>
        <v>93600000</v>
      </c>
      <c r="Q19" s="21" t="s">
        <v>1055</v>
      </c>
      <c r="R19" s="28">
        <f>1+ROUND(('Pacotes - Parâmetros'!$B$28-1)*(((A19-1)/29)^'Pacotes - Parâmetros'!$B$29),0)</f>
        <v>135</v>
      </c>
    </row>
    <row r="20" spans="1:18" ht="15" customHeight="1" x14ac:dyDescent="0.3">
      <c r="A20" s="21">
        <v>19</v>
      </c>
      <c r="B20" s="21" t="s">
        <v>1056</v>
      </c>
      <c r="C20" s="22" t="s">
        <v>1019</v>
      </c>
      <c r="D20" s="21" t="s">
        <v>1020</v>
      </c>
      <c r="E20" s="23">
        <v>1</v>
      </c>
      <c r="F20" s="24">
        <v>0.54483000000000004</v>
      </c>
      <c r="G20" s="24">
        <v>0.23103000000000001</v>
      </c>
      <c r="H20" s="24">
        <v>0.11966</v>
      </c>
      <c r="I20" s="24">
        <v>5.9139999999999998E-2</v>
      </c>
      <c r="J20" s="24">
        <v>3.2550000000000003E-2</v>
      </c>
      <c r="K20" s="24">
        <v>1.2789999999999999E-2</v>
      </c>
      <c r="L20" s="24">
        <v>0</v>
      </c>
      <c r="M20" s="25">
        <f t="shared" si="0"/>
        <v>0.99999999999999989</v>
      </c>
      <c r="N20" s="26">
        <f>F20*'Pacotes - Parâmetros'!$B$4+G20*'Pacotes - Parâmetros'!$B$5+H20*'Pacotes - Parâmetros'!$B$6+I20*'Pacotes - Parâmetros'!$B$7+J20*'Pacotes - Parâmetros'!$B$8+K20*'Pacotes - Parâmetros'!$B$9+L20*'Pacotes - Parâmetros'!$B$10</f>
        <v>18.319389999999999</v>
      </c>
      <c r="O20" s="27">
        <v>68.3</v>
      </c>
      <c r="P20" s="28">
        <f>ROUND('Pacotes - Parâmetros'!$B$22*'Pacotes - Parâmetros'!$B$23^(((A20-1)/29)^'Pacotes - Parâmetros'!$B$24),-5)</f>
        <v>114100000</v>
      </c>
      <c r="Q20" s="21" t="s">
        <v>1057</v>
      </c>
      <c r="R20" s="28">
        <f>1+ROUND(('Pacotes - Parâmetros'!$B$28-1)*(((A20-1)/29)^'Pacotes - Parâmetros'!$B$29),0)</f>
        <v>147</v>
      </c>
    </row>
    <row r="21" spans="1:18" ht="15" customHeight="1" x14ac:dyDescent="0.3">
      <c r="A21" s="21">
        <v>20</v>
      </c>
      <c r="B21" s="21" t="s">
        <v>1058</v>
      </c>
      <c r="C21" s="22" t="s">
        <v>1019</v>
      </c>
      <c r="D21" s="21" t="s">
        <v>1020</v>
      </c>
      <c r="E21" s="23">
        <v>1</v>
      </c>
      <c r="F21" s="24">
        <v>0.53620999999999996</v>
      </c>
      <c r="G21" s="24">
        <v>0.23275999999999999</v>
      </c>
      <c r="H21" s="24">
        <v>0.12241</v>
      </c>
      <c r="I21" s="24">
        <v>6.1030000000000001E-2</v>
      </c>
      <c r="J21" s="24">
        <v>3.4139999999999997E-2</v>
      </c>
      <c r="K21" s="24">
        <v>1.345E-2</v>
      </c>
      <c r="L21" s="24">
        <v>0</v>
      </c>
      <c r="M21" s="25">
        <f t="shared" si="0"/>
        <v>0.99999999999999989</v>
      </c>
      <c r="N21" s="26">
        <f>F21*'Pacotes - Parâmetros'!$B$4+G21*'Pacotes - Parâmetros'!$B$5+H21*'Pacotes - Parâmetros'!$B$6+I21*'Pacotes - Parâmetros'!$B$7+J21*'Pacotes - Parâmetros'!$B$8+K21*'Pacotes - Parâmetros'!$B$9+L21*'Pacotes - Parâmetros'!$B$10</f>
        <v>19.033650000000002</v>
      </c>
      <c r="O21" s="27">
        <v>67.099999999999994</v>
      </c>
      <c r="P21" s="28">
        <f>ROUND('Pacotes - Parâmetros'!$B$22*'Pacotes - Parâmetros'!$B$23^(((A21-1)/29)^'Pacotes - Parâmetros'!$B$24),-5)</f>
        <v>140400000</v>
      </c>
      <c r="Q21" s="21" t="s">
        <v>1059</v>
      </c>
      <c r="R21" s="28">
        <f>1+ROUND(('Pacotes - Parâmetros'!$B$28-1)*(((A21-1)/29)^'Pacotes - Parâmetros'!$B$29),0)</f>
        <v>160</v>
      </c>
    </row>
    <row r="22" spans="1:18" ht="15" customHeight="1" x14ac:dyDescent="0.3">
      <c r="A22" s="21">
        <v>21</v>
      </c>
      <c r="B22" s="21" t="s">
        <v>1060</v>
      </c>
      <c r="C22" s="22" t="s">
        <v>1019</v>
      </c>
      <c r="D22" s="21" t="s">
        <v>1020</v>
      </c>
      <c r="E22" s="23">
        <v>1</v>
      </c>
      <c r="F22" s="24">
        <v>0.52759</v>
      </c>
      <c r="G22" s="24">
        <v>0.23447999999999999</v>
      </c>
      <c r="H22" s="24">
        <v>0.12517</v>
      </c>
      <c r="I22" s="24">
        <v>6.293E-2</v>
      </c>
      <c r="J22" s="24">
        <v>3.5720000000000002E-2</v>
      </c>
      <c r="K22" s="24">
        <v>1.41E-2</v>
      </c>
      <c r="L22" s="24">
        <v>0</v>
      </c>
      <c r="M22" s="25">
        <f t="shared" si="0"/>
        <v>0.99999000000000005</v>
      </c>
      <c r="N22" s="26">
        <f>F22*'Pacotes - Parâmetros'!$B$4+G22*'Pacotes - Parâmetros'!$B$5+H22*'Pacotes - Parâmetros'!$B$6+I22*'Pacotes - Parâmetros'!$B$7+J22*'Pacotes - Parâmetros'!$B$8+K22*'Pacotes - Parâmetros'!$B$9+L22*'Pacotes - Parâmetros'!$B$10</f>
        <v>19.74203</v>
      </c>
      <c r="O22" s="27">
        <v>65.900000000000006</v>
      </c>
      <c r="P22" s="28">
        <f>ROUND('Pacotes - Parâmetros'!$B$22*'Pacotes - Parâmetros'!$B$23^(((A22-1)/29)^'Pacotes - Parâmetros'!$B$24),-5)</f>
        <v>174300000</v>
      </c>
      <c r="Q22" s="21" t="s">
        <v>1061</v>
      </c>
      <c r="R22" s="28">
        <f>1+ROUND(('Pacotes - Parâmetros'!$B$28-1)*(((A22-1)/29)^'Pacotes - Parâmetros'!$B$29),0)</f>
        <v>172</v>
      </c>
    </row>
    <row r="23" spans="1:18" ht="15" customHeight="1" x14ac:dyDescent="0.3">
      <c r="A23" s="21">
        <v>22</v>
      </c>
      <c r="B23" s="21" t="s">
        <v>1062</v>
      </c>
      <c r="C23" s="22" t="s">
        <v>1019</v>
      </c>
      <c r="D23" s="21" t="s">
        <v>1020</v>
      </c>
      <c r="E23" s="23">
        <v>1</v>
      </c>
      <c r="F23" s="24">
        <v>0.51897000000000004</v>
      </c>
      <c r="G23" s="24">
        <v>0.23621</v>
      </c>
      <c r="H23" s="24">
        <v>0.12792999999999999</v>
      </c>
      <c r="I23" s="24">
        <v>6.4829999999999999E-2</v>
      </c>
      <c r="J23" s="24">
        <v>3.7310000000000003E-2</v>
      </c>
      <c r="K23" s="24">
        <v>1.4760000000000001E-2</v>
      </c>
      <c r="L23" s="24">
        <v>0</v>
      </c>
      <c r="M23" s="25">
        <f t="shared" si="0"/>
        <v>1.0000100000000001</v>
      </c>
      <c r="N23" s="26">
        <f>F23*'Pacotes - Parâmetros'!$B$4+G23*'Pacotes - Parâmetros'!$B$5+H23*'Pacotes - Parâmetros'!$B$6+I23*'Pacotes - Parâmetros'!$B$7+J23*'Pacotes - Parâmetros'!$B$8+K23*'Pacotes - Parâmetros'!$B$9+L23*'Pacotes - Parâmetros'!$B$10</f>
        <v>20.456970000000002</v>
      </c>
      <c r="O23" s="27">
        <v>64.7</v>
      </c>
      <c r="P23" s="28">
        <f>ROUND('Pacotes - Parâmetros'!$B$22*'Pacotes - Parâmetros'!$B$23^(((A23-1)/29)^'Pacotes - Parâmetros'!$B$24),-5)</f>
        <v>218300000</v>
      </c>
      <c r="Q23" s="21" t="s">
        <v>1063</v>
      </c>
      <c r="R23" s="28">
        <f>1+ROUND(('Pacotes - Parâmetros'!$B$28-1)*(((A23-1)/29)^'Pacotes - Parâmetros'!$B$29),0)</f>
        <v>185</v>
      </c>
    </row>
    <row r="24" spans="1:18" ht="15" customHeight="1" x14ac:dyDescent="0.3">
      <c r="A24" s="21">
        <v>23</v>
      </c>
      <c r="B24" s="21" t="s">
        <v>1064</v>
      </c>
      <c r="C24" s="22" t="s">
        <v>1019</v>
      </c>
      <c r="D24" s="21" t="s">
        <v>1020</v>
      </c>
      <c r="E24" s="23">
        <v>1</v>
      </c>
      <c r="F24" s="24">
        <v>0.51034000000000002</v>
      </c>
      <c r="G24" s="24">
        <v>0.23793</v>
      </c>
      <c r="H24" s="24">
        <v>0.13069</v>
      </c>
      <c r="I24" s="24">
        <v>6.6720000000000002E-2</v>
      </c>
      <c r="J24" s="24">
        <v>3.8899999999999997E-2</v>
      </c>
      <c r="K24" s="24">
        <v>1.541E-2</v>
      </c>
      <c r="L24" s="24">
        <v>0</v>
      </c>
      <c r="M24" s="25">
        <f t="shared" si="0"/>
        <v>0.99999000000000005</v>
      </c>
      <c r="N24" s="26">
        <f>F24*'Pacotes - Parâmetros'!$B$4+G24*'Pacotes - Parâmetros'!$B$5+H24*'Pacotes - Parâmetros'!$B$6+I24*'Pacotes - Parâmetros'!$B$7+J24*'Pacotes - Parâmetros'!$B$8+K24*'Pacotes - Parâmetros'!$B$9+L24*'Pacotes - Parâmetros'!$B$10</f>
        <v>21.166339999999998</v>
      </c>
      <c r="O24" s="27">
        <v>63.4</v>
      </c>
      <c r="P24" s="28">
        <f>ROUND('Pacotes - Parâmetros'!$B$22*'Pacotes - Parâmetros'!$B$23^(((A24-1)/29)^'Pacotes - Parâmetros'!$B$24),-5)</f>
        <v>275800000</v>
      </c>
      <c r="Q24" s="21" t="s">
        <v>1065</v>
      </c>
      <c r="R24" s="28">
        <f>1+ROUND(('Pacotes - Parâmetros'!$B$28-1)*(((A24-1)/29)^'Pacotes - Parâmetros'!$B$29),0)</f>
        <v>199</v>
      </c>
    </row>
    <row r="25" spans="1:18" ht="15" customHeight="1" x14ac:dyDescent="0.3">
      <c r="A25" s="21">
        <v>24</v>
      </c>
      <c r="B25" s="21" t="s">
        <v>1066</v>
      </c>
      <c r="C25" s="22" t="s">
        <v>1019</v>
      </c>
      <c r="D25" s="21" t="s">
        <v>1020</v>
      </c>
      <c r="E25" s="23">
        <v>1</v>
      </c>
      <c r="F25" s="24">
        <v>0.50172000000000005</v>
      </c>
      <c r="G25" s="24">
        <v>0.23966000000000001</v>
      </c>
      <c r="H25" s="24">
        <v>0.13345000000000001</v>
      </c>
      <c r="I25" s="24">
        <v>6.862E-2</v>
      </c>
      <c r="J25" s="24">
        <v>4.0480000000000002E-2</v>
      </c>
      <c r="K25" s="24">
        <v>1.6070000000000001E-2</v>
      </c>
      <c r="L25" s="24">
        <v>0</v>
      </c>
      <c r="M25" s="25">
        <f t="shared" si="0"/>
        <v>1</v>
      </c>
      <c r="N25" s="26">
        <f>F25*'Pacotes - Parâmetros'!$B$4+G25*'Pacotes - Parâmetros'!$B$5+H25*'Pacotes - Parâmetros'!$B$6+I25*'Pacotes - Parâmetros'!$B$7+J25*'Pacotes - Parâmetros'!$B$8+K25*'Pacotes - Parâmetros'!$B$9+L25*'Pacotes - Parâmetros'!$B$10</f>
        <v>21.87978</v>
      </c>
      <c r="O25" s="27">
        <v>62.2</v>
      </c>
      <c r="P25" s="28">
        <f>ROUND('Pacotes - Parâmetros'!$B$22*'Pacotes - Parâmetros'!$B$23^(((A25-1)/29)^'Pacotes - Parâmetros'!$B$24),-5)</f>
        <v>351500000</v>
      </c>
      <c r="Q25" s="21" t="s">
        <v>1067</v>
      </c>
      <c r="R25" s="28">
        <f>1+ROUND(('Pacotes - Parâmetros'!$B$28-1)*(((A25-1)/29)^'Pacotes - Parâmetros'!$B$29),0)</f>
        <v>212</v>
      </c>
    </row>
    <row r="26" spans="1:18" ht="15" customHeight="1" x14ac:dyDescent="0.3">
      <c r="A26" s="21">
        <v>25</v>
      </c>
      <c r="B26" s="21" t="s">
        <v>1068</v>
      </c>
      <c r="C26" s="22" t="s">
        <v>1019</v>
      </c>
      <c r="D26" s="21" t="s">
        <v>1020</v>
      </c>
      <c r="E26" s="23">
        <v>1</v>
      </c>
      <c r="F26" s="24">
        <v>0.49309999999999998</v>
      </c>
      <c r="G26" s="24">
        <v>0.24138000000000001</v>
      </c>
      <c r="H26" s="24">
        <v>0.13621</v>
      </c>
      <c r="I26" s="24">
        <v>7.0519999999999999E-2</v>
      </c>
      <c r="J26" s="24">
        <v>4.2070000000000003E-2</v>
      </c>
      <c r="K26" s="24">
        <v>1.6719999999999999E-2</v>
      </c>
      <c r="L26" s="24">
        <v>0</v>
      </c>
      <c r="M26" s="25">
        <f t="shared" si="0"/>
        <v>1</v>
      </c>
      <c r="N26" s="26">
        <f>F26*'Pacotes - Parâmetros'!$B$4+G26*'Pacotes - Parâmetros'!$B$5+H26*'Pacotes - Parâmetros'!$B$6+I26*'Pacotes - Parâmetros'!$B$7+J26*'Pacotes - Parâmetros'!$B$8+K26*'Pacotes - Parâmetros'!$B$9+L26*'Pacotes - Parâmetros'!$B$10</f>
        <v>22.589659999999999</v>
      </c>
      <c r="O26" s="27">
        <v>61</v>
      </c>
      <c r="P26" s="28">
        <f>ROUND('Pacotes - Parâmetros'!$B$22*'Pacotes - Parâmetros'!$B$23^(((A26-1)/29)^'Pacotes - Parâmetros'!$B$24),-5)</f>
        <v>451900000</v>
      </c>
      <c r="Q26" s="21" t="s">
        <v>1069</v>
      </c>
      <c r="R26" s="28">
        <f>1+ROUND(('Pacotes - Parâmetros'!$B$28-1)*(((A26-1)/29)^'Pacotes - Parâmetros'!$B$29),0)</f>
        <v>226</v>
      </c>
    </row>
    <row r="27" spans="1:18" ht="15" customHeight="1" x14ac:dyDescent="0.3">
      <c r="A27" s="21">
        <v>26</v>
      </c>
      <c r="B27" s="21" t="s">
        <v>1070</v>
      </c>
      <c r="C27" s="22" t="s">
        <v>1019</v>
      </c>
      <c r="D27" s="21" t="s">
        <v>1020</v>
      </c>
      <c r="E27" s="23">
        <v>1</v>
      </c>
      <c r="F27" s="24">
        <v>0.48448000000000002</v>
      </c>
      <c r="G27" s="24">
        <v>0.24310000000000001</v>
      </c>
      <c r="H27" s="24">
        <v>0.13897000000000001</v>
      </c>
      <c r="I27" s="24">
        <v>7.2410000000000002E-2</v>
      </c>
      <c r="J27" s="24">
        <v>4.3659999999999997E-2</v>
      </c>
      <c r="K27" s="24">
        <v>1.738E-2</v>
      </c>
      <c r="L27" s="24">
        <v>0</v>
      </c>
      <c r="M27" s="25">
        <f t="shared" si="0"/>
        <v>1</v>
      </c>
      <c r="N27" s="26">
        <f>F27*'Pacotes - Parâmetros'!$B$4+G27*'Pacotes - Parâmetros'!$B$5+H27*'Pacotes - Parâmetros'!$B$6+I27*'Pacotes - Parâmetros'!$B$7+J27*'Pacotes - Parâmetros'!$B$8+K27*'Pacotes - Parâmetros'!$B$9+L27*'Pacotes - Parâmetros'!$B$10</f>
        <v>23.304040000000001</v>
      </c>
      <c r="O27" s="27">
        <v>59.8</v>
      </c>
      <c r="P27" s="28">
        <f>ROUND('Pacotes - Parâmetros'!$B$22*'Pacotes - Parâmetros'!$B$23^(((A27-1)/29)^'Pacotes - Parâmetros'!$B$24),-5)</f>
        <v>585900000</v>
      </c>
      <c r="Q27" s="21" t="s">
        <v>1071</v>
      </c>
      <c r="R27" s="28">
        <f>1+ROUND(('Pacotes - Parâmetros'!$B$28-1)*(((A27-1)/29)^'Pacotes - Parâmetros'!$B$29),0)</f>
        <v>240</v>
      </c>
    </row>
    <row r="28" spans="1:18" ht="15" customHeight="1" x14ac:dyDescent="0.3">
      <c r="A28" s="21">
        <v>27</v>
      </c>
      <c r="B28" s="21" t="s">
        <v>1072</v>
      </c>
      <c r="C28" s="22" t="s">
        <v>1019</v>
      </c>
      <c r="D28" s="21" t="s">
        <v>1020</v>
      </c>
      <c r="E28" s="23">
        <v>1</v>
      </c>
      <c r="F28" s="24">
        <v>0.47586000000000001</v>
      </c>
      <c r="G28" s="24">
        <v>0.24482999999999999</v>
      </c>
      <c r="H28" s="24">
        <v>0.14172000000000001</v>
      </c>
      <c r="I28" s="24">
        <v>7.4310000000000001E-2</v>
      </c>
      <c r="J28" s="24">
        <v>4.5240000000000002E-2</v>
      </c>
      <c r="K28" s="24">
        <v>1.8030000000000001E-2</v>
      </c>
      <c r="L28" s="24">
        <v>0</v>
      </c>
      <c r="M28" s="25">
        <f t="shared" si="0"/>
        <v>0.99999000000000016</v>
      </c>
      <c r="N28" s="26">
        <f>F28*'Pacotes - Parâmetros'!$B$4+G28*'Pacotes - Parâmetros'!$B$5+H28*'Pacotes - Parâmetros'!$B$6+I28*'Pacotes - Parâmetros'!$B$7+J28*'Pacotes - Parâmetros'!$B$8+K28*'Pacotes - Parâmetros'!$B$9+L28*'Pacotes - Parâmetros'!$B$10</f>
        <v>24.0123</v>
      </c>
      <c r="O28" s="27">
        <v>58.6</v>
      </c>
      <c r="P28" s="28">
        <f>ROUND('Pacotes - Parâmetros'!$B$22*'Pacotes - Parâmetros'!$B$23^(((A28-1)/29)^'Pacotes - Parâmetros'!$B$24),-5)</f>
        <v>766000000</v>
      </c>
      <c r="Q28" s="21" t="s">
        <v>1073</v>
      </c>
      <c r="R28" s="28">
        <f>1+ROUND(('Pacotes - Parâmetros'!$B$28-1)*(((A28-1)/29)^'Pacotes - Parâmetros'!$B$29),0)</f>
        <v>255</v>
      </c>
    </row>
    <row r="29" spans="1:18" ht="15" customHeight="1" x14ac:dyDescent="0.3">
      <c r="A29" s="21">
        <v>28</v>
      </c>
      <c r="B29" s="21" t="s">
        <v>1074</v>
      </c>
      <c r="C29" s="22" t="s">
        <v>1019</v>
      </c>
      <c r="D29" s="21" t="s">
        <v>1020</v>
      </c>
      <c r="E29" s="23">
        <v>1</v>
      </c>
      <c r="F29" s="24">
        <v>0.46723999999999999</v>
      </c>
      <c r="G29" s="24">
        <v>0.24654999999999999</v>
      </c>
      <c r="H29" s="24">
        <v>0.14448</v>
      </c>
      <c r="I29" s="24">
        <v>7.621E-2</v>
      </c>
      <c r="J29" s="24">
        <v>4.6829999999999997E-2</v>
      </c>
      <c r="K29" s="24">
        <v>1.8689999999999998E-2</v>
      </c>
      <c r="L29" s="24">
        <v>0</v>
      </c>
      <c r="M29" s="25">
        <f t="shared" si="0"/>
        <v>0.99999999999999989</v>
      </c>
      <c r="N29" s="26">
        <f>F29*'Pacotes - Parâmetros'!$B$4+G29*'Pacotes - Parâmetros'!$B$5+H29*'Pacotes - Parâmetros'!$B$6+I29*'Pacotes - Parâmetros'!$B$7+J29*'Pacotes - Parâmetros'!$B$8+K29*'Pacotes - Parâmetros'!$B$9+L29*'Pacotes - Parâmetros'!$B$10</f>
        <v>24.727179999999997</v>
      </c>
      <c r="O29" s="27">
        <v>57.4</v>
      </c>
      <c r="P29" s="28">
        <f>ROUND('Pacotes - Parâmetros'!$B$22*'Pacotes - Parâmetros'!$B$23^(((A29-1)/29)^'Pacotes - Parâmetros'!$B$24),-5)</f>
        <v>1010000000</v>
      </c>
      <c r="Q29" s="21" t="s">
        <v>1075</v>
      </c>
      <c r="R29" s="28">
        <f>1+ROUND(('Pacotes - Parâmetros'!$B$28-1)*(((A29-1)/29)^'Pacotes - Parâmetros'!$B$29),0)</f>
        <v>270</v>
      </c>
    </row>
    <row r="30" spans="1:18" ht="15" customHeight="1" x14ac:dyDescent="0.3">
      <c r="A30" s="21">
        <v>29</v>
      </c>
      <c r="B30" s="21" t="s">
        <v>1076</v>
      </c>
      <c r="C30" s="22" t="s">
        <v>1019</v>
      </c>
      <c r="D30" s="21" t="s">
        <v>1020</v>
      </c>
      <c r="E30" s="23">
        <v>1</v>
      </c>
      <c r="F30" s="24">
        <v>0.45862000000000003</v>
      </c>
      <c r="G30" s="24">
        <v>0.24828</v>
      </c>
      <c r="H30" s="24">
        <v>0.14724000000000001</v>
      </c>
      <c r="I30" s="24">
        <v>7.8100000000000003E-2</v>
      </c>
      <c r="J30" s="24">
        <v>4.8410000000000002E-2</v>
      </c>
      <c r="K30" s="24">
        <v>1.934E-2</v>
      </c>
      <c r="L30" s="24">
        <v>0</v>
      </c>
      <c r="M30" s="25">
        <f t="shared" si="0"/>
        <v>0.99999000000000016</v>
      </c>
      <c r="N30" s="26">
        <f>F30*'Pacotes - Parâmetros'!$B$4+G30*'Pacotes - Parâmetros'!$B$5+H30*'Pacotes - Parâmetros'!$B$6+I30*'Pacotes - Parâmetros'!$B$7+J30*'Pacotes - Parâmetros'!$B$8+K30*'Pacotes - Parâmetros'!$B$9+L30*'Pacotes - Parâmetros'!$B$10</f>
        <v>25.435120000000001</v>
      </c>
      <c r="O30" s="27">
        <v>56.2</v>
      </c>
      <c r="P30" s="28">
        <f>ROUND('Pacotes - Parâmetros'!$B$22*'Pacotes - Parâmetros'!$B$23^(((A30-1)/29)^'Pacotes - Parâmetros'!$B$24),-5)</f>
        <v>1342800000</v>
      </c>
      <c r="Q30" s="21" t="s">
        <v>1077</v>
      </c>
      <c r="R30" s="28">
        <f>1+ROUND(('Pacotes - Parâmetros'!$B$28-1)*(((A30-1)/29)^'Pacotes - Parâmetros'!$B$29),0)</f>
        <v>285</v>
      </c>
    </row>
    <row r="31" spans="1:18" ht="15" customHeight="1" x14ac:dyDescent="0.3">
      <c r="A31" s="21">
        <v>30</v>
      </c>
      <c r="B31" s="21" t="s">
        <v>1078</v>
      </c>
      <c r="C31" s="22" t="s">
        <v>1019</v>
      </c>
      <c r="D31" s="21" t="s">
        <v>1020</v>
      </c>
      <c r="E31" s="23">
        <v>1</v>
      </c>
      <c r="F31" s="24">
        <v>0.45</v>
      </c>
      <c r="G31" s="24">
        <v>0.25</v>
      </c>
      <c r="H31" s="24">
        <v>0.15</v>
      </c>
      <c r="I31" s="24">
        <v>0.08</v>
      </c>
      <c r="J31" s="24">
        <v>0.05</v>
      </c>
      <c r="K31" s="24">
        <v>0.02</v>
      </c>
      <c r="L31" s="24">
        <v>0</v>
      </c>
      <c r="M31" s="25">
        <f t="shared" si="0"/>
        <v>1</v>
      </c>
      <c r="N31" s="26">
        <f>F31*'Pacotes - Parâmetros'!$B$4+G31*'Pacotes - Parâmetros'!$B$5+H31*'Pacotes - Parâmetros'!$B$6+I31*'Pacotes - Parâmetros'!$B$7+J31*'Pacotes - Parâmetros'!$B$8+K31*'Pacotes - Parâmetros'!$B$9+L31*'Pacotes - Parâmetros'!$B$10</f>
        <v>26.15</v>
      </c>
      <c r="O31" s="27">
        <v>55</v>
      </c>
      <c r="P31" s="28">
        <f>ROUND('Pacotes - Parâmetros'!$B$22*'Pacotes - Parâmetros'!$B$23^(((A31-1)/29)^'Pacotes - Parâmetros'!$B$24),-5)</f>
        <v>1800000000</v>
      </c>
      <c r="Q31" s="21" t="s">
        <v>1079</v>
      </c>
      <c r="R31" s="28">
        <f>1+ROUND(('Pacotes - Parâmetros'!$B$28-1)*(((A31-1)/29)^'Pacotes - Parâmetros'!$B$29),0)</f>
        <v>300</v>
      </c>
    </row>
    <row r="32" spans="1:18" ht="15" customHeight="1" x14ac:dyDescent="0.3">
      <c r="A32" s="21">
        <v>31</v>
      </c>
      <c r="B32" s="21" t="s">
        <v>1080</v>
      </c>
      <c r="C32" s="29" t="s">
        <v>1081</v>
      </c>
      <c r="D32" s="21" t="s">
        <v>1082</v>
      </c>
      <c r="E32" s="23">
        <v>1</v>
      </c>
      <c r="F32" s="24">
        <v>0.42</v>
      </c>
      <c r="G32" s="24">
        <v>0.24</v>
      </c>
      <c r="H32" s="24">
        <v>0.16</v>
      </c>
      <c r="I32" s="24">
        <v>9.5000000000000001E-2</v>
      </c>
      <c r="J32" s="24">
        <v>0.06</v>
      </c>
      <c r="K32" s="24">
        <v>2.5000000000000001E-2</v>
      </c>
      <c r="L32" s="24">
        <v>0</v>
      </c>
      <c r="M32" s="25">
        <f t="shared" si="0"/>
        <v>0.99999999999999989</v>
      </c>
      <c r="N32" s="26">
        <f>F32*'Pacotes - Parâmetros'!$B$4+G32*'Pacotes - Parâmetros'!$B$5+H32*'Pacotes - Parâmetros'!$B$6+I32*'Pacotes - Parâmetros'!$B$7+J32*'Pacotes - Parâmetros'!$B$8+K32*'Pacotes - Parâmetros'!$B$9+L32*'Pacotes - Parâmetros'!$B$10</f>
        <v>30.990000000000002</v>
      </c>
      <c r="O32" s="27">
        <v>50</v>
      </c>
      <c r="P32" s="28">
        <f t="shared" ref="P32:P37" si="1">ROUND(N32*O32,-1)</f>
        <v>1550</v>
      </c>
      <c r="Q32" s="30" t="s">
        <v>1083</v>
      </c>
      <c r="R32" s="30"/>
    </row>
    <row r="33" spans="1:18" ht="15" customHeight="1" x14ac:dyDescent="0.3">
      <c r="A33" s="21">
        <v>32</v>
      </c>
      <c r="B33" s="21" t="s">
        <v>1084</v>
      </c>
      <c r="C33" s="29" t="s">
        <v>1081</v>
      </c>
      <c r="D33" s="21" t="s">
        <v>1082</v>
      </c>
      <c r="E33" s="23">
        <v>1</v>
      </c>
      <c r="F33" s="24">
        <v>0.39600000000000002</v>
      </c>
      <c r="G33" s="24">
        <v>0.23599999999999999</v>
      </c>
      <c r="H33" s="24">
        <v>0.16400000000000001</v>
      </c>
      <c r="I33" s="24">
        <v>0.106</v>
      </c>
      <c r="J33" s="24">
        <v>6.8000000000000005E-2</v>
      </c>
      <c r="K33" s="24">
        <v>0.03</v>
      </c>
      <c r="L33" s="24">
        <v>0</v>
      </c>
      <c r="M33" s="25">
        <f t="shared" si="0"/>
        <v>1</v>
      </c>
      <c r="N33" s="26">
        <f>F33*'Pacotes - Parâmetros'!$B$4+G33*'Pacotes - Parâmetros'!$B$5+H33*'Pacotes - Parâmetros'!$B$6+I33*'Pacotes - Parâmetros'!$B$7+J33*'Pacotes - Parâmetros'!$B$8+K33*'Pacotes - Parâmetros'!$B$9+L33*'Pacotes - Parâmetros'!$B$10</f>
        <v>35.264000000000003</v>
      </c>
      <c r="O33" s="27">
        <v>47</v>
      </c>
      <c r="P33" s="28">
        <f t="shared" si="1"/>
        <v>1660</v>
      </c>
      <c r="Q33" s="30" t="s">
        <v>1085</v>
      </c>
      <c r="R33" s="30"/>
    </row>
    <row r="34" spans="1:18" ht="15" customHeight="1" x14ac:dyDescent="0.3">
      <c r="A34" s="21">
        <v>33</v>
      </c>
      <c r="B34" s="21" t="s">
        <v>1086</v>
      </c>
      <c r="C34" s="29" t="s">
        <v>1081</v>
      </c>
      <c r="D34" s="21" t="s">
        <v>1082</v>
      </c>
      <c r="E34" s="23">
        <v>1</v>
      </c>
      <c r="F34" s="24">
        <v>0.372</v>
      </c>
      <c r="G34" s="24">
        <v>0.23200000000000001</v>
      </c>
      <c r="H34" s="24">
        <v>0.16800000000000001</v>
      </c>
      <c r="I34" s="24">
        <v>0.11700000000000001</v>
      </c>
      <c r="J34" s="24">
        <v>7.5999999999999998E-2</v>
      </c>
      <c r="K34" s="24">
        <v>3.5000000000000003E-2</v>
      </c>
      <c r="L34" s="24">
        <v>0</v>
      </c>
      <c r="M34" s="25">
        <f t="shared" ref="M34:M65" si="2">SUM(F34:L34)</f>
        <v>1</v>
      </c>
      <c r="N34" s="26">
        <f>F34*'Pacotes - Parâmetros'!$B$4+G34*'Pacotes - Parâmetros'!$B$5+H34*'Pacotes - Parâmetros'!$B$6+I34*'Pacotes - Parâmetros'!$B$7+J34*'Pacotes - Parâmetros'!$B$8+K34*'Pacotes - Parâmetros'!$B$9+L34*'Pacotes - Parâmetros'!$B$10</f>
        <v>39.538000000000004</v>
      </c>
      <c r="O34" s="27">
        <v>44</v>
      </c>
      <c r="P34" s="28">
        <f t="shared" si="1"/>
        <v>1740</v>
      </c>
      <c r="Q34" s="30" t="s">
        <v>1087</v>
      </c>
      <c r="R34" s="30"/>
    </row>
    <row r="35" spans="1:18" ht="15" customHeight="1" x14ac:dyDescent="0.3">
      <c r="A35" s="21">
        <v>34</v>
      </c>
      <c r="B35" s="21" t="s">
        <v>1088</v>
      </c>
      <c r="C35" s="29" t="s">
        <v>1081</v>
      </c>
      <c r="D35" s="21" t="s">
        <v>1082</v>
      </c>
      <c r="E35" s="23">
        <v>1</v>
      </c>
      <c r="F35" s="24">
        <v>0.34799999999999998</v>
      </c>
      <c r="G35" s="24">
        <v>0.22800000000000001</v>
      </c>
      <c r="H35" s="24">
        <v>0.17199999999999999</v>
      </c>
      <c r="I35" s="24">
        <v>0.128</v>
      </c>
      <c r="J35" s="24">
        <v>8.4000000000000005E-2</v>
      </c>
      <c r="K35" s="24">
        <v>0.04</v>
      </c>
      <c r="L35" s="24">
        <v>0</v>
      </c>
      <c r="M35" s="25">
        <f t="shared" si="2"/>
        <v>1</v>
      </c>
      <c r="N35" s="26">
        <f>F35*'Pacotes - Parâmetros'!$B$4+G35*'Pacotes - Parâmetros'!$B$5+H35*'Pacotes - Parâmetros'!$B$6+I35*'Pacotes - Parâmetros'!$B$7+J35*'Pacotes - Parâmetros'!$B$8+K35*'Pacotes - Parâmetros'!$B$9+L35*'Pacotes - Parâmetros'!$B$10</f>
        <v>43.811999999999998</v>
      </c>
      <c r="O35" s="27">
        <v>41</v>
      </c>
      <c r="P35" s="28">
        <f t="shared" si="1"/>
        <v>1800</v>
      </c>
      <c r="Q35" s="30" t="s">
        <v>1089</v>
      </c>
      <c r="R35" s="30"/>
    </row>
    <row r="36" spans="1:18" ht="15" customHeight="1" x14ac:dyDescent="0.3">
      <c r="A36" s="21">
        <v>35</v>
      </c>
      <c r="B36" s="21" t="s">
        <v>1090</v>
      </c>
      <c r="C36" s="29" t="s">
        <v>1081</v>
      </c>
      <c r="D36" s="21" t="s">
        <v>1082</v>
      </c>
      <c r="E36" s="23">
        <v>1</v>
      </c>
      <c r="F36" s="24">
        <v>0.32400000000000001</v>
      </c>
      <c r="G36" s="24">
        <v>0.224</v>
      </c>
      <c r="H36" s="24">
        <v>0.17599999999999999</v>
      </c>
      <c r="I36" s="24">
        <v>0.13900000000000001</v>
      </c>
      <c r="J36" s="24">
        <v>9.1999999999999998E-2</v>
      </c>
      <c r="K36" s="24">
        <v>4.4999999999999998E-2</v>
      </c>
      <c r="L36" s="24">
        <v>0</v>
      </c>
      <c r="M36" s="25">
        <f t="shared" si="2"/>
        <v>1</v>
      </c>
      <c r="N36" s="26">
        <f>F36*'Pacotes - Parâmetros'!$B$4+G36*'Pacotes - Parâmetros'!$B$5+H36*'Pacotes - Parâmetros'!$B$6+I36*'Pacotes - Parâmetros'!$B$7+J36*'Pacotes - Parâmetros'!$B$8+K36*'Pacotes - Parâmetros'!$B$9+L36*'Pacotes - Parâmetros'!$B$10</f>
        <v>48.085999999999999</v>
      </c>
      <c r="O36" s="27">
        <v>38</v>
      </c>
      <c r="P36" s="28">
        <f t="shared" si="1"/>
        <v>1830</v>
      </c>
      <c r="Q36" s="30" t="s">
        <v>1091</v>
      </c>
      <c r="R36" s="30"/>
    </row>
    <row r="37" spans="1:18" ht="15" customHeight="1" x14ac:dyDescent="0.3">
      <c r="A37" s="21">
        <v>36</v>
      </c>
      <c r="B37" s="21" t="s">
        <v>1092</v>
      </c>
      <c r="C37" s="29" t="s">
        <v>1081</v>
      </c>
      <c r="D37" s="21" t="s">
        <v>1082</v>
      </c>
      <c r="E37" s="23">
        <v>1</v>
      </c>
      <c r="F37" s="24">
        <v>0.3</v>
      </c>
      <c r="G37" s="24">
        <v>0.22</v>
      </c>
      <c r="H37" s="24">
        <v>0.18</v>
      </c>
      <c r="I37" s="24">
        <v>0.15</v>
      </c>
      <c r="J37" s="24">
        <v>0.1</v>
      </c>
      <c r="K37" s="24">
        <v>0.05</v>
      </c>
      <c r="L37" s="24">
        <v>0</v>
      </c>
      <c r="M37" s="25">
        <f t="shared" si="2"/>
        <v>1</v>
      </c>
      <c r="N37" s="26">
        <f>F37*'Pacotes - Parâmetros'!$B$4+G37*'Pacotes - Parâmetros'!$B$5+H37*'Pacotes - Parâmetros'!$B$6+I37*'Pacotes - Parâmetros'!$B$7+J37*'Pacotes - Parâmetros'!$B$8+K37*'Pacotes - Parâmetros'!$B$9+L37*'Pacotes - Parâmetros'!$B$10</f>
        <v>52.36</v>
      </c>
      <c r="O37" s="27">
        <v>35</v>
      </c>
      <c r="P37" s="28">
        <f t="shared" si="1"/>
        <v>1830</v>
      </c>
      <c r="Q37" s="30" t="s">
        <v>1093</v>
      </c>
      <c r="R37" s="30"/>
    </row>
    <row r="38" spans="1:18" ht="15" customHeight="1" x14ac:dyDescent="0.3">
      <c r="A38" s="21">
        <v>37</v>
      </c>
      <c r="B38" s="21" t="s">
        <v>1094</v>
      </c>
      <c r="C38" s="31" t="s">
        <v>1095</v>
      </c>
      <c r="D38" s="21" t="s">
        <v>1095</v>
      </c>
      <c r="E38" s="23">
        <v>1</v>
      </c>
      <c r="F38" s="24">
        <v>0.28000000000000003</v>
      </c>
      <c r="G38" s="24">
        <v>0.22</v>
      </c>
      <c r="H38" s="24">
        <v>0.19</v>
      </c>
      <c r="I38" s="24">
        <v>0.16</v>
      </c>
      <c r="J38" s="24">
        <v>0.11</v>
      </c>
      <c r="K38" s="24">
        <v>0.04</v>
      </c>
      <c r="L38" s="24">
        <v>0</v>
      </c>
      <c r="M38" s="25">
        <f t="shared" si="2"/>
        <v>1</v>
      </c>
      <c r="N38" s="26">
        <f>F38*'Pacotes - Parâmetros'!$B$4+G38*'Pacotes - Parâmetros'!$B$5+H38*'Pacotes - Parâmetros'!$B$6+I38*'Pacotes - Parâmetros'!$B$7+J38*'Pacotes - Parâmetros'!$B$8+K38*'Pacotes - Parâmetros'!$B$9+L38*'Pacotes - Parâmetros'!$B$10</f>
        <v>49.519999999999996</v>
      </c>
      <c r="O38" s="27">
        <v>45</v>
      </c>
      <c r="P38" s="32">
        <v>99</v>
      </c>
      <c r="Q38" s="21" t="s">
        <v>1096</v>
      </c>
      <c r="R38" s="30"/>
    </row>
    <row r="39" spans="1:18" ht="15" customHeight="1" x14ac:dyDescent="0.3">
      <c r="A39" s="21">
        <v>38</v>
      </c>
      <c r="B39" s="21" t="s">
        <v>1097</v>
      </c>
      <c r="C39" s="31" t="s">
        <v>1095</v>
      </c>
      <c r="D39" s="21" t="s">
        <v>1095</v>
      </c>
      <c r="E39" s="23">
        <v>1</v>
      </c>
      <c r="F39" s="24">
        <v>0.25750000000000001</v>
      </c>
      <c r="G39" s="24">
        <v>0.21124999999999999</v>
      </c>
      <c r="H39" s="24">
        <v>0.19125</v>
      </c>
      <c r="I39" s="24">
        <v>0.17125000000000001</v>
      </c>
      <c r="J39" s="24">
        <v>0.12125</v>
      </c>
      <c r="K39" s="24">
        <v>4.7500000000000001E-2</v>
      </c>
      <c r="L39" s="24">
        <v>0</v>
      </c>
      <c r="M39" s="25">
        <f t="shared" si="2"/>
        <v>1</v>
      </c>
      <c r="N39" s="26">
        <f>F39*'Pacotes - Parâmetros'!$B$4+G39*'Pacotes - Parâmetros'!$B$5+H39*'Pacotes - Parâmetros'!$B$6+I39*'Pacotes - Parâmetros'!$B$7+J39*'Pacotes - Parâmetros'!$B$8+K39*'Pacotes - Parâmetros'!$B$9+L39*'Pacotes - Parâmetros'!$B$10</f>
        <v>55.467500000000001</v>
      </c>
      <c r="O39" s="27">
        <v>43.1</v>
      </c>
      <c r="P39" s="32">
        <v>149</v>
      </c>
      <c r="Q39" s="21" t="s">
        <v>1098</v>
      </c>
      <c r="R39" s="30"/>
    </row>
    <row r="40" spans="1:18" ht="15" customHeight="1" x14ac:dyDescent="0.3">
      <c r="A40" s="21">
        <v>39</v>
      </c>
      <c r="B40" s="21" t="s">
        <v>1099</v>
      </c>
      <c r="C40" s="31" t="s">
        <v>1095</v>
      </c>
      <c r="D40" s="21" t="s">
        <v>1095</v>
      </c>
      <c r="E40" s="23">
        <v>1</v>
      </c>
      <c r="F40" s="24">
        <v>0.23499999999999999</v>
      </c>
      <c r="G40" s="24">
        <v>0.20250000000000001</v>
      </c>
      <c r="H40" s="24">
        <v>0.1925</v>
      </c>
      <c r="I40" s="24">
        <v>0.1825</v>
      </c>
      <c r="J40" s="24">
        <v>0.13250000000000001</v>
      </c>
      <c r="K40" s="24">
        <v>5.5E-2</v>
      </c>
      <c r="L40" s="24">
        <v>0</v>
      </c>
      <c r="M40" s="25">
        <f t="shared" si="2"/>
        <v>1</v>
      </c>
      <c r="N40" s="26">
        <f>F40*'Pacotes - Parâmetros'!$B$4+G40*'Pacotes - Parâmetros'!$B$5+H40*'Pacotes - Parâmetros'!$B$6+I40*'Pacotes - Parâmetros'!$B$7+J40*'Pacotes - Parâmetros'!$B$8+K40*'Pacotes - Parâmetros'!$B$9+L40*'Pacotes - Parâmetros'!$B$10</f>
        <v>61.414999999999999</v>
      </c>
      <c r="O40" s="27">
        <v>41.2</v>
      </c>
      <c r="P40" s="32">
        <v>249</v>
      </c>
      <c r="Q40" s="21" t="s">
        <v>1100</v>
      </c>
      <c r="R40" s="30"/>
    </row>
    <row r="41" spans="1:18" ht="15" customHeight="1" x14ac:dyDescent="0.3">
      <c r="A41" s="21">
        <v>40</v>
      </c>
      <c r="B41" s="21" t="s">
        <v>1101</v>
      </c>
      <c r="C41" s="31" t="s">
        <v>1095</v>
      </c>
      <c r="D41" s="21" t="s">
        <v>1095</v>
      </c>
      <c r="E41" s="23">
        <v>1</v>
      </c>
      <c r="F41" s="24">
        <v>0.21249999999999999</v>
      </c>
      <c r="G41" s="24">
        <v>0.19375000000000001</v>
      </c>
      <c r="H41" s="24">
        <v>0.19375000000000001</v>
      </c>
      <c r="I41" s="24">
        <v>0.19375000000000001</v>
      </c>
      <c r="J41" s="24">
        <v>0.14374999999999999</v>
      </c>
      <c r="K41" s="24">
        <v>6.25E-2</v>
      </c>
      <c r="L41" s="24">
        <v>0</v>
      </c>
      <c r="M41" s="25">
        <f t="shared" si="2"/>
        <v>1</v>
      </c>
      <c r="N41" s="26">
        <f>F41*'Pacotes - Parâmetros'!$B$4+G41*'Pacotes - Parâmetros'!$B$5+H41*'Pacotes - Parâmetros'!$B$6+I41*'Pacotes - Parâmetros'!$B$7+J41*'Pacotes - Parâmetros'!$B$8+K41*'Pacotes - Parâmetros'!$B$9+L41*'Pacotes - Parâmetros'!$B$10</f>
        <v>67.362499999999997</v>
      </c>
      <c r="O41" s="27">
        <v>39.4</v>
      </c>
      <c r="P41" s="32">
        <v>399</v>
      </c>
      <c r="Q41" s="21" t="s">
        <v>1102</v>
      </c>
      <c r="R41" s="30"/>
    </row>
    <row r="42" spans="1:18" ht="15" customHeight="1" x14ac:dyDescent="0.3">
      <c r="A42" s="21">
        <v>41</v>
      </c>
      <c r="B42" s="21" t="s">
        <v>1103</v>
      </c>
      <c r="C42" s="31" t="s">
        <v>1095</v>
      </c>
      <c r="D42" s="21" t="s">
        <v>1095</v>
      </c>
      <c r="E42" s="23">
        <v>1</v>
      </c>
      <c r="F42" s="24">
        <v>0.19</v>
      </c>
      <c r="G42" s="24">
        <v>0.185</v>
      </c>
      <c r="H42" s="24">
        <v>0.19500000000000001</v>
      </c>
      <c r="I42" s="24">
        <v>0.20499999999999999</v>
      </c>
      <c r="J42" s="24">
        <v>0.155</v>
      </c>
      <c r="K42" s="24">
        <v>7.0000000000000007E-2</v>
      </c>
      <c r="L42" s="24">
        <v>0</v>
      </c>
      <c r="M42" s="25">
        <f t="shared" si="2"/>
        <v>1</v>
      </c>
      <c r="N42" s="26">
        <f>F42*'Pacotes - Parâmetros'!$B$4+G42*'Pacotes - Parâmetros'!$B$5+H42*'Pacotes - Parâmetros'!$B$6+I42*'Pacotes - Parâmetros'!$B$7+J42*'Pacotes - Parâmetros'!$B$8+K42*'Pacotes - Parâmetros'!$B$9+L42*'Pacotes - Parâmetros'!$B$10</f>
        <v>73.31</v>
      </c>
      <c r="O42" s="27">
        <v>37.5</v>
      </c>
      <c r="P42" s="32">
        <v>649</v>
      </c>
      <c r="Q42" s="21" t="s">
        <v>1104</v>
      </c>
      <c r="R42" s="30"/>
    </row>
    <row r="43" spans="1:18" ht="15" customHeight="1" x14ac:dyDescent="0.3">
      <c r="A43" s="21">
        <v>42</v>
      </c>
      <c r="B43" s="21" t="s">
        <v>1105</v>
      </c>
      <c r="C43" s="31" t="s">
        <v>1095</v>
      </c>
      <c r="D43" s="21" t="s">
        <v>1095</v>
      </c>
      <c r="E43" s="23">
        <v>1</v>
      </c>
      <c r="F43" s="24">
        <v>0.16750000000000001</v>
      </c>
      <c r="G43" s="24">
        <v>0.17624999999999999</v>
      </c>
      <c r="H43" s="24">
        <v>0.19625000000000001</v>
      </c>
      <c r="I43" s="24">
        <v>0.21625</v>
      </c>
      <c r="J43" s="24">
        <v>0.16625000000000001</v>
      </c>
      <c r="K43" s="24">
        <v>7.7499999999999999E-2</v>
      </c>
      <c r="L43" s="24">
        <v>0</v>
      </c>
      <c r="M43" s="25">
        <f t="shared" si="2"/>
        <v>1</v>
      </c>
      <c r="N43" s="26">
        <f>F43*'Pacotes - Parâmetros'!$B$4+G43*'Pacotes - Parâmetros'!$B$5+H43*'Pacotes - Parâmetros'!$B$6+I43*'Pacotes - Parâmetros'!$B$7+J43*'Pacotes - Parâmetros'!$B$8+K43*'Pacotes - Parâmetros'!$B$9+L43*'Pacotes - Parâmetros'!$B$10</f>
        <v>79.257499999999993</v>
      </c>
      <c r="O43" s="27">
        <v>35.6</v>
      </c>
      <c r="P43" s="32">
        <v>999</v>
      </c>
      <c r="Q43" s="21" t="s">
        <v>1106</v>
      </c>
      <c r="R43" s="30"/>
    </row>
    <row r="44" spans="1:18" ht="15" customHeight="1" x14ac:dyDescent="0.3">
      <c r="A44" s="21">
        <v>43</v>
      </c>
      <c r="B44" s="21" t="s">
        <v>1107</v>
      </c>
      <c r="C44" s="31" t="s">
        <v>1095</v>
      </c>
      <c r="D44" s="21" t="s">
        <v>1095</v>
      </c>
      <c r="E44" s="23">
        <v>3</v>
      </c>
      <c r="F44" s="24">
        <v>0.14499999999999999</v>
      </c>
      <c r="G44" s="24">
        <v>0.16750000000000001</v>
      </c>
      <c r="H44" s="24">
        <v>0.19750000000000001</v>
      </c>
      <c r="I44" s="24">
        <v>0.22750000000000001</v>
      </c>
      <c r="J44" s="24">
        <v>0.17749999999999999</v>
      </c>
      <c r="K44" s="24">
        <v>8.5000000000000006E-2</v>
      </c>
      <c r="L44" s="24">
        <v>0</v>
      </c>
      <c r="M44" s="25">
        <f t="shared" si="2"/>
        <v>1</v>
      </c>
      <c r="N44" s="26">
        <f>F44*'Pacotes - Parâmetros'!$B$4+G44*'Pacotes - Parâmetros'!$B$5+H44*'Pacotes - Parâmetros'!$B$6+I44*'Pacotes - Parâmetros'!$B$7+J44*'Pacotes - Parâmetros'!$B$8+K44*'Pacotes - Parâmetros'!$B$9+L44*'Pacotes - Parâmetros'!$B$10</f>
        <v>85.204999999999998</v>
      </c>
      <c r="O44" s="27">
        <v>33.799999999999997</v>
      </c>
      <c r="P44" s="32">
        <v>349</v>
      </c>
      <c r="Q44" s="21" t="s">
        <v>1108</v>
      </c>
      <c r="R44" s="30"/>
    </row>
    <row r="45" spans="1:18" ht="15" customHeight="1" x14ac:dyDescent="0.3">
      <c r="A45" s="21">
        <v>44</v>
      </c>
      <c r="B45" s="21" t="s">
        <v>1109</v>
      </c>
      <c r="C45" s="31" t="s">
        <v>1095</v>
      </c>
      <c r="D45" s="21" t="s">
        <v>1095</v>
      </c>
      <c r="E45" s="23">
        <v>5</v>
      </c>
      <c r="F45" s="24">
        <v>0.1225</v>
      </c>
      <c r="G45" s="24">
        <v>0.15875</v>
      </c>
      <c r="H45" s="24">
        <v>0.19875000000000001</v>
      </c>
      <c r="I45" s="24">
        <v>0.23874999999999999</v>
      </c>
      <c r="J45" s="24">
        <v>0.18875</v>
      </c>
      <c r="K45" s="24">
        <v>9.2499999999999999E-2</v>
      </c>
      <c r="L45" s="24">
        <v>0</v>
      </c>
      <c r="M45" s="25">
        <f t="shared" si="2"/>
        <v>1</v>
      </c>
      <c r="N45" s="26">
        <f>F45*'Pacotes - Parâmetros'!$B$4+G45*'Pacotes - Parâmetros'!$B$5+H45*'Pacotes - Parâmetros'!$B$6+I45*'Pacotes - Parâmetros'!$B$7+J45*'Pacotes - Parâmetros'!$B$8+K45*'Pacotes - Parâmetros'!$B$9+L45*'Pacotes - Parâmetros'!$B$10</f>
        <v>91.152500000000003</v>
      </c>
      <c r="O45" s="27">
        <v>31.9</v>
      </c>
      <c r="P45" s="32">
        <v>799</v>
      </c>
      <c r="Q45" s="21" t="s">
        <v>1110</v>
      </c>
      <c r="R45" s="30"/>
    </row>
    <row r="46" spans="1:18" ht="15" customHeight="1" x14ac:dyDescent="0.3">
      <c r="A46" s="21">
        <v>45</v>
      </c>
      <c r="B46" s="21" t="s">
        <v>1111</v>
      </c>
      <c r="C46" s="31" t="s">
        <v>1095</v>
      </c>
      <c r="D46" s="21" t="s">
        <v>1095</v>
      </c>
      <c r="E46" s="23">
        <v>8</v>
      </c>
      <c r="F46" s="24">
        <v>0.1</v>
      </c>
      <c r="G46" s="24">
        <v>0.15</v>
      </c>
      <c r="H46" s="24">
        <v>0.2</v>
      </c>
      <c r="I46" s="24">
        <v>0.25</v>
      </c>
      <c r="J46" s="24">
        <v>0.2</v>
      </c>
      <c r="K46" s="24">
        <v>0.1</v>
      </c>
      <c r="L46" s="24">
        <v>0</v>
      </c>
      <c r="M46" s="25">
        <f t="shared" si="2"/>
        <v>0.99999999999999989</v>
      </c>
      <c r="N46" s="26">
        <f>F46*'Pacotes - Parâmetros'!$B$4+G46*'Pacotes - Parâmetros'!$B$5+H46*'Pacotes - Parâmetros'!$B$6+I46*'Pacotes - Parâmetros'!$B$7+J46*'Pacotes - Parâmetros'!$B$8+K46*'Pacotes - Parâmetros'!$B$9+L46*'Pacotes - Parâmetros'!$B$10</f>
        <v>97.1</v>
      </c>
      <c r="O46" s="27">
        <v>30</v>
      </c>
      <c r="P46" s="32">
        <v>1499</v>
      </c>
      <c r="Q46" s="21" t="s">
        <v>1112</v>
      </c>
      <c r="R46" s="30"/>
    </row>
    <row r="47" spans="1:18" ht="15" customHeight="1" x14ac:dyDescent="0.3">
      <c r="A47" s="21">
        <v>46</v>
      </c>
      <c r="B47" s="21" t="s">
        <v>1113</v>
      </c>
      <c r="C47" s="33" t="s">
        <v>1114</v>
      </c>
      <c r="D47" s="21" t="s">
        <v>1115</v>
      </c>
      <c r="E47" s="23">
        <v>1</v>
      </c>
      <c r="F47" s="24">
        <v>0.4</v>
      </c>
      <c r="G47" s="24">
        <v>0.3</v>
      </c>
      <c r="H47" s="24">
        <v>0.2</v>
      </c>
      <c r="I47" s="24">
        <v>0.08</v>
      </c>
      <c r="J47" s="24">
        <v>0.02</v>
      </c>
      <c r="K47" s="24">
        <v>0</v>
      </c>
      <c r="L47" s="24">
        <v>0</v>
      </c>
      <c r="M47" s="25">
        <f t="shared" si="2"/>
        <v>0.99999999999999989</v>
      </c>
      <c r="N47" s="26">
        <f>F47*'Pacotes - Parâmetros'!$B$4+G47*'Pacotes - Parâmetros'!$B$5+H47*'Pacotes - Parâmetros'!$B$6+I47*'Pacotes - Parâmetros'!$B$7+J47*'Pacotes - Parâmetros'!$B$8+K47*'Pacotes - Parâmetros'!$B$9+L47*'Pacotes - Parâmetros'!$B$10</f>
        <v>12.8</v>
      </c>
      <c r="O47" s="23"/>
      <c r="P47" s="34" t="s">
        <v>1115</v>
      </c>
      <c r="Q47" s="21" t="s">
        <v>1116</v>
      </c>
      <c r="R47" s="30"/>
    </row>
    <row r="48" spans="1:18" ht="15" customHeight="1" x14ac:dyDescent="0.3">
      <c r="A48" s="21">
        <v>47</v>
      </c>
      <c r="B48" s="21" t="s">
        <v>1117</v>
      </c>
      <c r="C48" s="33" t="s">
        <v>1114</v>
      </c>
      <c r="D48" s="21" t="s">
        <v>1115</v>
      </c>
      <c r="E48" s="23">
        <v>1</v>
      </c>
      <c r="F48" s="24">
        <v>0.8</v>
      </c>
      <c r="G48" s="24">
        <v>0.15</v>
      </c>
      <c r="H48" s="24">
        <v>0.04</v>
      </c>
      <c r="I48" s="24">
        <v>8.9999999999999993E-3</v>
      </c>
      <c r="J48" s="24">
        <v>1E-3</v>
      </c>
      <c r="K48" s="24">
        <v>0</v>
      </c>
      <c r="L48" s="24">
        <v>0</v>
      </c>
      <c r="M48" s="25">
        <f t="shared" si="2"/>
        <v>1</v>
      </c>
      <c r="N48" s="26">
        <f>F48*'Pacotes - Parâmetros'!$B$4+G48*'Pacotes - Parâmetros'!$B$5+H48*'Pacotes - Parâmetros'!$B$6+I48*'Pacotes - Parâmetros'!$B$7+J48*'Pacotes - Parâmetros'!$B$8+K48*'Pacotes - Parâmetros'!$B$9+L48*'Pacotes - Parâmetros'!$B$10</f>
        <v>3.02</v>
      </c>
      <c r="O48" s="23"/>
      <c r="P48" s="34" t="s">
        <v>1115</v>
      </c>
      <c r="Q48" s="21" t="s">
        <v>1118</v>
      </c>
      <c r="R48" s="30"/>
    </row>
    <row r="49" spans="1:18" ht="15" customHeight="1" x14ac:dyDescent="0.3">
      <c r="A49" s="21">
        <v>48</v>
      </c>
      <c r="B49" s="21" t="s">
        <v>1119</v>
      </c>
      <c r="C49" s="33" t="s">
        <v>1114</v>
      </c>
      <c r="D49" s="21" t="s">
        <v>1115</v>
      </c>
      <c r="E49" s="23">
        <v>1</v>
      </c>
      <c r="F49" s="24">
        <v>0.3</v>
      </c>
      <c r="G49" s="24">
        <v>0.3</v>
      </c>
      <c r="H49" s="24">
        <v>0.25</v>
      </c>
      <c r="I49" s="24">
        <v>0.1</v>
      </c>
      <c r="J49" s="24">
        <v>0.04</v>
      </c>
      <c r="K49" s="24">
        <v>0.01</v>
      </c>
      <c r="L49" s="24">
        <v>0</v>
      </c>
      <c r="M49" s="25">
        <f t="shared" si="2"/>
        <v>1</v>
      </c>
      <c r="N49" s="26">
        <f>F49*'Pacotes - Parâmetros'!$B$4+G49*'Pacotes - Parâmetros'!$B$5+H49*'Pacotes - Parâmetros'!$B$6+I49*'Pacotes - Parâmetros'!$B$7+J49*'Pacotes - Parâmetros'!$B$8+K49*'Pacotes - Parâmetros'!$B$9+L49*'Pacotes - Parâmetros'!$B$10</f>
        <v>22.6</v>
      </c>
      <c r="O49" s="23"/>
      <c r="P49" s="34" t="s">
        <v>1115</v>
      </c>
      <c r="Q49" s="21" t="s">
        <v>1120</v>
      </c>
      <c r="R49" s="30"/>
    </row>
    <row r="50" spans="1:18" ht="15" customHeight="1" x14ac:dyDescent="0.3">
      <c r="A50" s="21">
        <v>49</v>
      </c>
      <c r="B50" s="21" t="s">
        <v>1121</v>
      </c>
      <c r="C50" s="33" t="s">
        <v>1114</v>
      </c>
      <c r="D50" s="21" t="s">
        <v>1122</v>
      </c>
      <c r="E50" s="23">
        <v>1</v>
      </c>
      <c r="F50" s="24">
        <v>0.55000000000000004</v>
      </c>
      <c r="G50" s="24">
        <v>0.24</v>
      </c>
      <c r="H50" s="24">
        <v>0.12</v>
      </c>
      <c r="I50" s="24">
        <v>0.06</v>
      </c>
      <c r="J50" s="24">
        <v>2.5000000000000001E-2</v>
      </c>
      <c r="K50" s="24">
        <v>5.0000000000000001E-3</v>
      </c>
      <c r="L50" s="24">
        <v>0</v>
      </c>
      <c r="M50" s="25">
        <f t="shared" si="2"/>
        <v>1</v>
      </c>
      <c r="N50" s="26">
        <f>F50*'Pacotes - Parâmetros'!$B$4+G50*'Pacotes - Parâmetros'!$B$5+H50*'Pacotes - Parâmetros'!$B$6+I50*'Pacotes - Parâmetros'!$B$7+J50*'Pacotes - Parâmetros'!$B$8+K50*'Pacotes - Parâmetros'!$B$9+L50*'Pacotes - Parâmetros'!$B$10</f>
        <v>13.4</v>
      </c>
      <c r="O50" s="23"/>
      <c r="P50" s="34" t="s">
        <v>1123</v>
      </c>
      <c r="Q50" s="21" t="s">
        <v>1124</v>
      </c>
      <c r="R50" s="30"/>
    </row>
    <row r="51" spans="1:18" ht="15" customHeight="1" x14ac:dyDescent="0.3">
      <c r="A51" s="21">
        <v>50</v>
      </c>
      <c r="B51" s="21" t="s">
        <v>1125</v>
      </c>
      <c r="C51" s="33" t="s">
        <v>1114</v>
      </c>
      <c r="D51" s="21" t="s">
        <v>1122</v>
      </c>
      <c r="E51" s="23">
        <v>1</v>
      </c>
      <c r="F51" s="24">
        <v>0.2</v>
      </c>
      <c r="G51" s="24">
        <v>0.2</v>
      </c>
      <c r="H51" s="24">
        <v>0.2</v>
      </c>
      <c r="I51" s="24">
        <v>0.2</v>
      </c>
      <c r="J51" s="24">
        <v>0.15</v>
      </c>
      <c r="K51" s="24">
        <v>0.05</v>
      </c>
      <c r="L51" s="24">
        <v>0</v>
      </c>
      <c r="M51" s="25">
        <f t="shared" si="2"/>
        <v>1</v>
      </c>
      <c r="N51" s="26">
        <f>F51*'Pacotes - Parâmetros'!$B$4+G51*'Pacotes - Parâmetros'!$B$5+H51*'Pacotes - Parâmetros'!$B$6+I51*'Pacotes - Parâmetros'!$B$7+J51*'Pacotes - Parâmetros'!$B$8+K51*'Pacotes - Parâmetros'!$B$9+L51*'Pacotes - Parâmetros'!$B$10</f>
        <v>62.5</v>
      </c>
      <c r="O51" s="23"/>
      <c r="P51" s="34" t="s">
        <v>1123</v>
      </c>
      <c r="Q51" s="21" t="s">
        <v>1126</v>
      </c>
      <c r="R51" s="30"/>
    </row>
    <row r="52" spans="1:18" ht="15" customHeight="1" x14ac:dyDescent="0.3">
      <c r="A52" s="21">
        <v>51</v>
      </c>
      <c r="B52" s="21" t="s">
        <v>1127</v>
      </c>
      <c r="C52" s="33" t="s">
        <v>1114</v>
      </c>
      <c r="D52" s="21" t="s">
        <v>1115</v>
      </c>
      <c r="E52" s="23">
        <v>1</v>
      </c>
      <c r="F52" s="24">
        <v>0.25</v>
      </c>
      <c r="G52" s="24">
        <v>0.25</v>
      </c>
      <c r="H52" s="24">
        <v>0.25</v>
      </c>
      <c r="I52" s="24">
        <v>0.15</v>
      </c>
      <c r="J52" s="24">
        <v>0.08</v>
      </c>
      <c r="K52" s="24">
        <v>0.02</v>
      </c>
      <c r="L52" s="24">
        <v>0</v>
      </c>
      <c r="M52" s="25">
        <f t="shared" si="2"/>
        <v>1</v>
      </c>
      <c r="N52" s="26">
        <f>F52*'Pacotes - Parâmetros'!$B$4+G52*'Pacotes - Parâmetros'!$B$5+H52*'Pacotes - Parâmetros'!$B$6+I52*'Pacotes - Parâmetros'!$B$7+J52*'Pacotes - Parâmetros'!$B$8+K52*'Pacotes - Parâmetros'!$B$9+L52*'Pacotes - Parâmetros'!$B$10</f>
        <v>35.75</v>
      </c>
      <c r="O52" s="23"/>
      <c r="P52" s="34" t="s">
        <v>1115</v>
      </c>
      <c r="Q52" s="21" t="s">
        <v>1128</v>
      </c>
      <c r="R52" s="30"/>
    </row>
    <row r="53" spans="1:18" ht="15" customHeight="1" x14ac:dyDescent="0.3">
      <c r="A53" s="21">
        <v>52</v>
      </c>
      <c r="B53" s="21" t="s">
        <v>1129</v>
      </c>
      <c r="C53" s="33" t="s">
        <v>1114</v>
      </c>
      <c r="D53" s="21" t="s">
        <v>1130</v>
      </c>
      <c r="E53" s="23">
        <v>1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1</v>
      </c>
      <c r="M53" s="25">
        <f t="shared" si="2"/>
        <v>1</v>
      </c>
      <c r="N53" s="26">
        <f>F53*'Pacotes - Parâmetros'!$B$4+G53*'Pacotes - Parâmetros'!$B$5+H53*'Pacotes - Parâmetros'!$B$6+I53*'Pacotes - Parâmetros'!$B$7+J53*'Pacotes - Parâmetros'!$B$8+K53*'Pacotes - Parâmetros'!$B$9+L53*'Pacotes - Parâmetros'!$B$10</f>
        <v>10000</v>
      </c>
      <c r="O53" s="23"/>
      <c r="P53" s="34" t="s">
        <v>1123</v>
      </c>
      <c r="Q53" s="21" t="s">
        <v>1131</v>
      </c>
      <c r="R53" s="30"/>
    </row>
    <row r="54" spans="1:18" ht="15" customHeight="1" x14ac:dyDescent="0.3">
      <c r="A54" s="21">
        <v>53</v>
      </c>
      <c r="B54" s="21" t="s">
        <v>1132</v>
      </c>
      <c r="C54" s="33" t="s">
        <v>1114</v>
      </c>
      <c r="D54" s="21" t="s">
        <v>1122</v>
      </c>
      <c r="E54" s="23">
        <v>3</v>
      </c>
      <c r="F54" s="24">
        <v>0.4</v>
      </c>
      <c r="G54" s="24">
        <v>0.25</v>
      </c>
      <c r="H54" s="24">
        <v>0.18</v>
      </c>
      <c r="I54" s="24">
        <v>0.1</v>
      </c>
      <c r="J54" s="24">
        <v>0.05</v>
      </c>
      <c r="K54" s="24">
        <v>0.02</v>
      </c>
      <c r="L54" s="24">
        <v>0</v>
      </c>
      <c r="M54" s="25">
        <f t="shared" si="2"/>
        <v>1</v>
      </c>
      <c r="N54" s="26">
        <f>F54*'Pacotes - Parâmetros'!$B$4+G54*'Pacotes - Parâmetros'!$B$5+H54*'Pacotes - Parâmetros'!$B$6+I54*'Pacotes - Parâmetros'!$B$7+J54*'Pacotes - Parâmetros'!$B$8+K54*'Pacotes - Parâmetros'!$B$9+L54*'Pacotes - Parâmetros'!$B$10</f>
        <v>27.64</v>
      </c>
      <c r="O54" s="23"/>
      <c r="P54" s="34" t="s">
        <v>1123</v>
      </c>
      <c r="Q54" s="21" t="s">
        <v>1133</v>
      </c>
      <c r="R54" s="30"/>
    </row>
    <row r="55" spans="1:18" ht="15" customHeight="1" x14ac:dyDescent="0.3">
      <c r="A55" s="21">
        <v>54</v>
      </c>
      <c r="B55" s="21" t="s">
        <v>1134</v>
      </c>
      <c r="C55" s="33" t="s">
        <v>1114</v>
      </c>
      <c r="D55" s="21" t="s">
        <v>1135</v>
      </c>
      <c r="E55" s="23">
        <v>1</v>
      </c>
      <c r="F55" s="24">
        <v>0.3</v>
      </c>
      <c r="G55" s="24">
        <v>0.25</v>
      </c>
      <c r="H55" s="24">
        <v>0.2</v>
      </c>
      <c r="I55" s="24">
        <v>0.15</v>
      </c>
      <c r="J55" s="24">
        <v>0.08</v>
      </c>
      <c r="K55" s="24">
        <v>0.02</v>
      </c>
      <c r="L55" s="24">
        <v>0</v>
      </c>
      <c r="M55" s="25">
        <f t="shared" si="2"/>
        <v>1</v>
      </c>
      <c r="N55" s="26">
        <f>F55*'Pacotes - Parâmetros'!$B$4+G55*'Pacotes - Parâmetros'!$B$5+H55*'Pacotes - Parâmetros'!$B$6+I55*'Pacotes - Parâmetros'!$B$7+J55*'Pacotes - Parâmetros'!$B$8+K55*'Pacotes - Parâmetros'!$B$9+L55*'Pacotes - Parâmetros'!$B$10</f>
        <v>34.9</v>
      </c>
      <c r="O55" s="23"/>
      <c r="P55" s="34" t="s">
        <v>1115</v>
      </c>
      <c r="Q55" s="21" t="s">
        <v>1136</v>
      </c>
      <c r="R55" s="30"/>
    </row>
    <row r="56" spans="1:18" ht="15" customHeight="1" x14ac:dyDescent="0.3">
      <c r="A56" s="21">
        <v>55</v>
      </c>
      <c r="B56" s="21" t="s">
        <v>1137</v>
      </c>
      <c r="C56" s="33" t="s">
        <v>1114</v>
      </c>
      <c r="D56" s="21" t="s">
        <v>1138</v>
      </c>
      <c r="E56" s="23">
        <v>1</v>
      </c>
      <c r="F56" s="24">
        <v>0.35</v>
      </c>
      <c r="G56" s="24">
        <v>0.28000000000000003</v>
      </c>
      <c r="H56" s="24">
        <v>0.2</v>
      </c>
      <c r="I56" s="24">
        <v>0.12</v>
      </c>
      <c r="J56" s="24">
        <v>0.04</v>
      </c>
      <c r="K56" s="24">
        <v>0.01</v>
      </c>
      <c r="L56" s="24">
        <v>0</v>
      </c>
      <c r="M56" s="25">
        <f t="shared" si="2"/>
        <v>1</v>
      </c>
      <c r="N56" s="26">
        <f>F56*'Pacotes - Parâmetros'!$B$4+G56*'Pacotes - Parâmetros'!$B$5+H56*'Pacotes - Parâmetros'!$B$6+I56*'Pacotes - Parâmetros'!$B$7+J56*'Pacotes - Parâmetros'!$B$8+K56*'Pacotes - Parâmetros'!$B$9+L56*'Pacotes - Parâmetros'!$B$10</f>
        <v>22.630000000000003</v>
      </c>
      <c r="O56" s="23"/>
      <c r="P56" s="34" t="s">
        <v>1123</v>
      </c>
      <c r="Q56" s="21" t="s">
        <v>1139</v>
      </c>
      <c r="R56" s="30"/>
    </row>
    <row r="57" spans="1:18" ht="15" customHeight="1" x14ac:dyDescent="0.3">
      <c r="A57" s="21">
        <v>56</v>
      </c>
      <c r="B57" s="21" t="s">
        <v>1140</v>
      </c>
      <c r="C57" s="33" t="s">
        <v>1114</v>
      </c>
      <c r="D57" s="21" t="s">
        <v>1138</v>
      </c>
      <c r="E57" s="23">
        <v>1</v>
      </c>
      <c r="F57" s="24">
        <v>0.35</v>
      </c>
      <c r="G57" s="24">
        <v>0.27</v>
      </c>
      <c r="H57" s="24">
        <v>0.2</v>
      </c>
      <c r="I57" s="24">
        <v>0.12</v>
      </c>
      <c r="J57" s="24">
        <v>0.05</v>
      </c>
      <c r="K57" s="24">
        <v>0.01</v>
      </c>
      <c r="L57" s="24">
        <v>0</v>
      </c>
      <c r="M57" s="25">
        <f t="shared" si="2"/>
        <v>1</v>
      </c>
      <c r="N57" s="26">
        <f>F57*'Pacotes - Parâmetros'!$B$4+G57*'Pacotes - Parâmetros'!$B$5+H57*'Pacotes - Parâmetros'!$B$6+I57*'Pacotes - Parâmetros'!$B$7+J57*'Pacotes - Parâmetros'!$B$8+K57*'Pacotes - Parâmetros'!$B$9+L57*'Pacotes - Parâmetros'!$B$10</f>
        <v>24.07</v>
      </c>
      <c r="O57" s="23"/>
      <c r="P57" s="34" t="s">
        <v>1123</v>
      </c>
      <c r="Q57" s="21" t="s">
        <v>1141</v>
      </c>
      <c r="R57" s="30"/>
    </row>
    <row r="58" spans="1:18" ht="15" customHeight="1" x14ac:dyDescent="0.3">
      <c r="A58" s="21">
        <v>57</v>
      </c>
      <c r="B58" s="21" t="s">
        <v>1142</v>
      </c>
      <c r="C58" s="33" t="s">
        <v>1114</v>
      </c>
      <c r="D58" s="21" t="s">
        <v>1138</v>
      </c>
      <c r="E58" s="23">
        <v>1</v>
      </c>
      <c r="F58" s="24">
        <v>0.32</v>
      </c>
      <c r="G58" s="24">
        <v>0.28000000000000003</v>
      </c>
      <c r="H58" s="24">
        <v>0.2</v>
      </c>
      <c r="I58" s="24">
        <v>0.13</v>
      </c>
      <c r="J58" s="24">
        <v>0.06</v>
      </c>
      <c r="K58" s="24">
        <v>0.01</v>
      </c>
      <c r="L58" s="24">
        <v>0</v>
      </c>
      <c r="M58" s="25">
        <f t="shared" si="2"/>
        <v>1</v>
      </c>
      <c r="N58" s="26">
        <f>F58*'Pacotes - Parâmetros'!$B$4+G58*'Pacotes - Parâmetros'!$B$5+H58*'Pacotes - Parâmetros'!$B$6+I58*'Pacotes - Parâmetros'!$B$7+J58*'Pacotes - Parâmetros'!$B$8+K58*'Pacotes - Parâmetros'!$B$9+L58*'Pacotes - Parâmetros'!$B$10</f>
        <v>26.1</v>
      </c>
      <c r="O58" s="23"/>
      <c r="P58" s="34" t="s">
        <v>1123</v>
      </c>
      <c r="Q58" s="21" t="s">
        <v>1143</v>
      </c>
      <c r="R58" s="30"/>
    </row>
    <row r="59" spans="1:18" ht="15" customHeight="1" x14ac:dyDescent="0.3">
      <c r="A59" s="21">
        <v>58</v>
      </c>
      <c r="B59" s="21" t="s">
        <v>1144</v>
      </c>
      <c r="C59" s="33" t="s">
        <v>1114</v>
      </c>
      <c r="D59" s="21" t="s">
        <v>1138</v>
      </c>
      <c r="E59" s="23">
        <v>1</v>
      </c>
      <c r="F59" s="24">
        <v>0.35</v>
      </c>
      <c r="G59" s="24">
        <v>0.27</v>
      </c>
      <c r="H59" s="24">
        <v>0.2</v>
      </c>
      <c r="I59" s="24">
        <v>0.12</v>
      </c>
      <c r="J59" s="24">
        <v>0.05</v>
      </c>
      <c r="K59" s="24">
        <v>0.01</v>
      </c>
      <c r="L59" s="24">
        <v>0</v>
      </c>
      <c r="M59" s="25">
        <f t="shared" si="2"/>
        <v>1</v>
      </c>
      <c r="N59" s="26">
        <f>F59*'Pacotes - Parâmetros'!$B$4+G59*'Pacotes - Parâmetros'!$B$5+H59*'Pacotes - Parâmetros'!$B$6+I59*'Pacotes - Parâmetros'!$B$7+J59*'Pacotes - Parâmetros'!$B$8+K59*'Pacotes - Parâmetros'!$B$9+L59*'Pacotes - Parâmetros'!$B$10</f>
        <v>24.07</v>
      </c>
      <c r="O59" s="23"/>
      <c r="P59" s="34" t="s">
        <v>1123</v>
      </c>
      <c r="Q59" s="21" t="s">
        <v>1145</v>
      </c>
      <c r="R59" s="30"/>
    </row>
    <row r="60" spans="1:18" ht="15" customHeight="1" x14ac:dyDescent="0.3">
      <c r="A60" s="21">
        <v>59</v>
      </c>
      <c r="B60" s="21" t="s">
        <v>1146</v>
      </c>
      <c r="C60" s="33" t="s">
        <v>1114</v>
      </c>
      <c r="D60" s="21" t="s">
        <v>1115</v>
      </c>
      <c r="E60" s="23">
        <v>1</v>
      </c>
      <c r="F60" s="24">
        <v>0.2</v>
      </c>
      <c r="G60" s="24">
        <v>0.3</v>
      </c>
      <c r="H60" s="24">
        <v>0.25</v>
      </c>
      <c r="I60" s="24">
        <v>0.15</v>
      </c>
      <c r="J60" s="24">
        <v>0.08</v>
      </c>
      <c r="K60" s="24">
        <v>0.02</v>
      </c>
      <c r="L60" s="24">
        <v>0</v>
      </c>
      <c r="M60" s="25">
        <f t="shared" si="2"/>
        <v>1</v>
      </c>
      <c r="N60" s="26">
        <f>F60*'Pacotes - Parâmetros'!$B$4+G60*'Pacotes - Parâmetros'!$B$5+H60*'Pacotes - Parâmetros'!$B$6+I60*'Pacotes - Parâmetros'!$B$7+J60*'Pacotes - Parâmetros'!$B$8+K60*'Pacotes - Parâmetros'!$B$9+L60*'Pacotes - Parâmetros'!$B$10</f>
        <v>36</v>
      </c>
      <c r="O60" s="23"/>
      <c r="P60" s="34" t="s">
        <v>1115</v>
      </c>
      <c r="Q60" s="21" t="s">
        <v>1147</v>
      </c>
      <c r="R60" s="30"/>
    </row>
    <row r="61" spans="1:18" ht="15" customHeight="1" x14ac:dyDescent="0.3">
      <c r="A61" s="21">
        <v>60</v>
      </c>
      <c r="B61" s="21" t="s">
        <v>1148</v>
      </c>
      <c r="C61" s="33" t="s">
        <v>1114</v>
      </c>
      <c r="D61" s="21" t="s">
        <v>1115</v>
      </c>
      <c r="E61" s="23">
        <v>1</v>
      </c>
      <c r="F61" s="24">
        <v>0.3</v>
      </c>
      <c r="G61" s="24">
        <v>0.3</v>
      </c>
      <c r="H61" s="24">
        <v>0.22</v>
      </c>
      <c r="I61" s="24">
        <v>0.12</v>
      </c>
      <c r="J61" s="24">
        <v>0.05</v>
      </c>
      <c r="K61" s="24">
        <v>0.01</v>
      </c>
      <c r="L61" s="24">
        <v>0</v>
      </c>
      <c r="M61" s="25">
        <f t="shared" si="2"/>
        <v>1</v>
      </c>
      <c r="N61" s="26">
        <f>F61*'Pacotes - Parâmetros'!$B$4+G61*'Pacotes - Parâmetros'!$B$5+H61*'Pacotes - Parâmetros'!$B$6+I61*'Pacotes - Parâmetros'!$B$7+J61*'Pacotes - Parâmetros'!$B$8+K61*'Pacotes - Parâmetros'!$B$9+L61*'Pacotes - Parâmetros'!$B$10</f>
        <v>24.56</v>
      </c>
      <c r="O61" s="23"/>
      <c r="P61" s="34" t="s">
        <v>1115</v>
      </c>
      <c r="Q61" s="21" t="s">
        <v>1149</v>
      </c>
      <c r="R61" s="30"/>
    </row>
    <row r="62" spans="1:18" x14ac:dyDescent="0.3">
      <c r="A62" s="21">
        <v>61</v>
      </c>
      <c r="B62" s="21" t="s">
        <v>1150</v>
      </c>
      <c r="C62" s="33" t="s">
        <v>1114</v>
      </c>
      <c r="D62" s="21" t="s">
        <v>1138</v>
      </c>
      <c r="E62" s="23">
        <v>1</v>
      </c>
      <c r="F62" s="24">
        <v>0.35</v>
      </c>
      <c r="G62" s="24">
        <v>0.27</v>
      </c>
      <c r="H62" s="24">
        <v>0.2</v>
      </c>
      <c r="I62" s="24">
        <v>0.12</v>
      </c>
      <c r="J62" s="24">
        <v>0.05</v>
      </c>
      <c r="K62" s="24">
        <v>0.01</v>
      </c>
      <c r="L62" s="24">
        <v>0</v>
      </c>
      <c r="M62" s="25">
        <f t="shared" si="2"/>
        <v>1</v>
      </c>
      <c r="N62" s="26">
        <f>F62*'Pacotes - Parâmetros'!$B$4+G62*'Pacotes - Parâmetros'!$B$5+H62*'Pacotes - Parâmetros'!$B$6+I62*'Pacotes - Parâmetros'!$B$7+J62*'Pacotes - Parâmetros'!$B$8+K62*'Pacotes - Parâmetros'!$B$9+L62*'Pacotes - Parâmetros'!$B$10</f>
        <v>24.07</v>
      </c>
      <c r="O62" s="30"/>
      <c r="P62" s="34" t="s">
        <v>1123</v>
      </c>
      <c r="Q62" s="21" t="s">
        <v>1151</v>
      </c>
      <c r="R62" s="30"/>
    </row>
    <row r="63" spans="1:18" x14ac:dyDescent="0.3">
      <c r="A63" s="21">
        <v>62</v>
      </c>
      <c r="B63" s="21" t="s">
        <v>1152</v>
      </c>
      <c r="C63" s="33" t="s">
        <v>1114</v>
      </c>
      <c r="D63" s="21" t="s">
        <v>1138</v>
      </c>
      <c r="E63" s="23">
        <v>1</v>
      </c>
      <c r="F63" s="24">
        <v>0.35</v>
      </c>
      <c r="G63" s="24">
        <v>0.27</v>
      </c>
      <c r="H63" s="24">
        <v>0.2</v>
      </c>
      <c r="I63" s="24">
        <v>0.12</v>
      </c>
      <c r="J63" s="24">
        <v>0.05</v>
      </c>
      <c r="K63" s="24">
        <v>0.01</v>
      </c>
      <c r="L63" s="24">
        <v>0</v>
      </c>
      <c r="M63" s="25">
        <f t="shared" si="2"/>
        <v>1</v>
      </c>
      <c r="N63" s="26">
        <f>F63*'Pacotes - Parâmetros'!$B$4+G63*'Pacotes - Parâmetros'!$B$5+H63*'Pacotes - Parâmetros'!$B$6+I63*'Pacotes - Parâmetros'!$B$7+J63*'Pacotes - Parâmetros'!$B$8+K63*'Pacotes - Parâmetros'!$B$9+L63*'Pacotes - Parâmetros'!$B$10</f>
        <v>24.07</v>
      </c>
      <c r="O63" s="30"/>
      <c r="P63" s="34" t="s">
        <v>1123</v>
      </c>
      <c r="Q63" s="21" t="s">
        <v>1153</v>
      </c>
      <c r="R63" s="30"/>
    </row>
  </sheetData>
  <autoFilter ref="A1:R63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7"/>
  <sheetViews>
    <sheetView workbookViewId="0">
      <pane ySplit="2" topLeftCell="A6" activePane="bottomLeft" state="frozen"/>
      <selection pane="bottomLeft"/>
    </sheetView>
  </sheetViews>
  <sheetFormatPr defaultRowHeight="14.4" x14ac:dyDescent="0.3"/>
  <cols>
    <col min="1" max="1" width="30" customWidth="1"/>
    <col min="2" max="2" width="25" customWidth="1"/>
    <col min="3" max="3" width="45" customWidth="1"/>
  </cols>
  <sheetData>
    <row r="1" spans="1:3" ht="54" x14ac:dyDescent="0.3">
      <c r="A1" s="54" t="s">
        <v>1154</v>
      </c>
      <c r="B1" s="54"/>
      <c r="C1" s="54"/>
    </row>
    <row r="2" spans="1:3" x14ac:dyDescent="0.3">
      <c r="A2" s="55" t="s">
        <v>1155</v>
      </c>
      <c r="B2" s="55" t="s">
        <v>1156</v>
      </c>
      <c r="C2" s="55" t="s">
        <v>1157</v>
      </c>
    </row>
    <row r="3" spans="1:3" x14ac:dyDescent="0.3">
      <c r="A3" s="56"/>
      <c r="B3" s="56"/>
      <c r="C3" s="56"/>
    </row>
    <row r="4" spans="1:3" x14ac:dyDescent="0.3">
      <c r="A4" s="57" t="s">
        <v>1158</v>
      </c>
      <c r="B4" s="57"/>
      <c r="C4" s="57"/>
    </row>
    <row r="5" spans="1:3" x14ac:dyDescent="0.3">
      <c r="A5" s="56" t="s">
        <v>1159</v>
      </c>
      <c r="B5" s="56">
        <v>15</v>
      </c>
      <c r="C5" s="56" t="s">
        <v>1160</v>
      </c>
    </row>
    <row r="6" spans="1:3" x14ac:dyDescent="0.3">
      <c r="A6" s="56" t="s">
        <v>1161</v>
      </c>
      <c r="B6" s="56">
        <v>300</v>
      </c>
      <c r="C6" s="56" t="s">
        <v>1162</v>
      </c>
    </row>
    <row r="7" spans="1:3" x14ac:dyDescent="0.3">
      <c r="A7" s="56" t="s">
        <v>1163</v>
      </c>
      <c r="B7" s="56">
        <v>15</v>
      </c>
      <c r="C7" s="56" t="s">
        <v>1164</v>
      </c>
    </row>
    <row r="8" spans="1:3" ht="28.8" x14ac:dyDescent="0.3">
      <c r="A8" s="56" t="s">
        <v>1165</v>
      </c>
      <c r="B8" s="56">
        <v>7</v>
      </c>
      <c r="C8" s="56" t="s">
        <v>1166</v>
      </c>
    </row>
    <row r="9" spans="1:3" ht="28.8" x14ac:dyDescent="0.3">
      <c r="A9" s="56" t="s">
        <v>1167</v>
      </c>
      <c r="B9" s="56">
        <v>1</v>
      </c>
      <c r="C9" s="56" t="s">
        <v>1168</v>
      </c>
    </row>
    <row r="10" spans="1:3" ht="28.8" x14ac:dyDescent="0.3">
      <c r="A10" s="56" t="s">
        <v>1169</v>
      </c>
      <c r="B10" s="56">
        <v>62</v>
      </c>
      <c r="C10" s="56" t="s">
        <v>1170</v>
      </c>
    </row>
    <row r="11" spans="1:3" x14ac:dyDescent="0.3">
      <c r="A11" s="56" t="s">
        <v>1171</v>
      </c>
      <c r="B11" s="56">
        <v>7</v>
      </c>
      <c r="C11" s="56" t="s">
        <v>1172</v>
      </c>
    </row>
    <row r="12" spans="1:3" x14ac:dyDescent="0.3">
      <c r="A12" s="56" t="s">
        <v>1173</v>
      </c>
      <c r="B12" s="56" t="s">
        <v>1174</v>
      </c>
      <c r="C12" s="56" t="s">
        <v>1175</v>
      </c>
    </row>
    <row r="13" spans="1:3" x14ac:dyDescent="0.3">
      <c r="A13" s="56"/>
      <c r="B13" s="56"/>
      <c r="C13" s="56"/>
    </row>
    <row r="14" spans="1:3" x14ac:dyDescent="0.3">
      <c r="A14" s="57" t="s">
        <v>1176</v>
      </c>
      <c r="B14" s="57" t="s">
        <v>1177</v>
      </c>
      <c r="C14" s="57" t="s">
        <v>1178</v>
      </c>
    </row>
    <row r="15" spans="1:3" x14ac:dyDescent="0.3">
      <c r="A15" s="58" t="s">
        <v>1179</v>
      </c>
      <c r="B15" s="58" t="s">
        <v>1180</v>
      </c>
      <c r="C15" s="58" t="s">
        <v>1181</v>
      </c>
    </row>
    <row r="16" spans="1:3" x14ac:dyDescent="0.3">
      <c r="A16" s="58" t="s">
        <v>1182</v>
      </c>
      <c r="B16" s="58" t="s">
        <v>1180</v>
      </c>
      <c r="C16" s="58" t="s">
        <v>1183</v>
      </c>
    </row>
    <row r="17" spans="1:3" ht="28.8" x14ac:dyDescent="0.3">
      <c r="A17" s="58" t="s">
        <v>1184</v>
      </c>
      <c r="B17" s="58" t="s">
        <v>1180</v>
      </c>
      <c r="C17" s="58" t="s">
        <v>1185</v>
      </c>
    </row>
    <row r="18" spans="1:3" x14ac:dyDescent="0.3">
      <c r="A18" s="58" t="s">
        <v>1186</v>
      </c>
      <c r="B18" s="58" t="s">
        <v>1180</v>
      </c>
      <c r="C18" s="58" t="s">
        <v>1187</v>
      </c>
    </row>
    <row r="19" spans="1:3" ht="28.8" x14ac:dyDescent="0.3">
      <c r="A19" s="58" t="s">
        <v>1188</v>
      </c>
      <c r="B19" s="58" t="s">
        <v>1180</v>
      </c>
      <c r="C19" s="58" t="s">
        <v>1189</v>
      </c>
    </row>
    <row r="20" spans="1:3" ht="28.8" x14ac:dyDescent="0.3">
      <c r="A20" s="58" t="s">
        <v>1190</v>
      </c>
      <c r="B20" s="58" t="s">
        <v>1180</v>
      </c>
      <c r="C20" s="58" t="s">
        <v>1191</v>
      </c>
    </row>
    <row r="21" spans="1:3" x14ac:dyDescent="0.3">
      <c r="A21" s="58" t="s">
        <v>1192</v>
      </c>
      <c r="B21" s="58" t="s">
        <v>1180</v>
      </c>
      <c r="C21" s="58" t="s">
        <v>1193</v>
      </c>
    </row>
    <row r="22" spans="1:3" x14ac:dyDescent="0.3">
      <c r="A22" s="56"/>
      <c r="B22" s="56"/>
      <c r="C22" s="56"/>
    </row>
    <row r="23" spans="1:3" x14ac:dyDescent="0.3">
      <c r="A23" s="57" t="s">
        <v>1194</v>
      </c>
      <c r="B23" s="57"/>
      <c r="C23" s="57"/>
    </row>
    <row r="24" spans="1:3" ht="43.2" x14ac:dyDescent="0.3">
      <c r="A24" s="56" t="s">
        <v>1195</v>
      </c>
      <c r="B24" s="56" t="s">
        <v>1196</v>
      </c>
      <c r="C24" s="56"/>
    </row>
    <row r="25" spans="1:3" ht="43.2" x14ac:dyDescent="0.3">
      <c r="A25" s="56" t="s">
        <v>1197</v>
      </c>
      <c r="B25" s="56" t="s">
        <v>1198</v>
      </c>
      <c r="C25" s="56"/>
    </row>
    <row r="26" spans="1:3" ht="43.2" x14ac:dyDescent="0.3">
      <c r="A26" s="56" t="s">
        <v>1199</v>
      </c>
      <c r="B26" s="56" t="s">
        <v>1200</v>
      </c>
      <c r="C26" s="56"/>
    </row>
    <row r="27" spans="1:3" ht="28.8" x14ac:dyDescent="0.3">
      <c r="A27" s="56" t="s">
        <v>1201</v>
      </c>
      <c r="B27" s="56" t="s">
        <v>1202</v>
      </c>
      <c r="C27" s="5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5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ht="15.75" customHeight="1" x14ac:dyDescent="0.3">
      <c r="A1" s="1" t="s">
        <v>1203</v>
      </c>
    </row>
    <row r="2" spans="1:1" ht="15" customHeight="1" x14ac:dyDescent="0.3">
      <c r="A2" s="35"/>
    </row>
    <row r="3" spans="1:1" ht="15" customHeight="1" x14ac:dyDescent="0.3">
      <c r="A3" s="35" t="s">
        <v>1204</v>
      </c>
    </row>
    <row r="4" spans="1:1" ht="15" customHeight="1" x14ac:dyDescent="0.3">
      <c r="A4" s="35" t="s">
        <v>1205</v>
      </c>
    </row>
    <row r="5" spans="1:1" ht="15" customHeight="1" x14ac:dyDescent="0.3">
      <c r="A5" s="35" t="s">
        <v>1206</v>
      </c>
    </row>
    <row r="6" spans="1:1" ht="15" customHeight="1" x14ac:dyDescent="0.3">
      <c r="A6" s="35" t="s">
        <v>1207</v>
      </c>
    </row>
    <row r="7" spans="1:1" ht="15" customHeight="1" x14ac:dyDescent="0.3">
      <c r="A7" s="35" t="s">
        <v>1208</v>
      </c>
    </row>
    <row r="8" spans="1:1" ht="15" customHeight="1" x14ac:dyDescent="0.3">
      <c r="A8" s="35" t="s">
        <v>1209</v>
      </c>
    </row>
    <row r="9" spans="1:1" ht="15" customHeight="1" x14ac:dyDescent="0.3">
      <c r="A9" s="35" t="s">
        <v>1210</v>
      </c>
    </row>
    <row r="10" spans="1:1" ht="15" customHeight="1" x14ac:dyDescent="0.3">
      <c r="A10" s="35"/>
    </row>
    <row r="11" spans="1:1" ht="15" customHeight="1" x14ac:dyDescent="0.3">
      <c r="A11" s="35" t="s">
        <v>1211</v>
      </c>
    </row>
    <row r="12" spans="1:1" ht="15" customHeight="1" x14ac:dyDescent="0.3">
      <c r="A12" s="35" t="s">
        <v>1212</v>
      </c>
    </row>
    <row r="13" spans="1:1" ht="15" customHeight="1" x14ac:dyDescent="0.3">
      <c r="A13" s="35" t="s">
        <v>1213</v>
      </c>
    </row>
    <row r="14" spans="1:1" ht="15" customHeight="1" x14ac:dyDescent="0.3">
      <c r="A14" s="35" t="s">
        <v>1214</v>
      </c>
    </row>
    <row r="15" spans="1:1" ht="15" customHeight="1" x14ac:dyDescent="0.3">
      <c r="A15" s="35" t="s">
        <v>1215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UI Style Guide</vt:lpstr>
      <vt:lpstr>Clãs - Visão Geral</vt:lpstr>
      <vt:lpstr>Criaturas - Base de Dados</vt:lpstr>
      <vt:lpstr>Sistema de Raridade e Evolução</vt:lpstr>
      <vt:lpstr>Matriz Completa (1800 cartas)</vt:lpstr>
      <vt:lpstr>Sistema de Despertar (Grau)</vt:lpstr>
      <vt:lpstr>Diamante do Índice</vt:lpstr>
      <vt:lpstr>Criaturas Divinas (Evento)</vt:lpstr>
      <vt:lpstr>Pacotes - Parâmetros</vt:lpstr>
      <vt:lpstr>Pacotes - Catálogo</vt:lpstr>
      <vt:lpstr>Metadata</vt:lpstr>
      <vt:lpstr>Pacotes - 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Assis</cp:lastModifiedBy>
  <cp:revision>0</cp:revision>
  <dcterms:created xsi:type="dcterms:W3CDTF">2026-07-12T17:55:12Z</dcterms:created>
  <dcterms:modified xsi:type="dcterms:W3CDTF">2026-07-20T00:59:12Z</dcterms:modified>
  <dc:language>en-US</dc:language>
</cp:coreProperties>
</file>