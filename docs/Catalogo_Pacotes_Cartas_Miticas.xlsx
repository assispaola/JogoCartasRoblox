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âmetros" sheetId="1" state="visible" r:id="rId3"/>
    <sheet name="Catálogo de Pacotes" sheetId="2" state="visible" r:id="rId4"/>
    <sheet name="Legenda" sheetId="3" state="visible" r:id="rId5"/>
  </sheets>
  <definedNames>
    <definedName function="false" hidden="true" localSheetId="1" name="_xlnm._FilterDatabase" vbProcedure="false">'Catálogo de Pacotes'!$A$1:$Q$61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<sst xmlns="http://schemas.openxmlformats.org/spreadsheetml/2006/main" count="296" uniqueCount="172">
  <si>
    <t xml:space="preserve">Multiplicador de Valor por Raridade (fonte: aba Sistema de Raridade e Evolução)</t>
  </si>
  <si>
    <t xml:space="preserve">Raridade</t>
  </si>
  <si>
    <t xml:space="preserve">Multiplicador</t>
  </si>
  <si>
    <t xml:space="preserve">Bronze</t>
  </si>
  <si>
    <t xml:space="preserve">Prata</t>
  </si>
  <si>
    <t xml:space="preserve">Ouro</t>
  </si>
  <si>
    <t xml:space="preserve">Platina</t>
  </si>
  <si>
    <t xml:space="preserve">Lendário</t>
  </si>
  <si>
    <t xml:space="preserve">Mítico</t>
  </si>
  <si>
    <t xml:space="preserve">Divino</t>
  </si>
  <si>
    <t xml:space="preserve">Nota: valores em amarelo/azul são inputs editáveis. Mudar aqui recalcula o EV e o Preço de todos os 60 pacotes na aba Catálogo de Pacotes.</t>
  </si>
  <si>
    <t xml:space="preserve">ID</t>
  </si>
  <si>
    <t xml:space="preserve">Nome</t>
  </si>
  <si>
    <t xml:space="preserve">Categoria</t>
  </si>
  <si>
    <t xml:space="preserve">Moeda</t>
  </si>
  <si>
    <t xml:space="preserve">Cartas/Compra</t>
  </si>
  <si>
    <t xml:space="preserve">% Bronze</t>
  </si>
  <si>
    <t xml:space="preserve">% Prata</t>
  </si>
  <si>
    <t xml:space="preserve">% Ouro</t>
  </si>
  <si>
    <t xml:space="preserve">% Platina</t>
  </si>
  <si>
    <t xml:space="preserve">% Lendário</t>
  </si>
  <si>
    <t xml:space="preserve">% Mítico</t>
  </si>
  <si>
    <t xml:space="preserve">% Divino</t>
  </si>
  <si>
    <t xml:space="preserve">Soma Odds</t>
  </si>
  <si>
    <t xml:space="preserve">EV (unid. valor)</t>
  </si>
  <si>
    <t xml:space="preserve">Markup (x)</t>
  </si>
  <si>
    <t xml:space="preserve">Preço</t>
  </si>
  <si>
    <t xml:space="preserve">Notas</t>
  </si>
  <si>
    <t xml:space="preserve">Novato</t>
  </si>
  <si>
    <t xml:space="preserve">Geral</t>
  </si>
  <si>
    <t xml:space="preserve">$</t>
  </si>
  <si>
    <t xml:space="preserve">Ladder geral — nível 1/30</t>
  </si>
  <si>
    <t xml:space="preserve">Recruta</t>
  </si>
  <si>
    <t xml:space="preserve">Ladder geral — nível 2/30</t>
  </si>
  <si>
    <t xml:space="preserve">Aprendiz</t>
  </si>
  <si>
    <t xml:space="preserve">Ladder geral — nível 3/30</t>
  </si>
  <si>
    <t xml:space="preserve">Errante</t>
  </si>
  <si>
    <t xml:space="preserve">Ladder geral — nível 4/30</t>
  </si>
  <si>
    <t xml:space="preserve">Andarilho</t>
  </si>
  <si>
    <t xml:space="preserve">Ladder geral — nível 5/30</t>
  </si>
  <si>
    <t xml:space="preserve">Explorador</t>
  </si>
  <si>
    <t xml:space="preserve">Ladder geral — nível 6/30</t>
  </si>
  <si>
    <t xml:space="preserve">Caçador</t>
  </si>
  <si>
    <t xml:space="preserve">Ladder geral — nível 7/30</t>
  </si>
  <si>
    <t xml:space="preserve">Rastreador</t>
  </si>
  <si>
    <t xml:space="preserve">Ladder geral — nível 8/30</t>
  </si>
  <si>
    <t xml:space="preserve">Guerreiro</t>
  </si>
  <si>
    <t xml:space="preserve">Ladder geral — nível 9/30</t>
  </si>
  <si>
    <t xml:space="preserve">Bravo</t>
  </si>
  <si>
    <t xml:space="preserve">Ladder geral — nível 10/30</t>
  </si>
  <si>
    <t xml:space="preserve">Guardião</t>
  </si>
  <si>
    <t xml:space="preserve">Ladder geral — nível 11/30</t>
  </si>
  <si>
    <t xml:space="preserve">Sentinela</t>
  </si>
  <si>
    <t xml:space="preserve">Ladder geral — nível 12/30</t>
  </si>
  <si>
    <t xml:space="preserve">Vigia</t>
  </si>
  <si>
    <t xml:space="preserve">Ladder geral — nível 13/30</t>
  </si>
  <si>
    <t xml:space="preserve">Campeão</t>
  </si>
  <si>
    <t xml:space="preserve">Ladder geral — nível 14/30</t>
  </si>
  <si>
    <t xml:space="preserve">Herói</t>
  </si>
  <si>
    <t xml:space="preserve">Ladder geral — nível 15/30</t>
  </si>
  <si>
    <t xml:space="preserve">Vencedor</t>
  </si>
  <si>
    <t xml:space="preserve">Ladder geral — nível 16/30</t>
  </si>
  <si>
    <t xml:space="preserve">Mestre</t>
  </si>
  <si>
    <t xml:space="preserve">Ladder geral — nível 17/30</t>
  </si>
  <si>
    <t xml:space="preserve">Especialista</t>
  </si>
  <si>
    <t xml:space="preserve">Ladder geral — nível 18/30</t>
  </si>
  <si>
    <t xml:space="preserve">Perito</t>
  </si>
  <si>
    <t xml:space="preserve">Ladder geral — nível 19/30</t>
  </si>
  <si>
    <t xml:space="preserve">Arauto</t>
  </si>
  <si>
    <t xml:space="preserve">Ladder geral — nível 20/30</t>
  </si>
  <si>
    <t xml:space="preserve">Mensageiro</t>
  </si>
  <si>
    <t xml:space="preserve">Ladder geral — nível 21/30</t>
  </si>
  <si>
    <t xml:space="preserve">Sábio</t>
  </si>
  <si>
    <t xml:space="preserve">Ladder geral — nível 22/30</t>
  </si>
  <si>
    <t xml:space="preserve">Erudito</t>
  </si>
  <si>
    <t xml:space="preserve">Ladder geral — nível 23/30</t>
  </si>
  <si>
    <t xml:space="preserve">Vidente</t>
  </si>
  <si>
    <t xml:space="preserve">Ladder geral — nível 24/30</t>
  </si>
  <si>
    <t xml:space="preserve">Oráculo</t>
  </si>
  <si>
    <t xml:space="preserve">Ladder geral — nível 25/30</t>
  </si>
  <si>
    <t xml:space="preserve">Profeta</t>
  </si>
  <si>
    <t xml:space="preserve">Ladder geral — nível 26/30</t>
  </si>
  <si>
    <t xml:space="preserve">Visionário</t>
  </si>
  <si>
    <t xml:space="preserve">Ladder geral — nível 27/30</t>
  </si>
  <si>
    <t xml:space="preserve">Avatar</t>
  </si>
  <si>
    <t xml:space="preserve">Ladder geral — nível 28/30</t>
  </si>
  <si>
    <t xml:space="preserve">Ascendente</t>
  </si>
  <si>
    <t xml:space="preserve">Ladder geral — nível 29/30</t>
  </si>
  <si>
    <t xml:space="preserve">Transcendente</t>
  </si>
  <si>
    <t xml:space="preserve">Ladder geral — nível 30/30</t>
  </si>
  <si>
    <t xml:space="preserve">Fragmento de Diamante</t>
  </si>
  <si>
    <t xml:space="preserve">Diamante</t>
  </si>
  <si>
    <t xml:space="preserve">💎</t>
  </si>
  <si>
    <t xml:space="preserve">Ladder diamante — nível 1/6</t>
  </si>
  <si>
    <t xml:space="preserve">Cristal de Diamante</t>
  </si>
  <si>
    <t xml:space="preserve">Ladder diamante — nível 2/6</t>
  </si>
  <si>
    <t xml:space="preserve">Núcleo de Diamante</t>
  </si>
  <si>
    <t xml:space="preserve">Ladder diamante — nível 3/6</t>
  </si>
  <si>
    <t xml:space="preserve">Prisma de Diamante</t>
  </si>
  <si>
    <t xml:space="preserve">Ladder diamante — nível 4/6</t>
  </si>
  <si>
    <t xml:space="preserve">Coroa de Diamante</t>
  </si>
  <si>
    <t xml:space="preserve">Ladder diamante — nível 5/6</t>
  </si>
  <si>
    <t xml:space="preserve">Ápice de Diamante</t>
  </si>
  <si>
    <t xml:space="preserve">Ladder diamante — nível 6/6</t>
  </si>
  <si>
    <t xml:space="preserve">Escudeiro</t>
  </si>
  <si>
    <t xml:space="preserve">Robux</t>
  </si>
  <si>
    <t xml:space="preserve">Ladder Robux — nível 1/9</t>
  </si>
  <si>
    <t xml:space="preserve">Nobre</t>
  </si>
  <si>
    <t xml:space="preserve">Ladder Robux — nível 2/9</t>
  </si>
  <si>
    <t xml:space="preserve">Duque</t>
  </si>
  <si>
    <t xml:space="preserve">Ladder Robux — nível 3/9</t>
  </si>
  <si>
    <t xml:space="preserve">Monarca</t>
  </si>
  <si>
    <t xml:space="preserve">Ladder Robux — nível 4/9</t>
  </si>
  <si>
    <t xml:space="preserve">Soberano</t>
  </si>
  <si>
    <t xml:space="preserve">Ladder Robux — nível 5/9</t>
  </si>
  <si>
    <t xml:space="preserve">Imperador</t>
  </si>
  <si>
    <t xml:space="preserve">Ladder Robux — nível 6/9</t>
  </si>
  <si>
    <t xml:space="preserve">Baú do Colecionador</t>
  </si>
  <si>
    <t xml:space="preserve">Multi-carta (3 cartas por compra) — nível 7/9</t>
  </si>
  <si>
    <t xml:space="preserve">Baú do Patrono</t>
  </si>
  <si>
    <t xml:space="preserve">Multi-carta (5 cartas por compra) — nível 8/9</t>
  </si>
  <si>
    <t xml:space="preserve">Baú do Fundador</t>
  </si>
  <si>
    <t xml:space="preserve">Multi-carta (8 cartas por compra) — nível 9/9</t>
  </si>
  <si>
    <t xml:space="preserve">Chegada</t>
  </si>
  <si>
    <t xml:space="preserve">Especial/Evento</t>
  </si>
  <si>
    <t xml:space="preserve">Grátis</t>
  </si>
  <si>
    <t xml:space="preserve">Starter — 1x por conta nova</t>
  </si>
  <si>
    <t xml:space="preserve">Bênção Diária</t>
  </si>
  <si>
    <t xml:space="preserve">Grátis, 1x por dia</t>
  </si>
  <si>
    <t xml:space="preserve">Retorno do Herói</t>
  </si>
  <si>
    <t xml:space="preserve">Reengajamento — condicional</t>
  </si>
  <si>
    <t xml:space="preserve">Relâmpago</t>
  </si>
  <si>
    <t xml:space="preserve">$ ou 💎 (a definir)</t>
  </si>
  <si>
    <t xml:space="preserve">Venda-relâmpago — janela de tempo limitada, preço com desconto vs. equivalente</t>
  </si>
  <si>
    <t xml:space="preserve">Sorte do Destino</t>
  </si>
  <si>
    <t xml:space="preserve">Evento live — odds turbinadas temporariamente</t>
  </si>
  <si>
    <t xml:space="preserve">Primeiro Renascimento</t>
  </si>
  <si>
    <t xml:space="preserve">Dado automaticamente no 1º prestígio</t>
  </si>
  <si>
    <t xml:space="preserve">Portal Divino</t>
  </si>
  <si>
    <t xml:space="preserve">Evento (a definir)</t>
  </si>
  <si>
    <t xml:space="preserve">ÚNICA fonte de Raridade Divino — garante 1 carta Divino (clã aleatório), sem fusão</t>
  </si>
  <si>
    <t xml:space="preserve">Confluência Mística</t>
  </si>
  <si>
    <t xml:space="preserve">Bundle — 3 cartas por compra</t>
  </si>
  <si>
    <t xml:space="preserve">Aniversário</t>
  </si>
  <si>
    <t xml:space="preserve">Grátis / Promo</t>
  </si>
  <si>
    <t xml:space="preserve">Evento anual — data de aniversário do jogo</t>
  </si>
  <si>
    <t xml:space="preserve">Solstício de Verão</t>
  </si>
  <si>
    <t xml:space="preserve">Promo (a definir)</t>
  </si>
  <si>
    <t xml:space="preserve">Sazonal — verão</t>
  </si>
  <si>
    <t xml:space="preserve">Noite das Sombras</t>
  </si>
  <si>
    <t xml:space="preserve">Sazonal — outubro</t>
  </si>
  <si>
    <t xml:space="preserve">Amanhecer de Ano Novo</t>
  </si>
  <si>
    <t xml:space="preserve">Sazonal — virada de ano</t>
  </si>
  <si>
    <t xml:space="preserve">Colheita de Outono</t>
  </si>
  <si>
    <t xml:space="preserve">Sazonal — outono</t>
  </si>
  <si>
    <t xml:space="preserve">Convite do Amigo</t>
  </si>
  <si>
    <t xml:space="preserve">Recompensa de indicação</t>
  </si>
  <si>
    <t xml:space="preserve">Constância Semanal</t>
  </si>
  <si>
    <t xml:space="preserve">Recompensa de streak semanal</t>
  </si>
  <si>
    <t xml:space="preserve">Como usar esta planilha</t>
  </si>
  <si>
    <t xml:space="preserve">• Aba 'Parâmetros': multiplicador de valor por raridade (mesma fonte da aba Sistema de Raridade e Evolução do arquivo mestre). Editável.</t>
  </si>
  <si>
    <t xml:space="preserve">• Aba 'Catálogo de Pacotes': os 60 pacotes definidos, com odds (%) por raridade, EV (valor esperado em unidades de multiplicador), markup aplicado e preço calculado.</t>
  </si>
  <si>
    <t xml:space="preserve">• Células em AZUL = inputs editáveis (odds, cartas por compra, markup). Células em PRETO = fórmulas que recalculam automaticamente.</t>
  </si>
  <si>
    <t xml:space="preserve">• EV = soma de (odds da raridade × multiplicador da raridade). É um proxy do valor esperado de UMA carta desse pacote, não considera o valor-semente (seedValue) específico de cada criatura.</t>
  </si>
  <si>
    <t xml:space="preserve">• Preço = ROUND(EV × Markup, -1). O Markup é o quanto o pacote custa em relação ao EV — quanto maior, mais 'caro' o pacote é para o que ele entrega; a curva foi desenhada caindo (packs melhores custam relativamente menos por unidade de EV, incentivando gasto maior).</t>
  </si>
  <si>
    <t xml:space="preserve">• Pacotes de Especiais/Eventos com moeda 'a definir' ou 'Grátis' não têm markup/preço calculado — são decisões de monetização/liveops separadas.</t>
  </si>
  <si>
    <t xml:space="preserve">• Todos os pacotes sorteiam entre os 15 clãs de forma uniforme — a única fonte de Raridade Divino é o pacote 'Portal Divino' (evento).</t>
  </si>
  <si>
    <t xml:space="preserve">Pendências antes de implementar no PackCatalog.lua:</t>
  </si>
  <si>
    <t xml:space="preserve">- Validar se os preços em $ e 💎 fazem sentido frente à economia atual (EconomyService).</t>
  </si>
  <si>
    <t xml:space="preserve">- Definir preços reais em Robux (respeitar limites/mínimos do Roblox Developer Products).</t>
  </si>
  <si>
    <t xml:space="preserve">- Definir moeda e preço exatos dos pacotes de Especiais/Eventos marcados 'a definir'.</t>
  </si>
  <si>
    <t xml:space="preserve">- Rodar EV contra o seedValue médio real das 300 criaturas (não só o multiplicador de raridade) para achar o preço final em dinheiro do jogo/Robux.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</si>
</sst>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0.00"/>
    <numFmt numFmtId="167" formatCode="0.0"/>
    <numFmt numFmtId="168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DBEAFE"/>
        <bgColor rgb="FFE0E7FF"/>
      </patternFill>
    </fill>
    <fill>
      <patternFill patternType="solid">
        <fgColor rgb="FFE0E7FF"/>
        <bgColor rgb="FFDBEAFE"/>
      </patternFill>
    </fill>
    <fill>
      <patternFill patternType="solid">
        <fgColor rgb="FFFEF3C7"/>
        <bgColor rgb="FFFFFF99"/>
      </patternFill>
    </fill>
    <fill>
      <patternFill patternType="solid">
        <fgColor rgb="FFD1FAE5"/>
        <bgColor rgb="FFDBEA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1FAE5"/>
          <bgColor rgb="FF000000"/>
        </patternFill>
      </fill>
    </dxf>
    <dxf>
      <fill>
        <patternFill patternType="solid">
          <fgColor rgb="FFDBEAFE"/>
          <bgColor rgb="FF000000"/>
        </patternFill>
      </fill>
    </dxf>
    <dxf>
      <fill>
        <patternFill patternType="solid">
          <fgColor rgb="FFE0E7FF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6B728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BEAFE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7FF"/>
      <rgbColor rgb="FFD1FA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15" hidden="false" customHeight="false" outlineLevel="0" collapsed="false">
      <c r="A4" s="3" t="s">
        <v>3</v>
      </c>
      <c r="B4" s="4" t="n">
        <v>1</v>
      </c>
    </row>
    <row r="5" customFormat="false" ht="15" hidden="false" customHeight="false" outlineLevel="0" collapsed="false">
      <c r="A5" s="3" t="s">
        <v>4</v>
      </c>
      <c r="B5" s="4" t="n">
        <v>6</v>
      </c>
    </row>
    <row r="6" customFormat="false" ht="15" hidden="false" customHeight="false" outlineLevel="0" collapsed="false">
      <c r="A6" s="3" t="s">
        <v>5</v>
      </c>
      <c r="B6" s="4" t="n">
        <v>18</v>
      </c>
    </row>
    <row r="7" customFormat="false" ht="15" hidden="false" customHeight="false" outlineLevel="0" collapsed="false">
      <c r="A7" s="3" t="s">
        <v>6</v>
      </c>
      <c r="B7" s="4" t="n">
        <v>50</v>
      </c>
    </row>
    <row r="8" customFormat="false" ht="15" hidden="false" customHeight="false" outlineLevel="0" collapsed="false">
      <c r="A8" s="3" t="s">
        <v>7</v>
      </c>
      <c r="B8" s="4" t="n">
        <v>150</v>
      </c>
    </row>
    <row r="9" customFormat="false" ht="15" hidden="false" customHeight="false" outlineLevel="0" collapsed="false">
      <c r="A9" s="3" t="s">
        <v>8</v>
      </c>
      <c r="B9" s="4" t="n">
        <v>500</v>
      </c>
    </row>
    <row r="10" customFormat="false" ht="15" hidden="false" customHeight="false" outlineLevel="0" collapsed="false">
      <c r="A10" s="3" t="s">
        <v>9</v>
      </c>
      <c r="B10" s="4" t="n">
        <v>10000</v>
      </c>
    </row>
    <row r="12" customFormat="false" ht="15" hidden="false" customHeight="false" outlineLevel="0" collapsed="false">
      <c r="A12" s="5" t="s">
        <v>10</v>
      </c>
      <c r="B12" s="5"/>
      <c r="C12" s="5"/>
      <c r="D12" s="5"/>
      <c r="E12" s="5"/>
      <c r="F12" s="5"/>
    </row>
  </sheetData>
  <mergeCells count="2">
    <mergeCell ref="A1:C1"/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9" min="6" style="0" width="9"/>
    <col collapsed="false" customWidth="true" hidden="false" outlineLevel="0" max="10" min="10" style="0" width="10"/>
    <col collapsed="false" customWidth="true" hidden="false" outlineLevel="0" max="12" min="11" style="0" width="9"/>
    <col collapsed="false" customWidth="true" hidden="false" outlineLevel="0" max="13" min="13" style="0" width="10"/>
    <col collapsed="false" customWidth="true" hidden="false" outlineLevel="0" max="14" min="14" style="0" width="13"/>
    <col collapsed="false" customWidth="true" hidden="false" outlineLevel="0" max="16" min="15" style="0" width="10"/>
    <col collapsed="false" customWidth="true" hidden="false" outlineLevel="0" max="17" min="17" style="0" width="42"/>
  </cols>
  <sheetData>
    <row r="1" customFormat="false" ht="35.05" hidden="false" customHeight="false" outlineLevel="0" collapsed="false">
      <c r="A1" s="6" t="s">
        <v>11</v>
      </c>
      <c r="B1" s="6" t="s">
        <v>12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17</v>
      </c>
      <c r="H1" s="6" t="s">
        <v>18</v>
      </c>
      <c r="I1" s="6" t="s">
        <v>19</v>
      </c>
      <c r="J1" s="6" t="s">
        <v>20</v>
      </c>
      <c r="K1" s="6" t="s">
        <v>21</v>
      </c>
      <c r="L1" s="6" t="s">
        <v>22</v>
      </c>
      <c r="M1" s="6" t="s">
        <v>23</v>
      </c>
      <c r="N1" s="6" t="s">
        <v>24</v>
      </c>
      <c r="O1" s="6" t="s">
        <v>25</v>
      </c>
      <c r="P1" s="6" t="s">
        <v>26</v>
      </c>
      <c r="Q1" s="6" t="s">
        <v>27</v>
      </c>
    </row>
    <row r="2" customFormat="false" ht="15" hidden="false" customHeight="false" outlineLevel="0" collapsed="false">
      <c r="A2" s="7" t="n">
        <v>1</v>
      </c>
      <c r="B2" s="7" t="s">
        <v>28</v>
      </c>
      <c r="C2" s="8" t="s">
        <v>29</v>
      </c>
      <c r="D2" s="7" t="s">
        <v>30</v>
      </c>
      <c r="E2" s="9" t="n">
        <v>1</v>
      </c>
      <c r="F2" s="10" t="n">
        <v>0.7</v>
      </c>
      <c r="G2" s="10" t="n">
        <v>0.2</v>
      </c>
      <c r="H2" s="10" t="n">
        <v>0.07</v>
      </c>
      <c r="I2" s="10" t="n">
        <v>0.025</v>
      </c>
      <c r="J2" s="10" t="n">
        <v>0.004</v>
      </c>
      <c r="K2" s="10" t="n">
        <v>0.001</v>
      </c>
      <c r="L2" s="10" t="n">
        <v>0</v>
      </c>
      <c r="M2" s="11" t="n">
        <f aca="false">SUM(F2:L2)</f>
        <v>1</v>
      </c>
      <c r="N2" s="12" t="n">
        <f aca="false">F2*Parâmetros!$B$4+G2*Parâmetros!$B$5+H2*Parâmetros!$B$6+I2*Parâmetros!$B$7+J2*Parâmetros!$B$8+K2*Parâmetros!$B$9+L2*Parâmetros!$B$10</f>
        <v>5.51</v>
      </c>
      <c r="O2" s="13" t="n">
        <v>90</v>
      </c>
      <c r="P2" s="14" t="n">
        <f aca="false">ROUND(N2*O2,-1)</f>
        <v>500</v>
      </c>
      <c r="Q2" s="7" t="s">
        <v>31</v>
      </c>
    </row>
    <row r="3" customFormat="false" ht="15" hidden="false" customHeight="false" outlineLevel="0" collapsed="false">
      <c r="A3" s="7" t="n">
        <v>2</v>
      </c>
      <c r="B3" s="7" t="s">
        <v>32</v>
      </c>
      <c r="C3" s="8" t="s">
        <v>29</v>
      </c>
      <c r="D3" s="7" t="s">
        <v>30</v>
      </c>
      <c r="E3" s="9" t="n">
        <v>1</v>
      </c>
      <c r="F3" s="10" t="n">
        <v>0.69138</v>
      </c>
      <c r="G3" s="10" t="n">
        <v>0.20172</v>
      </c>
      <c r="H3" s="10" t="n">
        <v>0.07276</v>
      </c>
      <c r="I3" s="10" t="n">
        <v>0.0269</v>
      </c>
      <c r="J3" s="10" t="n">
        <v>0.00559</v>
      </c>
      <c r="K3" s="10" t="n">
        <v>0.00166</v>
      </c>
      <c r="L3" s="10" t="n">
        <v>0</v>
      </c>
      <c r="M3" s="11" t="n">
        <f aca="false">SUM(F3:L3)</f>
        <v>1.00001</v>
      </c>
      <c r="N3" s="12" t="n">
        <f aca="false">F3*Parâmetros!$B$4+G3*Parâmetros!$B$5+H3*Parâmetros!$B$6+I3*Parâmetros!$B$7+J3*Parâmetros!$B$8+K3*Parâmetros!$B$9+L3*Parâmetros!$B$10</f>
        <v>6.22488</v>
      </c>
      <c r="O3" s="13" t="n">
        <v>88.8</v>
      </c>
      <c r="P3" s="14" t="n">
        <f aca="false">ROUND(N3*O3,-1)</f>
        <v>550</v>
      </c>
      <c r="Q3" s="7" t="s">
        <v>33</v>
      </c>
    </row>
    <row r="4" customFormat="false" ht="15" hidden="false" customHeight="false" outlineLevel="0" collapsed="false">
      <c r="A4" s="7" t="n">
        <v>3</v>
      </c>
      <c r="B4" s="7" t="s">
        <v>34</v>
      </c>
      <c r="C4" s="8" t="s">
        <v>29</v>
      </c>
      <c r="D4" s="7" t="s">
        <v>30</v>
      </c>
      <c r="E4" s="9" t="n">
        <v>1</v>
      </c>
      <c r="F4" s="10" t="n">
        <v>0.68276</v>
      </c>
      <c r="G4" s="10" t="n">
        <v>0.20345</v>
      </c>
      <c r="H4" s="10" t="n">
        <v>0.07552</v>
      </c>
      <c r="I4" s="10" t="n">
        <v>0.02879</v>
      </c>
      <c r="J4" s="10" t="n">
        <v>0.00717</v>
      </c>
      <c r="K4" s="10" t="n">
        <v>0.00231</v>
      </c>
      <c r="L4" s="10" t="n">
        <v>0</v>
      </c>
      <c r="M4" s="11" t="n">
        <f aca="false">SUM(F4:L4)</f>
        <v>1</v>
      </c>
      <c r="N4" s="12" t="n">
        <f aca="false">F4*Parâmetros!$B$4+G4*Parâmetros!$B$5+H4*Parâmetros!$B$6+I4*Parâmetros!$B$7+J4*Parâmetros!$B$8+K4*Parâmetros!$B$9+L4*Parâmetros!$B$10</f>
        <v>6.93282</v>
      </c>
      <c r="O4" s="13" t="n">
        <v>87.6</v>
      </c>
      <c r="P4" s="14" t="n">
        <f aca="false">ROUND(N4*O4,-1)</f>
        <v>610</v>
      </c>
      <c r="Q4" s="7" t="s">
        <v>35</v>
      </c>
    </row>
    <row r="5" customFormat="false" ht="15" hidden="false" customHeight="false" outlineLevel="0" collapsed="false">
      <c r="A5" s="7" t="n">
        <v>4</v>
      </c>
      <c r="B5" s="7" t="s">
        <v>36</v>
      </c>
      <c r="C5" s="8" t="s">
        <v>29</v>
      </c>
      <c r="D5" s="7" t="s">
        <v>30</v>
      </c>
      <c r="E5" s="9" t="n">
        <v>1</v>
      </c>
      <c r="F5" s="10" t="n">
        <v>0.67414</v>
      </c>
      <c r="G5" s="10" t="n">
        <v>0.20517</v>
      </c>
      <c r="H5" s="10" t="n">
        <v>0.07828</v>
      </c>
      <c r="I5" s="10" t="n">
        <v>0.03069</v>
      </c>
      <c r="J5" s="10" t="n">
        <v>0.00876</v>
      </c>
      <c r="K5" s="10" t="n">
        <v>0.00297</v>
      </c>
      <c r="L5" s="10" t="n">
        <v>0</v>
      </c>
      <c r="M5" s="11" t="n">
        <f aca="false">SUM(F5:L5)</f>
        <v>1.00001</v>
      </c>
      <c r="N5" s="12" t="n">
        <f aca="false">F5*Parâmetros!$B$4+G5*Parâmetros!$B$5+H5*Parâmetros!$B$6+I5*Parâmetros!$B$7+J5*Parâmetros!$B$8+K5*Parâmetros!$B$9+L5*Parâmetros!$B$10</f>
        <v>7.6477</v>
      </c>
      <c r="O5" s="13" t="n">
        <v>86.4</v>
      </c>
      <c r="P5" s="14" t="n">
        <f aca="false">ROUND(N5*O5,-1)</f>
        <v>660</v>
      </c>
      <c r="Q5" s="7" t="s">
        <v>37</v>
      </c>
    </row>
    <row r="6" customFormat="false" ht="15" hidden="false" customHeight="false" outlineLevel="0" collapsed="false">
      <c r="A6" s="7" t="n">
        <v>5</v>
      </c>
      <c r="B6" s="7" t="s">
        <v>38</v>
      </c>
      <c r="C6" s="8" t="s">
        <v>29</v>
      </c>
      <c r="D6" s="7" t="s">
        <v>30</v>
      </c>
      <c r="E6" s="9" t="n">
        <v>1</v>
      </c>
      <c r="F6" s="10" t="n">
        <v>0.66552</v>
      </c>
      <c r="G6" s="10" t="n">
        <v>0.2069</v>
      </c>
      <c r="H6" s="10" t="n">
        <v>0.08103</v>
      </c>
      <c r="I6" s="10" t="n">
        <v>0.03259</v>
      </c>
      <c r="J6" s="10" t="n">
        <v>0.01034</v>
      </c>
      <c r="K6" s="10" t="n">
        <v>0.00362</v>
      </c>
      <c r="L6" s="10" t="n">
        <v>0</v>
      </c>
      <c r="M6" s="11" t="n">
        <f aca="false">SUM(F6:L6)</f>
        <v>1</v>
      </c>
      <c r="N6" s="12" t="n">
        <f aca="false">F6*Parâmetros!$B$4+G6*Parâmetros!$B$5+H6*Parâmetros!$B$6+I6*Parâmetros!$B$7+J6*Parâmetros!$B$8+K6*Parâmetros!$B$9+L6*Parâmetros!$B$10</f>
        <v>8.35596</v>
      </c>
      <c r="O6" s="13" t="n">
        <v>85.2</v>
      </c>
      <c r="P6" s="14" t="n">
        <f aca="false">ROUND(N6*O6,-1)</f>
        <v>710</v>
      </c>
      <c r="Q6" s="7" t="s">
        <v>39</v>
      </c>
    </row>
    <row r="7" customFormat="false" ht="15" hidden="false" customHeight="false" outlineLevel="0" collapsed="false">
      <c r="A7" s="7" t="n">
        <v>6</v>
      </c>
      <c r="B7" s="7" t="s">
        <v>40</v>
      </c>
      <c r="C7" s="8" t="s">
        <v>29</v>
      </c>
      <c r="D7" s="7" t="s">
        <v>30</v>
      </c>
      <c r="E7" s="9" t="n">
        <v>1</v>
      </c>
      <c r="F7" s="10" t="n">
        <v>0.6569</v>
      </c>
      <c r="G7" s="10" t="n">
        <v>0.20862</v>
      </c>
      <c r="H7" s="10" t="n">
        <v>0.08379</v>
      </c>
      <c r="I7" s="10" t="n">
        <v>0.03448</v>
      </c>
      <c r="J7" s="10" t="n">
        <v>0.01193</v>
      </c>
      <c r="K7" s="10" t="n">
        <v>0.00428</v>
      </c>
      <c r="L7" s="10" t="n">
        <v>0</v>
      </c>
      <c r="M7" s="11" t="n">
        <f aca="false">SUM(F7:L7)</f>
        <v>1</v>
      </c>
      <c r="N7" s="12" t="n">
        <f aca="false">F7*Parâmetros!$B$4+G7*Parâmetros!$B$5+H7*Parâmetros!$B$6+I7*Parâmetros!$B$7+J7*Parâmetros!$B$8+K7*Parâmetros!$B$9+L7*Parâmetros!$B$10</f>
        <v>9.07034</v>
      </c>
      <c r="O7" s="13" t="n">
        <v>84</v>
      </c>
      <c r="P7" s="14" t="n">
        <f aca="false">ROUND(N7*O7,-1)</f>
        <v>760</v>
      </c>
      <c r="Q7" s="7" t="s">
        <v>41</v>
      </c>
    </row>
    <row r="8" customFormat="false" ht="15" hidden="false" customHeight="false" outlineLevel="0" collapsed="false">
      <c r="A8" s="7" t="n">
        <v>7</v>
      </c>
      <c r="B8" s="7" t="s">
        <v>42</v>
      </c>
      <c r="C8" s="8" t="s">
        <v>29</v>
      </c>
      <c r="D8" s="7" t="s">
        <v>30</v>
      </c>
      <c r="E8" s="9" t="n">
        <v>1</v>
      </c>
      <c r="F8" s="10" t="n">
        <v>0.64828</v>
      </c>
      <c r="G8" s="10" t="n">
        <v>0.21034</v>
      </c>
      <c r="H8" s="10" t="n">
        <v>0.08655</v>
      </c>
      <c r="I8" s="10" t="n">
        <v>0.03638</v>
      </c>
      <c r="J8" s="10" t="n">
        <v>0.01352</v>
      </c>
      <c r="K8" s="10" t="n">
        <v>0.00493</v>
      </c>
      <c r="L8" s="10" t="n">
        <v>0</v>
      </c>
      <c r="M8" s="11" t="n">
        <f aca="false">SUM(F8:L8)</f>
        <v>1</v>
      </c>
      <c r="N8" s="12" t="n">
        <f aca="false">F8*Parâmetros!$B$4+G8*Parâmetros!$B$5+H8*Parâmetros!$B$6+I8*Parâmetros!$B$7+J8*Parâmetros!$B$8+K8*Parâmetros!$B$9+L8*Parâmetros!$B$10</f>
        <v>9.78022</v>
      </c>
      <c r="O8" s="13" t="n">
        <v>82.8</v>
      </c>
      <c r="P8" s="14" t="n">
        <f aca="false">ROUND(N8*O8,-1)</f>
        <v>810</v>
      </c>
      <c r="Q8" s="7" t="s">
        <v>43</v>
      </c>
    </row>
    <row r="9" customFormat="false" ht="15" hidden="false" customHeight="false" outlineLevel="0" collapsed="false">
      <c r="A9" s="7" t="n">
        <v>8</v>
      </c>
      <c r="B9" s="7" t="s">
        <v>44</v>
      </c>
      <c r="C9" s="8" t="s">
        <v>29</v>
      </c>
      <c r="D9" s="7" t="s">
        <v>30</v>
      </c>
      <c r="E9" s="9" t="n">
        <v>1</v>
      </c>
      <c r="F9" s="10" t="n">
        <v>0.63966</v>
      </c>
      <c r="G9" s="10" t="n">
        <v>0.21207</v>
      </c>
      <c r="H9" s="10" t="n">
        <v>0.08931</v>
      </c>
      <c r="I9" s="10" t="n">
        <v>0.03828</v>
      </c>
      <c r="J9" s="10" t="n">
        <v>0.0151</v>
      </c>
      <c r="K9" s="10" t="n">
        <v>0.00559</v>
      </c>
      <c r="L9" s="10" t="n">
        <v>0</v>
      </c>
      <c r="M9" s="11" t="n">
        <f aca="false">SUM(F9:L9)</f>
        <v>1.00001</v>
      </c>
      <c r="N9" s="12" t="n">
        <f aca="false">F9*Parâmetros!$B$4+G9*Parâmetros!$B$5+H9*Parâmetros!$B$6+I9*Parâmetros!$B$7+J9*Parâmetros!$B$8+K9*Parâmetros!$B$9+L9*Parâmetros!$B$10</f>
        <v>10.49366</v>
      </c>
      <c r="O9" s="13" t="n">
        <v>81.6</v>
      </c>
      <c r="P9" s="14" t="n">
        <f aca="false">ROUND(N9*O9,-1)</f>
        <v>860</v>
      </c>
      <c r="Q9" s="7" t="s">
        <v>45</v>
      </c>
    </row>
    <row r="10" customFormat="false" ht="15" hidden="false" customHeight="false" outlineLevel="0" collapsed="false">
      <c r="A10" s="7" t="n">
        <v>9</v>
      </c>
      <c r="B10" s="7" t="s">
        <v>46</v>
      </c>
      <c r="C10" s="8" t="s">
        <v>29</v>
      </c>
      <c r="D10" s="7" t="s">
        <v>30</v>
      </c>
      <c r="E10" s="9" t="n">
        <v>1</v>
      </c>
      <c r="F10" s="10" t="n">
        <v>0.63103</v>
      </c>
      <c r="G10" s="10" t="n">
        <v>0.21379</v>
      </c>
      <c r="H10" s="10" t="n">
        <v>0.09207</v>
      </c>
      <c r="I10" s="10" t="n">
        <v>0.04017</v>
      </c>
      <c r="J10" s="10" t="n">
        <v>0.01669</v>
      </c>
      <c r="K10" s="10" t="n">
        <v>0.00624</v>
      </c>
      <c r="L10" s="10" t="n">
        <v>0</v>
      </c>
      <c r="M10" s="11" t="n">
        <f aca="false">SUM(F10:L10)</f>
        <v>0.99999</v>
      </c>
      <c r="N10" s="12" t="n">
        <f aca="false">F10*Parâmetros!$B$4+G10*Parâmetros!$B$5+H10*Parâmetros!$B$6+I10*Parâmetros!$B$7+J10*Parâmetros!$B$8+K10*Parâmetros!$B$9+L10*Parâmetros!$B$10</f>
        <v>11.20303</v>
      </c>
      <c r="O10" s="13" t="n">
        <v>80.3</v>
      </c>
      <c r="P10" s="14" t="n">
        <f aca="false">ROUND(N10*O10,-1)</f>
        <v>900</v>
      </c>
      <c r="Q10" s="7" t="s">
        <v>47</v>
      </c>
    </row>
    <row r="11" customFormat="false" ht="15" hidden="false" customHeight="false" outlineLevel="0" collapsed="false">
      <c r="A11" s="7" t="n">
        <v>10</v>
      </c>
      <c r="B11" s="7" t="s">
        <v>48</v>
      </c>
      <c r="C11" s="8" t="s">
        <v>29</v>
      </c>
      <c r="D11" s="7" t="s">
        <v>30</v>
      </c>
      <c r="E11" s="9" t="n">
        <v>1</v>
      </c>
      <c r="F11" s="10" t="n">
        <v>0.62241</v>
      </c>
      <c r="G11" s="10" t="n">
        <v>0.21552</v>
      </c>
      <c r="H11" s="10" t="n">
        <v>0.09483</v>
      </c>
      <c r="I11" s="10" t="n">
        <v>0.04207</v>
      </c>
      <c r="J11" s="10" t="n">
        <v>0.01828</v>
      </c>
      <c r="K11" s="10" t="n">
        <v>0.0069</v>
      </c>
      <c r="L11" s="10" t="n">
        <v>0</v>
      </c>
      <c r="M11" s="11" t="n">
        <f aca="false">SUM(F11:L11)</f>
        <v>1.00001</v>
      </c>
      <c r="N11" s="12" t="n">
        <f aca="false">F11*Parâmetros!$B$4+G11*Parâmetros!$B$5+H11*Parâmetros!$B$6+I11*Parâmetros!$B$7+J11*Parâmetros!$B$8+K11*Parâmetros!$B$9+L11*Parâmetros!$B$10</f>
        <v>11.91797</v>
      </c>
      <c r="O11" s="13" t="n">
        <v>79.1</v>
      </c>
      <c r="P11" s="14" t="n">
        <f aca="false">ROUND(N11*O11,-1)</f>
        <v>940</v>
      </c>
      <c r="Q11" s="7" t="s">
        <v>49</v>
      </c>
    </row>
    <row r="12" customFormat="false" ht="15" hidden="false" customHeight="false" outlineLevel="0" collapsed="false">
      <c r="A12" s="7" t="n">
        <v>11</v>
      </c>
      <c r="B12" s="7" t="s">
        <v>50</v>
      </c>
      <c r="C12" s="8" t="s">
        <v>29</v>
      </c>
      <c r="D12" s="7" t="s">
        <v>30</v>
      </c>
      <c r="E12" s="9" t="n">
        <v>1</v>
      </c>
      <c r="F12" s="10" t="n">
        <v>0.61379</v>
      </c>
      <c r="G12" s="10" t="n">
        <v>0.21724</v>
      </c>
      <c r="H12" s="10" t="n">
        <v>0.09759</v>
      </c>
      <c r="I12" s="10" t="n">
        <v>0.04397</v>
      </c>
      <c r="J12" s="10" t="n">
        <v>0.01986</v>
      </c>
      <c r="K12" s="10" t="n">
        <v>0.00755</v>
      </c>
      <c r="L12" s="10" t="n">
        <v>0</v>
      </c>
      <c r="M12" s="11" t="n">
        <f aca="false">SUM(F12:L12)</f>
        <v>1</v>
      </c>
      <c r="N12" s="12" t="n">
        <f aca="false">F12*Parâmetros!$B$4+G12*Parâmetros!$B$5+H12*Parâmetros!$B$6+I12*Parâmetros!$B$7+J12*Parâmetros!$B$8+K12*Parâmetros!$B$9+L12*Parâmetros!$B$10</f>
        <v>12.62635</v>
      </c>
      <c r="O12" s="13" t="n">
        <v>77.9</v>
      </c>
      <c r="P12" s="14" t="n">
        <f aca="false">ROUND(N12*O12,-1)</f>
        <v>980</v>
      </c>
      <c r="Q12" s="7" t="s">
        <v>51</v>
      </c>
    </row>
    <row r="13" customFormat="false" ht="15" hidden="false" customHeight="false" outlineLevel="0" collapsed="false">
      <c r="A13" s="7" t="n">
        <v>12</v>
      </c>
      <c r="B13" s="7" t="s">
        <v>52</v>
      </c>
      <c r="C13" s="8" t="s">
        <v>29</v>
      </c>
      <c r="D13" s="7" t="s">
        <v>30</v>
      </c>
      <c r="E13" s="9" t="n">
        <v>1</v>
      </c>
      <c r="F13" s="10" t="n">
        <v>0.60517</v>
      </c>
      <c r="G13" s="10" t="n">
        <v>0.21897</v>
      </c>
      <c r="H13" s="10" t="n">
        <v>0.10034</v>
      </c>
      <c r="I13" s="10" t="n">
        <v>0.04586</v>
      </c>
      <c r="J13" s="10" t="n">
        <v>0.02145</v>
      </c>
      <c r="K13" s="10" t="n">
        <v>0.00821</v>
      </c>
      <c r="L13" s="10" t="n">
        <v>0</v>
      </c>
      <c r="M13" s="11" t="n">
        <f aca="false">SUM(F13:L13)</f>
        <v>1</v>
      </c>
      <c r="N13" s="12" t="n">
        <f aca="false">F13*Parâmetros!$B$4+G13*Parâmetros!$B$5+H13*Parâmetros!$B$6+I13*Parâmetros!$B$7+J13*Parâmetros!$B$8+K13*Parâmetros!$B$9+L13*Parâmetros!$B$10</f>
        <v>13.34061</v>
      </c>
      <c r="O13" s="13" t="n">
        <v>76.7</v>
      </c>
      <c r="P13" s="14" t="n">
        <f aca="false">ROUND(N13*O13,-1)</f>
        <v>1020</v>
      </c>
      <c r="Q13" s="7" t="s">
        <v>53</v>
      </c>
    </row>
    <row r="14" customFormat="false" ht="15" hidden="false" customHeight="false" outlineLevel="0" collapsed="false">
      <c r="A14" s="7" t="n">
        <v>13</v>
      </c>
      <c r="B14" s="7" t="s">
        <v>54</v>
      </c>
      <c r="C14" s="8" t="s">
        <v>29</v>
      </c>
      <c r="D14" s="7" t="s">
        <v>30</v>
      </c>
      <c r="E14" s="9" t="n">
        <v>1</v>
      </c>
      <c r="F14" s="10" t="n">
        <v>0.59655</v>
      </c>
      <c r="G14" s="10" t="n">
        <v>0.22069</v>
      </c>
      <c r="H14" s="10" t="n">
        <v>0.1031</v>
      </c>
      <c r="I14" s="10" t="n">
        <v>0.04776</v>
      </c>
      <c r="J14" s="10" t="n">
        <v>0.02303</v>
      </c>
      <c r="K14" s="10" t="n">
        <v>0.00886</v>
      </c>
      <c r="L14" s="10" t="n">
        <v>0</v>
      </c>
      <c r="M14" s="11" t="n">
        <f aca="false">SUM(F14:L14)</f>
        <v>0.99999</v>
      </c>
      <c r="N14" s="12" t="n">
        <f aca="false">F14*Parâmetros!$B$4+G14*Parâmetros!$B$5+H14*Parâmetros!$B$6+I14*Parâmetros!$B$7+J14*Parâmetros!$B$8+K14*Parâmetros!$B$9+L14*Parâmetros!$B$10</f>
        <v>14.04899</v>
      </c>
      <c r="O14" s="13" t="n">
        <v>75.5</v>
      </c>
      <c r="P14" s="14" t="n">
        <f aca="false">ROUND(N14*O14,-1)</f>
        <v>1060</v>
      </c>
      <c r="Q14" s="7" t="s">
        <v>55</v>
      </c>
    </row>
    <row r="15" customFormat="false" ht="15" hidden="false" customHeight="false" outlineLevel="0" collapsed="false">
      <c r="A15" s="7" t="n">
        <v>14</v>
      </c>
      <c r="B15" s="7" t="s">
        <v>56</v>
      </c>
      <c r="C15" s="8" t="s">
        <v>29</v>
      </c>
      <c r="D15" s="7" t="s">
        <v>30</v>
      </c>
      <c r="E15" s="9" t="n">
        <v>1</v>
      </c>
      <c r="F15" s="10" t="n">
        <v>0.58793</v>
      </c>
      <c r="G15" s="10" t="n">
        <v>0.22241</v>
      </c>
      <c r="H15" s="10" t="n">
        <v>0.10586</v>
      </c>
      <c r="I15" s="10" t="n">
        <v>0.04966</v>
      </c>
      <c r="J15" s="10" t="n">
        <v>0.02462</v>
      </c>
      <c r="K15" s="10" t="n">
        <v>0.00952</v>
      </c>
      <c r="L15" s="10" t="n">
        <v>0</v>
      </c>
      <c r="M15" s="11" t="n">
        <f aca="false">SUM(F15:L15)</f>
        <v>1</v>
      </c>
      <c r="N15" s="12" t="n">
        <f aca="false">F15*Parâmetros!$B$4+G15*Parâmetros!$B$5+H15*Parâmetros!$B$6+I15*Parâmetros!$B$7+J15*Parâmetros!$B$8+K15*Parâmetros!$B$9+L15*Parâmetros!$B$10</f>
        <v>14.76387</v>
      </c>
      <c r="O15" s="13" t="n">
        <v>74.3</v>
      </c>
      <c r="P15" s="14" t="n">
        <f aca="false">ROUND(N15*O15,-1)</f>
        <v>1100</v>
      </c>
      <c r="Q15" s="7" t="s">
        <v>57</v>
      </c>
    </row>
    <row r="16" customFormat="false" ht="15" hidden="false" customHeight="false" outlineLevel="0" collapsed="false">
      <c r="A16" s="7" t="n">
        <v>15</v>
      </c>
      <c r="B16" s="7" t="s">
        <v>58</v>
      </c>
      <c r="C16" s="8" t="s">
        <v>29</v>
      </c>
      <c r="D16" s="7" t="s">
        <v>30</v>
      </c>
      <c r="E16" s="9" t="n">
        <v>1</v>
      </c>
      <c r="F16" s="10" t="n">
        <v>0.57931</v>
      </c>
      <c r="G16" s="10" t="n">
        <v>0.22414</v>
      </c>
      <c r="H16" s="10" t="n">
        <v>0.10862</v>
      </c>
      <c r="I16" s="10" t="n">
        <v>0.05155</v>
      </c>
      <c r="J16" s="10" t="n">
        <v>0.02621</v>
      </c>
      <c r="K16" s="10" t="n">
        <v>0.01017</v>
      </c>
      <c r="L16" s="10" t="n">
        <v>0</v>
      </c>
      <c r="M16" s="11" t="n">
        <f aca="false">SUM(F16:L16)</f>
        <v>1</v>
      </c>
      <c r="N16" s="12" t="n">
        <f aca="false">F16*Parâmetros!$B$4+G16*Parâmetros!$B$5+H16*Parâmetros!$B$6+I16*Parâmetros!$B$7+J16*Parâmetros!$B$8+K16*Parâmetros!$B$9+L16*Parâmetros!$B$10</f>
        <v>15.47331</v>
      </c>
      <c r="O16" s="13" t="n">
        <v>73.1</v>
      </c>
      <c r="P16" s="14" t="n">
        <f aca="false">ROUND(N16*O16,-1)</f>
        <v>1130</v>
      </c>
      <c r="Q16" s="7" t="s">
        <v>59</v>
      </c>
    </row>
    <row r="17" customFormat="false" ht="15" hidden="false" customHeight="false" outlineLevel="0" collapsed="false">
      <c r="A17" s="7" t="n">
        <v>16</v>
      </c>
      <c r="B17" s="7" t="s">
        <v>60</v>
      </c>
      <c r="C17" s="8" t="s">
        <v>29</v>
      </c>
      <c r="D17" s="7" t="s">
        <v>30</v>
      </c>
      <c r="E17" s="9" t="n">
        <v>1</v>
      </c>
      <c r="F17" s="10" t="n">
        <v>0.57069</v>
      </c>
      <c r="G17" s="10" t="n">
        <v>0.22586</v>
      </c>
      <c r="H17" s="10" t="n">
        <v>0.11138</v>
      </c>
      <c r="I17" s="10" t="n">
        <v>0.05345</v>
      </c>
      <c r="J17" s="10" t="n">
        <v>0.02779</v>
      </c>
      <c r="K17" s="10" t="n">
        <v>0.01083</v>
      </c>
      <c r="L17" s="10" t="n">
        <v>0</v>
      </c>
      <c r="M17" s="11" t="n">
        <f aca="false">SUM(F17:L17)</f>
        <v>1</v>
      </c>
      <c r="N17" s="12" t="n">
        <f aca="false">F17*Parâmetros!$B$4+G17*Parâmetros!$B$5+H17*Parâmetros!$B$6+I17*Parâmetros!$B$7+J17*Parâmetros!$B$8+K17*Parâmetros!$B$9+L17*Parâmetros!$B$10</f>
        <v>16.18669</v>
      </c>
      <c r="O17" s="13" t="n">
        <v>71.9</v>
      </c>
      <c r="P17" s="14" t="n">
        <f aca="false">ROUND(N17*O17,-1)</f>
        <v>1160</v>
      </c>
      <c r="Q17" s="7" t="s">
        <v>61</v>
      </c>
    </row>
    <row r="18" customFormat="false" ht="15" hidden="false" customHeight="false" outlineLevel="0" collapsed="false">
      <c r="A18" s="7" t="n">
        <v>17</v>
      </c>
      <c r="B18" s="7" t="s">
        <v>62</v>
      </c>
      <c r="C18" s="8" t="s">
        <v>29</v>
      </c>
      <c r="D18" s="7" t="s">
        <v>30</v>
      </c>
      <c r="E18" s="9" t="n">
        <v>1</v>
      </c>
      <c r="F18" s="10" t="n">
        <v>0.56207</v>
      </c>
      <c r="G18" s="10" t="n">
        <v>0.22759</v>
      </c>
      <c r="H18" s="10" t="n">
        <v>0.11414</v>
      </c>
      <c r="I18" s="10" t="n">
        <v>0.05534</v>
      </c>
      <c r="J18" s="10" t="n">
        <v>0.02938</v>
      </c>
      <c r="K18" s="10" t="n">
        <v>0.01148</v>
      </c>
      <c r="L18" s="10" t="n">
        <v>0</v>
      </c>
      <c r="M18" s="11" t="n">
        <f aca="false">SUM(F18:L18)</f>
        <v>1</v>
      </c>
      <c r="N18" s="12" t="n">
        <f aca="false">F18*Parâmetros!$B$4+G18*Parâmetros!$B$5+H18*Parâmetros!$B$6+I18*Parâmetros!$B$7+J18*Parâmetros!$B$8+K18*Parâmetros!$B$9+L18*Parâmetros!$B$10</f>
        <v>16.89613</v>
      </c>
      <c r="O18" s="13" t="n">
        <v>70.7</v>
      </c>
      <c r="P18" s="14" t="n">
        <f aca="false">ROUND(N18*O18,-1)</f>
        <v>1190</v>
      </c>
      <c r="Q18" s="7" t="s">
        <v>63</v>
      </c>
    </row>
    <row r="19" customFormat="false" ht="15" hidden="false" customHeight="false" outlineLevel="0" collapsed="false">
      <c r="A19" s="7" t="n">
        <v>18</v>
      </c>
      <c r="B19" s="7" t="s">
        <v>64</v>
      </c>
      <c r="C19" s="8" t="s">
        <v>29</v>
      </c>
      <c r="D19" s="7" t="s">
        <v>30</v>
      </c>
      <c r="E19" s="9" t="n">
        <v>1</v>
      </c>
      <c r="F19" s="10" t="n">
        <v>0.55345</v>
      </c>
      <c r="G19" s="10" t="n">
        <v>0.22931</v>
      </c>
      <c r="H19" s="10" t="n">
        <v>0.1169</v>
      </c>
      <c r="I19" s="10" t="n">
        <v>0.05724</v>
      </c>
      <c r="J19" s="10" t="n">
        <v>0.03097</v>
      </c>
      <c r="K19" s="10" t="n">
        <v>0.01214</v>
      </c>
      <c r="L19" s="10" t="n">
        <v>0</v>
      </c>
      <c r="M19" s="11" t="n">
        <f aca="false">SUM(F19:L19)</f>
        <v>1.00001</v>
      </c>
      <c r="N19" s="12" t="n">
        <f aca="false">F19*Parâmetros!$B$4+G19*Parâmetros!$B$5+H19*Parâmetros!$B$6+I19*Parâmetros!$B$7+J19*Parâmetros!$B$8+K19*Parâmetros!$B$9+L19*Parâmetros!$B$10</f>
        <v>17.61101</v>
      </c>
      <c r="O19" s="13" t="n">
        <v>69.5</v>
      </c>
      <c r="P19" s="14" t="n">
        <f aca="false">ROUND(N19*O19,-1)</f>
        <v>1220</v>
      </c>
      <c r="Q19" s="7" t="s">
        <v>65</v>
      </c>
    </row>
    <row r="20" customFormat="false" ht="15" hidden="false" customHeight="false" outlineLevel="0" collapsed="false">
      <c r="A20" s="7" t="n">
        <v>19</v>
      </c>
      <c r="B20" s="7" t="s">
        <v>66</v>
      </c>
      <c r="C20" s="8" t="s">
        <v>29</v>
      </c>
      <c r="D20" s="7" t="s">
        <v>30</v>
      </c>
      <c r="E20" s="9" t="n">
        <v>1</v>
      </c>
      <c r="F20" s="10" t="n">
        <v>0.54483</v>
      </c>
      <c r="G20" s="10" t="n">
        <v>0.23103</v>
      </c>
      <c r="H20" s="10" t="n">
        <v>0.11966</v>
      </c>
      <c r="I20" s="10" t="n">
        <v>0.05914</v>
      </c>
      <c r="J20" s="10" t="n">
        <v>0.03255</v>
      </c>
      <c r="K20" s="10" t="n">
        <v>0.01279</v>
      </c>
      <c r="L20" s="10" t="n">
        <v>0</v>
      </c>
      <c r="M20" s="11" t="n">
        <f aca="false">SUM(F20:L20)</f>
        <v>1</v>
      </c>
      <c r="N20" s="12" t="n">
        <f aca="false">F20*Parâmetros!$B$4+G20*Parâmetros!$B$5+H20*Parâmetros!$B$6+I20*Parâmetros!$B$7+J20*Parâmetros!$B$8+K20*Parâmetros!$B$9+L20*Parâmetros!$B$10</f>
        <v>18.31939</v>
      </c>
      <c r="O20" s="13" t="n">
        <v>68.3</v>
      </c>
      <c r="P20" s="14" t="n">
        <f aca="false">ROUND(N20*O20,-1)</f>
        <v>1250</v>
      </c>
      <c r="Q20" s="7" t="s">
        <v>67</v>
      </c>
    </row>
    <row r="21" customFormat="false" ht="15" hidden="false" customHeight="false" outlineLevel="0" collapsed="false">
      <c r="A21" s="7" t="n">
        <v>20</v>
      </c>
      <c r="B21" s="7" t="s">
        <v>68</v>
      </c>
      <c r="C21" s="8" t="s">
        <v>29</v>
      </c>
      <c r="D21" s="7" t="s">
        <v>30</v>
      </c>
      <c r="E21" s="9" t="n">
        <v>1</v>
      </c>
      <c r="F21" s="10" t="n">
        <v>0.53621</v>
      </c>
      <c r="G21" s="10" t="n">
        <v>0.23276</v>
      </c>
      <c r="H21" s="10" t="n">
        <v>0.12241</v>
      </c>
      <c r="I21" s="10" t="n">
        <v>0.06103</v>
      </c>
      <c r="J21" s="10" t="n">
        <v>0.03414</v>
      </c>
      <c r="K21" s="10" t="n">
        <v>0.01345</v>
      </c>
      <c r="L21" s="10" t="n">
        <v>0</v>
      </c>
      <c r="M21" s="11" t="n">
        <f aca="false">SUM(F21:L21)</f>
        <v>1</v>
      </c>
      <c r="N21" s="12" t="n">
        <f aca="false">F21*Parâmetros!$B$4+G21*Parâmetros!$B$5+H21*Parâmetros!$B$6+I21*Parâmetros!$B$7+J21*Parâmetros!$B$8+K21*Parâmetros!$B$9+L21*Parâmetros!$B$10</f>
        <v>19.03365</v>
      </c>
      <c r="O21" s="13" t="n">
        <v>67.1</v>
      </c>
      <c r="P21" s="14" t="n">
        <f aca="false">ROUND(N21*O21,-1)</f>
        <v>1280</v>
      </c>
      <c r="Q21" s="7" t="s">
        <v>69</v>
      </c>
    </row>
    <row r="22" customFormat="false" ht="15" hidden="false" customHeight="false" outlineLevel="0" collapsed="false">
      <c r="A22" s="7" t="n">
        <v>21</v>
      </c>
      <c r="B22" s="7" t="s">
        <v>70</v>
      </c>
      <c r="C22" s="8" t="s">
        <v>29</v>
      </c>
      <c r="D22" s="7" t="s">
        <v>30</v>
      </c>
      <c r="E22" s="9" t="n">
        <v>1</v>
      </c>
      <c r="F22" s="10" t="n">
        <v>0.52759</v>
      </c>
      <c r="G22" s="10" t="n">
        <v>0.23448</v>
      </c>
      <c r="H22" s="10" t="n">
        <v>0.12517</v>
      </c>
      <c r="I22" s="10" t="n">
        <v>0.06293</v>
      </c>
      <c r="J22" s="10" t="n">
        <v>0.03572</v>
      </c>
      <c r="K22" s="10" t="n">
        <v>0.0141</v>
      </c>
      <c r="L22" s="10" t="n">
        <v>0</v>
      </c>
      <c r="M22" s="11" t="n">
        <f aca="false">SUM(F22:L22)</f>
        <v>0.99999</v>
      </c>
      <c r="N22" s="12" t="n">
        <f aca="false">F22*Parâmetros!$B$4+G22*Parâmetros!$B$5+H22*Parâmetros!$B$6+I22*Parâmetros!$B$7+J22*Parâmetros!$B$8+K22*Parâmetros!$B$9+L22*Parâmetros!$B$10</f>
        <v>19.74203</v>
      </c>
      <c r="O22" s="13" t="n">
        <v>65.9</v>
      </c>
      <c r="P22" s="14" t="n">
        <f aca="false">ROUND(N22*O22,-1)</f>
        <v>1300</v>
      </c>
      <c r="Q22" s="7" t="s">
        <v>71</v>
      </c>
    </row>
    <row r="23" customFormat="false" ht="15" hidden="false" customHeight="false" outlineLevel="0" collapsed="false">
      <c r="A23" s="7" t="n">
        <v>22</v>
      </c>
      <c r="B23" s="7" t="s">
        <v>72</v>
      </c>
      <c r="C23" s="8" t="s">
        <v>29</v>
      </c>
      <c r="D23" s="7" t="s">
        <v>30</v>
      </c>
      <c r="E23" s="9" t="n">
        <v>1</v>
      </c>
      <c r="F23" s="10" t="n">
        <v>0.51897</v>
      </c>
      <c r="G23" s="10" t="n">
        <v>0.23621</v>
      </c>
      <c r="H23" s="10" t="n">
        <v>0.12793</v>
      </c>
      <c r="I23" s="10" t="n">
        <v>0.06483</v>
      </c>
      <c r="J23" s="10" t="n">
        <v>0.03731</v>
      </c>
      <c r="K23" s="10" t="n">
        <v>0.01476</v>
      </c>
      <c r="L23" s="10" t="n">
        <v>0</v>
      </c>
      <c r="M23" s="11" t="n">
        <f aca="false">SUM(F23:L23)</f>
        <v>1.00001</v>
      </c>
      <c r="N23" s="12" t="n">
        <f aca="false">F23*Parâmetros!$B$4+G23*Parâmetros!$B$5+H23*Parâmetros!$B$6+I23*Parâmetros!$B$7+J23*Parâmetros!$B$8+K23*Parâmetros!$B$9+L23*Parâmetros!$B$10</f>
        <v>20.45697</v>
      </c>
      <c r="O23" s="13" t="n">
        <v>64.7</v>
      </c>
      <c r="P23" s="14" t="n">
        <f aca="false">ROUND(N23*O23,-1)</f>
        <v>1320</v>
      </c>
      <c r="Q23" s="7" t="s">
        <v>73</v>
      </c>
    </row>
    <row r="24" customFormat="false" ht="15" hidden="false" customHeight="false" outlineLevel="0" collapsed="false">
      <c r="A24" s="7" t="n">
        <v>23</v>
      </c>
      <c r="B24" s="7" t="s">
        <v>74</v>
      </c>
      <c r="C24" s="8" t="s">
        <v>29</v>
      </c>
      <c r="D24" s="7" t="s">
        <v>30</v>
      </c>
      <c r="E24" s="9" t="n">
        <v>1</v>
      </c>
      <c r="F24" s="10" t="n">
        <v>0.51034</v>
      </c>
      <c r="G24" s="10" t="n">
        <v>0.23793</v>
      </c>
      <c r="H24" s="10" t="n">
        <v>0.13069</v>
      </c>
      <c r="I24" s="10" t="n">
        <v>0.06672</v>
      </c>
      <c r="J24" s="10" t="n">
        <v>0.0389</v>
      </c>
      <c r="K24" s="10" t="n">
        <v>0.01541</v>
      </c>
      <c r="L24" s="10" t="n">
        <v>0</v>
      </c>
      <c r="M24" s="11" t="n">
        <f aca="false">SUM(F24:L24)</f>
        <v>0.99999</v>
      </c>
      <c r="N24" s="12" t="n">
        <f aca="false">F24*Parâmetros!$B$4+G24*Parâmetros!$B$5+H24*Parâmetros!$B$6+I24*Parâmetros!$B$7+J24*Parâmetros!$B$8+K24*Parâmetros!$B$9+L24*Parâmetros!$B$10</f>
        <v>21.16634</v>
      </c>
      <c r="O24" s="13" t="n">
        <v>63.4</v>
      </c>
      <c r="P24" s="14" t="n">
        <f aca="false">ROUND(N24*O24,-1)</f>
        <v>1340</v>
      </c>
      <c r="Q24" s="7" t="s">
        <v>75</v>
      </c>
    </row>
    <row r="25" customFormat="false" ht="15" hidden="false" customHeight="false" outlineLevel="0" collapsed="false">
      <c r="A25" s="7" t="n">
        <v>24</v>
      </c>
      <c r="B25" s="7" t="s">
        <v>76</v>
      </c>
      <c r="C25" s="8" t="s">
        <v>29</v>
      </c>
      <c r="D25" s="7" t="s">
        <v>30</v>
      </c>
      <c r="E25" s="9" t="n">
        <v>1</v>
      </c>
      <c r="F25" s="10" t="n">
        <v>0.50172</v>
      </c>
      <c r="G25" s="10" t="n">
        <v>0.23966</v>
      </c>
      <c r="H25" s="10" t="n">
        <v>0.13345</v>
      </c>
      <c r="I25" s="10" t="n">
        <v>0.06862</v>
      </c>
      <c r="J25" s="10" t="n">
        <v>0.04048</v>
      </c>
      <c r="K25" s="10" t="n">
        <v>0.01607</v>
      </c>
      <c r="L25" s="10" t="n">
        <v>0</v>
      </c>
      <c r="M25" s="11" t="n">
        <f aca="false">SUM(F25:L25)</f>
        <v>1</v>
      </c>
      <c r="N25" s="12" t="n">
        <f aca="false">F25*Parâmetros!$B$4+G25*Parâmetros!$B$5+H25*Parâmetros!$B$6+I25*Parâmetros!$B$7+J25*Parâmetros!$B$8+K25*Parâmetros!$B$9+L25*Parâmetros!$B$10</f>
        <v>21.87978</v>
      </c>
      <c r="O25" s="13" t="n">
        <v>62.2</v>
      </c>
      <c r="P25" s="14" t="n">
        <f aca="false">ROUND(N25*O25,-1)</f>
        <v>1360</v>
      </c>
      <c r="Q25" s="7" t="s">
        <v>77</v>
      </c>
    </row>
    <row r="26" customFormat="false" ht="15" hidden="false" customHeight="false" outlineLevel="0" collapsed="false">
      <c r="A26" s="7" t="n">
        <v>25</v>
      </c>
      <c r="B26" s="7" t="s">
        <v>78</v>
      </c>
      <c r="C26" s="8" t="s">
        <v>29</v>
      </c>
      <c r="D26" s="7" t="s">
        <v>30</v>
      </c>
      <c r="E26" s="9" t="n">
        <v>1</v>
      </c>
      <c r="F26" s="10" t="n">
        <v>0.4931</v>
      </c>
      <c r="G26" s="10" t="n">
        <v>0.24138</v>
      </c>
      <c r="H26" s="10" t="n">
        <v>0.13621</v>
      </c>
      <c r="I26" s="10" t="n">
        <v>0.07052</v>
      </c>
      <c r="J26" s="10" t="n">
        <v>0.04207</v>
      </c>
      <c r="K26" s="10" t="n">
        <v>0.01672</v>
      </c>
      <c r="L26" s="10" t="n">
        <v>0</v>
      </c>
      <c r="M26" s="11" t="n">
        <f aca="false">SUM(F26:L26)</f>
        <v>1</v>
      </c>
      <c r="N26" s="12" t="n">
        <f aca="false">F26*Parâmetros!$B$4+G26*Parâmetros!$B$5+H26*Parâmetros!$B$6+I26*Parâmetros!$B$7+J26*Parâmetros!$B$8+K26*Parâmetros!$B$9+L26*Parâmetros!$B$10</f>
        <v>22.58966</v>
      </c>
      <c r="O26" s="13" t="n">
        <v>61</v>
      </c>
      <c r="P26" s="14" t="n">
        <f aca="false">ROUND(N26*O26,-1)</f>
        <v>1380</v>
      </c>
      <c r="Q26" s="7" t="s">
        <v>79</v>
      </c>
    </row>
    <row r="27" customFormat="false" ht="15" hidden="false" customHeight="false" outlineLevel="0" collapsed="false">
      <c r="A27" s="7" t="n">
        <v>26</v>
      </c>
      <c r="B27" s="7" t="s">
        <v>80</v>
      </c>
      <c r="C27" s="8" t="s">
        <v>29</v>
      </c>
      <c r="D27" s="7" t="s">
        <v>30</v>
      </c>
      <c r="E27" s="9" t="n">
        <v>1</v>
      </c>
      <c r="F27" s="10" t="n">
        <v>0.48448</v>
      </c>
      <c r="G27" s="10" t="n">
        <v>0.2431</v>
      </c>
      <c r="H27" s="10" t="n">
        <v>0.13897</v>
      </c>
      <c r="I27" s="10" t="n">
        <v>0.07241</v>
      </c>
      <c r="J27" s="10" t="n">
        <v>0.04366</v>
      </c>
      <c r="K27" s="10" t="n">
        <v>0.01738</v>
      </c>
      <c r="L27" s="10" t="n">
        <v>0</v>
      </c>
      <c r="M27" s="11" t="n">
        <f aca="false">SUM(F27:L27)</f>
        <v>1</v>
      </c>
      <c r="N27" s="12" t="n">
        <f aca="false">F27*Parâmetros!$B$4+G27*Parâmetros!$B$5+H27*Parâmetros!$B$6+I27*Parâmetros!$B$7+J27*Parâmetros!$B$8+K27*Parâmetros!$B$9+L27*Parâmetros!$B$10</f>
        <v>23.30404</v>
      </c>
      <c r="O27" s="13" t="n">
        <v>59.8</v>
      </c>
      <c r="P27" s="14" t="n">
        <f aca="false">ROUND(N27*O27,-1)</f>
        <v>1390</v>
      </c>
      <c r="Q27" s="7" t="s">
        <v>81</v>
      </c>
    </row>
    <row r="28" customFormat="false" ht="15" hidden="false" customHeight="false" outlineLevel="0" collapsed="false">
      <c r="A28" s="7" t="n">
        <v>27</v>
      </c>
      <c r="B28" s="7" t="s">
        <v>82</v>
      </c>
      <c r="C28" s="8" t="s">
        <v>29</v>
      </c>
      <c r="D28" s="7" t="s">
        <v>30</v>
      </c>
      <c r="E28" s="9" t="n">
        <v>1</v>
      </c>
      <c r="F28" s="10" t="n">
        <v>0.47586</v>
      </c>
      <c r="G28" s="10" t="n">
        <v>0.24483</v>
      </c>
      <c r="H28" s="10" t="n">
        <v>0.14172</v>
      </c>
      <c r="I28" s="10" t="n">
        <v>0.07431</v>
      </c>
      <c r="J28" s="10" t="n">
        <v>0.04524</v>
      </c>
      <c r="K28" s="10" t="n">
        <v>0.01803</v>
      </c>
      <c r="L28" s="10" t="n">
        <v>0</v>
      </c>
      <c r="M28" s="11" t="n">
        <f aca="false">SUM(F28:L28)</f>
        <v>0.99999</v>
      </c>
      <c r="N28" s="12" t="n">
        <f aca="false">F28*Parâmetros!$B$4+G28*Parâmetros!$B$5+H28*Parâmetros!$B$6+I28*Parâmetros!$B$7+J28*Parâmetros!$B$8+K28*Parâmetros!$B$9+L28*Parâmetros!$B$10</f>
        <v>24.0123</v>
      </c>
      <c r="O28" s="13" t="n">
        <v>58.6</v>
      </c>
      <c r="P28" s="14" t="n">
        <f aca="false">ROUND(N28*O28,-1)</f>
        <v>1410</v>
      </c>
      <c r="Q28" s="7" t="s">
        <v>83</v>
      </c>
    </row>
    <row r="29" customFormat="false" ht="15" hidden="false" customHeight="false" outlineLevel="0" collapsed="false">
      <c r="A29" s="7" t="n">
        <v>28</v>
      </c>
      <c r="B29" s="7" t="s">
        <v>84</v>
      </c>
      <c r="C29" s="8" t="s">
        <v>29</v>
      </c>
      <c r="D29" s="7" t="s">
        <v>30</v>
      </c>
      <c r="E29" s="9" t="n">
        <v>1</v>
      </c>
      <c r="F29" s="10" t="n">
        <v>0.46724</v>
      </c>
      <c r="G29" s="10" t="n">
        <v>0.24655</v>
      </c>
      <c r="H29" s="10" t="n">
        <v>0.14448</v>
      </c>
      <c r="I29" s="10" t="n">
        <v>0.07621</v>
      </c>
      <c r="J29" s="10" t="n">
        <v>0.04683</v>
      </c>
      <c r="K29" s="10" t="n">
        <v>0.01869</v>
      </c>
      <c r="L29" s="10" t="n">
        <v>0</v>
      </c>
      <c r="M29" s="11" t="n">
        <f aca="false">SUM(F29:L29)</f>
        <v>1</v>
      </c>
      <c r="N29" s="12" t="n">
        <f aca="false">F29*Parâmetros!$B$4+G29*Parâmetros!$B$5+H29*Parâmetros!$B$6+I29*Parâmetros!$B$7+J29*Parâmetros!$B$8+K29*Parâmetros!$B$9+L29*Parâmetros!$B$10</f>
        <v>24.72718</v>
      </c>
      <c r="O29" s="13" t="n">
        <v>57.4</v>
      </c>
      <c r="P29" s="14" t="n">
        <f aca="false">ROUND(N29*O29,-1)</f>
        <v>1420</v>
      </c>
      <c r="Q29" s="7" t="s">
        <v>85</v>
      </c>
    </row>
    <row r="30" customFormat="false" ht="15" hidden="false" customHeight="false" outlineLevel="0" collapsed="false">
      <c r="A30" s="7" t="n">
        <v>29</v>
      </c>
      <c r="B30" s="7" t="s">
        <v>86</v>
      </c>
      <c r="C30" s="8" t="s">
        <v>29</v>
      </c>
      <c r="D30" s="7" t="s">
        <v>30</v>
      </c>
      <c r="E30" s="9" t="n">
        <v>1</v>
      </c>
      <c r="F30" s="10" t="n">
        <v>0.45862</v>
      </c>
      <c r="G30" s="10" t="n">
        <v>0.24828</v>
      </c>
      <c r="H30" s="10" t="n">
        <v>0.14724</v>
      </c>
      <c r="I30" s="10" t="n">
        <v>0.0781</v>
      </c>
      <c r="J30" s="10" t="n">
        <v>0.04841</v>
      </c>
      <c r="K30" s="10" t="n">
        <v>0.01934</v>
      </c>
      <c r="L30" s="10" t="n">
        <v>0</v>
      </c>
      <c r="M30" s="11" t="n">
        <f aca="false">SUM(F30:L30)</f>
        <v>0.99999</v>
      </c>
      <c r="N30" s="12" t="n">
        <f aca="false">F30*Parâmetros!$B$4+G30*Parâmetros!$B$5+H30*Parâmetros!$B$6+I30*Parâmetros!$B$7+J30*Parâmetros!$B$8+K30*Parâmetros!$B$9+L30*Parâmetros!$B$10</f>
        <v>25.43512</v>
      </c>
      <c r="O30" s="13" t="n">
        <v>56.2</v>
      </c>
      <c r="P30" s="14" t="n">
        <f aca="false">ROUND(N30*O30,-1)</f>
        <v>1430</v>
      </c>
      <c r="Q30" s="7" t="s">
        <v>87</v>
      </c>
    </row>
    <row r="31" customFormat="false" ht="15" hidden="false" customHeight="false" outlineLevel="0" collapsed="false">
      <c r="A31" s="7" t="n">
        <v>30</v>
      </c>
      <c r="B31" s="7" t="s">
        <v>88</v>
      </c>
      <c r="C31" s="8" t="s">
        <v>29</v>
      </c>
      <c r="D31" s="7" t="s">
        <v>30</v>
      </c>
      <c r="E31" s="9" t="n">
        <v>1</v>
      </c>
      <c r="F31" s="10" t="n">
        <v>0.45</v>
      </c>
      <c r="G31" s="10" t="n">
        <v>0.25</v>
      </c>
      <c r="H31" s="10" t="n">
        <v>0.15</v>
      </c>
      <c r="I31" s="10" t="n">
        <v>0.08</v>
      </c>
      <c r="J31" s="10" t="n">
        <v>0.05</v>
      </c>
      <c r="K31" s="10" t="n">
        <v>0.02</v>
      </c>
      <c r="L31" s="10" t="n">
        <v>0</v>
      </c>
      <c r="M31" s="11" t="n">
        <f aca="false">SUM(F31:L31)</f>
        <v>1</v>
      </c>
      <c r="N31" s="12" t="n">
        <f aca="false">F31*Parâmetros!$B$4+G31*Parâmetros!$B$5+H31*Parâmetros!$B$6+I31*Parâmetros!$B$7+J31*Parâmetros!$B$8+K31*Parâmetros!$B$9+L31*Parâmetros!$B$10</f>
        <v>26.15</v>
      </c>
      <c r="O31" s="13" t="n">
        <v>55</v>
      </c>
      <c r="P31" s="14" t="n">
        <f aca="false">ROUND(N31*O31,-1)</f>
        <v>1440</v>
      </c>
      <c r="Q31" s="7" t="s">
        <v>89</v>
      </c>
    </row>
    <row r="32" customFormat="false" ht="15" hidden="false" customHeight="false" outlineLevel="0" collapsed="false">
      <c r="A32" s="7" t="n">
        <v>31</v>
      </c>
      <c r="B32" s="7" t="s">
        <v>90</v>
      </c>
      <c r="C32" s="15" t="s">
        <v>91</v>
      </c>
      <c r="D32" s="7" t="s">
        <v>92</v>
      </c>
      <c r="E32" s="9" t="n">
        <v>1</v>
      </c>
      <c r="F32" s="10" t="n">
        <v>0.42</v>
      </c>
      <c r="G32" s="10" t="n">
        <v>0.24</v>
      </c>
      <c r="H32" s="10" t="n">
        <v>0.16</v>
      </c>
      <c r="I32" s="10" t="n">
        <v>0.095</v>
      </c>
      <c r="J32" s="10" t="n">
        <v>0.06</v>
      </c>
      <c r="K32" s="10" t="n">
        <v>0.025</v>
      </c>
      <c r="L32" s="10" t="n">
        <v>0</v>
      </c>
      <c r="M32" s="11" t="n">
        <f aca="false">SUM(F32:L32)</f>
        <v>1</v>
      </c>
      <c r="N32" s="12" t="n">
        <f aca="false">F32*Parâmetros!$B$4+G32*Parâmetros!$B$5+H32*Parâmetros!$B$6+I32*Parâmetros!$B$7+J32*Parâmetros!$B$8+K32*Parâmetros!$B$9+L32*Parâmetros!$B$10</f>
        <v>30.99</v>
      </c>
      <c r="O32" s="13" t="n">
        <v>50</v>
      </c>
      <c r="P32" s="14" t="n">
        <f aca="false">ROUND(N32*O32,-1)</f>
        <v>1550</v>
      </c>
      <c r="Q32" s="7" t="s">
        <v>93</v>
      </c>
    </row>
    <row r="33" customFormat="false" ht="15" hidden="false" customHeight="false" outlineLevel="0" collapsed="false">
      <c r="A33" s="7" t="n">
        <v>32</v>
      </c>
      <c r="B33" s="7" t="s">
        <v>94</v>
      </c>
      <c r="C33" s="15" t="s">
        <v>91</v>
      </c>
      <c r="D33" s="7" t="s">
        <v>92</v>
      </c>
      <c r="E33" s="9" t="n">
        <v>1</v>
      </c>
      <c r="F33" s="10" t="n">
        <v>0.396</v>
      </c>
      <c r="G33" s="10" t="n">
        <v>0.236</v>
      </c>
      <c r="H33" s="10" t="n">
        <v>0.164</v>
      </c>
      <c r="I33" s="10" t="n">
        <v>0.106</v>
      </c>
      <c r="J33" s="10" t="n">
        <v>0.068</v>
      </c>
      <c r="K33" s="10" t="n">
        <v>0.03</v>
      </c>
      <c r="L33" s="10" t="n">
        <v>0</v>
      </c>
      <c r="M33" s="11" t="n">
        <f aca="false">SUM(F33:L33)</f>
        <v>1</v>
      </c>
      <c r="N33" s="12" t="n">
        <f aca="false">F33*Parâmetros!$B$4+G33*Parâmetros!$B$5+H33*Parâmetros!$B$6+I33*Parâmetros!$B$7+J33*Parâmetros!$B$8+K33*Parâmetros!$B$9+L33*Parâmetros!$B$10</f>
        <v>35.264</v>
      </c>
      <c r="O33" s="13" t="n">
        <v>47</v>
      </c>
      <c r="P33" s="14" t="n">
        <f aca="false">ROUND(N33*O33,-1)</f>
        <v>1660</v>
      </c>
      <c r="Q33" s="7" t="s">
        <v>95</v>
      </c>
    </row>
    <row r="34" customFormat="false" ht="15" hidden="false" customHeight="false" outlineLevel="0" collapsed="false">
      <c r="A34" s="7" t="n">
        <v>33</v>
      </c>
      <c r="B34" s="7" t="s">
        <v>96</v>
      </c>
      <c r="C34" s="15" t="s">
        <v>91</v>
      </c>
      <c r="D34" s="7" t="s">
        <v>92</v>
      </c>
      <c r="E34" s="9" t="n">
        <v>1</v>
      </c>
      <c r="F34" s="10" t="n">
        <v>0.372</v>
      </c>
      <c r="G34" s="10" t="n">
        <v>0.232</v>
      </c>
      <c r="H34" s="10" t="n">
        <v>0.168</v>
      </c>
      <c r="I34" s="10" t="n">
        <v>0.117</v>
      </c>
      <c r="J34" s="10" t="n">
        <v>0.076</v>
      </c>
      <c r="K34" s="10" t="n">
        <v>0.035</v>
      </c>
      <c r="L34" s="10" t="n">
        <v>0</v>
      </c>
      <c r="M34" s="11" t="n">
        <f aca="false">SUM(F34:L34)</f>
        <v>1</v>
      </c>
      <c r="N34" s="12" t="n">
        <f aca="false">F34*Parâmetros!$B$4+G34*Parâmetros!$B$5+H34*Parâmetros!$B$6+I34*Parâmetros!$B$7+J34*Parâmetros!$B$8+K34*Parâmetros!$B$9+L34*Parâmetros!$B$10</f>
        <v>39.538</v>
      </c>
      <c r="O34" s="13" t="n">
        <v>44</v>
      </c>
      <c r="P34" s="14" t="n">
        <f aca="false">ROUND(N34*O34,-1)</f>
        <v>1740</v>
      </c>
      <c r="Q34" s="7" t="s">
        <v>97</v>
      </c>
    </row>
    <row r="35" customFormat="false" ht="15" hidden="false" customHeight="false" outlineLevel="0" collapsed="false">
      <c r="A35" s="7" t="n">
        <v>34</v>
      </c>
      <c r="B35" s="7" t="s">
        <v>98</v>
      </c>
      <c r="C35" s="15" t="s">
        <v>91</v>
      </c>
      <c r="D35" s="7" t="s">
        <v>92</v>
      </c>
      <c r="E35" s="9" t="n">
        <v>1</v>
      </c>
      <c r="F35" s="10" t="n">
        <v>0.348</v>
      </c>
      <c r="G35" s="10" t="n">
        <v>0.228</v>
      </c>
      <c r="H35" s="10" t="n">
        <v>0.172</v>
      </c>
      <c r="I35" s="10" t="n">
        <v>0.128</v>
      </c>
      <c r="J35" s="10" t="n">
        <v>0.084</v>
      </c>
      <c r="K35" s="10" t="n">
        <v>0.04</v>
      </c>
      <c r="L35" s="10" t="n">
        <v>0</v>
      </c>
      <c r="M35" s="11" t="n">
        <f aca="false">SUM(F35:L35)</f>
        <v>1</v>
      </c>
      <c r="N35" s="12" t="n">
        <f aca="false">F35*Parâmetros!$B$4+G35*Parâmetros!$B$5+H35*Parâmetros!$B$6+I35*Parâmetros!$B$7+J35*Parâmetros!$B$8+K35*Parâmetros!$B$9+L35*Parâmetros!$B$10</f>
        <v>43.812</v>
      </c>
      <c r="O35" s="13" t="n">
        <v>41</v>
      </c>
      <c r="P35" s="14" t="n">
        <f aca="false">ROUND(N35*O35,-1)</f>
        <v>1800</v>
      </c>
      <c r="Q35" s="7" t="s">
        <v>99</v>
      </c>
    </row>
    <row r="36" customFormat="false" ht="15" hidden="false" customHeight="false" outlineLevel="0" collapsed="false">
      <c r="A36" s="7" t="n">
        <v>35</v>
      </c>
      <c r="B36" s="7" t="s">
        <v>100</v>
      </c>
      <c r="C36" s="15" t="s">
        <v>91</v>
      </c>
      <c r="D36" s="7" t="s">
        <v>92</v>
      </c>
      <c r="E36" s="9" t="n">
        <v>1</v>
      </c>
      <c r="F36" s="10" t="n">
        <v>0.324</v>
      </c>
      <c r="G36" s="10" t="n">
        <v>0.224</v>
      </c>
      <c r="H36" s="10" t="n">
        <v>0.176</v>
      </c>
      <c r="I36" s="10" t="n">
        <v>0.139</v>
      </c>
      <c r="J36" s="10" t="n">
        <v>0.092</v>
      </c>
      <c r="K36" s="10" t="n">
        <v>0.045</v>
      </c>
      <c r="L36" s="10" t="n">
        <v>0</v>
      </c>
      <c r="M36" s="11" t="n">
        <f aca="false">SUM(F36:L36)</f>
        <v>1</v>
      </c>
      <c r="N36" s="12" t="n">
        <f aca="false">F36*Parâmetros!$B$4+G36*Parâmetros!$B$5+H36*Parâmetros!$B$6+I36*Parâmetros!$B$7+J36*Parâmetros!$B$8+K36*Parâmetros!$B$9+L36*Parâmetros!$B$10</f>
        <v>48.086</v>
      </c>
      <c r="O36" s="13" t="n">
        <v>38</v>
      </c>
      <c r="P36" s="14" t="n">
        <f aca="false">ROUND(N36*O36,-1)</f>
        <v>1830</v>
      </c>
      <c r="Q36" s="7" t="s">
        <v>101</v>
      </c>
    </row>
    <row r="37" customFormat="false" ht="15" hidden="false" customHeight="false" outlineLevel="0" collapsed="false">
      <c r="A37" s="7" t="n">
        <v>36</v>
      </c>
      <c r="B37" s="7" t="s">
        <v>102</v>
      </c>
      <c r="C37" s="15" t="s">
        <v>91</v>
      </c>
      <c r="D37" s="7" t="s">
        <v>92</v>
      </c>
      <c r="E37" s="9" t="n">
        <v>1</v>
      </c>
      <c r="F37" s="10" t="n">
        <v>0.3</v>
      </c>
      <c r="G37" s="10" t="n">
        <v>0.22</v>
      </c>
      <c r="H37" s="10" t="n">
        <v>0.18</v>
      </c>
      <c r="I37" s="10" t="n">
        <v>0.15</v>
      </c>
      <c r="J37" s="10" t="n">
        <v>0.1</v>
      </c>
      <c r="K37" s="10" t="n">
        <v>0.05</v>
      </c>
      <c r="L37" s="10" t="n">
        <v>0</v>
      </c>
      <c r="M37" s="11" t="n">
        <f aca="false">SUM(F37:L37)</f>
        <v>1</v>
      </c>
      <c r="N37" s="12" t="n">
        <f aca="false">F37*Parâmetros!$B$4+G37*Parâmetros!$B$5+H37*Parâmetros!$B$6+I37*Parâmetros!$B$7+J37*Parâmetros!$B$8+K37*Parâmetros!$B$9+L37*Parâmetros!$B$10</f>
        <v>52.36</v>
      </c>
      <c r="O37" s="13" t="n">
        <v>35</v>
      </c>
      <c r="P37" s="14" t="n">
        <f aca="false">ROUND(N37*O37,-1)</f>
        <v>1830</v>
      </c>
      <c r="Q37" s="7" t="s">
        <v>103</v>
      </c>
    </row>
    <row r="38" customFormat="false" ht="15" hidden="false" customHeight="false" outlineLevel="0" collapsed="false">
      <c r="A38" s="7" t="n">
        <v>37</v>
      </c>
      <c r="B38" s="7" t="s">
        <v>104</v>
      </c>
      <c r="C38" s="16" t="s">
        <v>105</v>
      </c>
      <c r="D38" s="7" t="s">
        <v>105</v>
      </c>
      <c r="E38" s="9" t="n">
        <v>1</v>
      </c>
      <c r="F38" s="10" t="n">
        <v>0.28</v>
      </c>
      <c r="G38" s="10" t="n">
        <v>0.22</v>
      </c>
      <c r="H38" s="10" t="n">
        <v>0.19</v>
      </c>
      <c r="I38" s="10" t="n">
        <v>0.16</v>
      </c>
      <c r="J38" s="10" t="n">
        <v>0.11</v>
      </c>
      <c r="K38" s="10" t="n">
        <v>0.04</v>
      </c>
      <c r="L38" s="10" t="n">
        <v>0</v>
      </c>
      <c r="M38" s="11" t="n">
        <f aca="false">SUM(F38:L38)</f>
        <v>1</v>
      </c>
      <c r="N38" s="12" t="n">
        <f aca="false">F38*Parâmetros!$B$4+G38*Parâmetros!$B$5+H38*Parâmetros!$B$6+I38*Parâmetros!$B$7+J38*Parâmetros!$B$8+K38*Parâmetros!$B$9+L38*Parâmetros!$B$10</f>
        <v>49.52</v>
      </c>
      <c r="O38" s="13" t="n">
        <v>45</v>
      </c>
      <c r="P38" s="14" t="n">
        <f aca="false">ROUND(N38*O38,-1)</f>
        <v>2230</v>
      </c>
      <c r="Q38" s="7" t="s">
        <v>106</v>
      </c>
    </row>
    <row r="39" customFormat="false" ht="15" hidden="false" customHeight="false" outlineLevel="0" collapsed="false">
      <c r="A39" s="7" t="n">
        <v>38</v>
      </c>
      <c r="B39" s="7" t="s">
        <v>107</v>
      </c>
      <c r="C39" s="16" t="s">
        <v>105</v>
      </c>
      <c r="D39" s="7" t="s">
        <v>105</v>
      </c>
      <c r="E39" s="9" t="n">
        <v>1</v>
      </c>
      <c r="F39" s="10" t="n">
        <v>0.2575</v>
      </c>
      <c r="G39" s="10" t="n">
        <v>0.21125</v>
      </c>
      <c r="H39" s="10" t="n">
        <v>0.19125</v>
      </c>
      <c r="I39" s="10" t="n">
        <v>0.17125</v>
      </c>
      <c r="J39" s="10" t="n">
        <v>0.12125</v>
      </c>
      <c r="K39" s="10" t="n">
        <v>0.0475</v>
      </c>
      <c r="L39" s="10" t="n">
        <v>0</v>
      </c>
      <c r="M39" s="11" t="n">
        <f aca="false">SUM(F39:L39)</f>
        <v>1</v>
      </c>
      <c r="N39" s="12" t="n">
        <f aca="false">F39*Parâmetros!$B$4+G39*Parâmetros!$B$5+H39*Parâmetros!$B$6+I39*Parâmetros!$B$7+J39*Parâmetros!$B$8+K39*Parâmetros!$B$9+L39*Parâmetros!$B$10</f>
        <v>55.4675</v>
      </c>
      <c r="O39" s="13" t="n">
        <v>43.1</v>
      </c>
      <c r="P39" s="14" t="n">
        <f aca="false">ROUND(N39*O39,-1)</f>
        <v>2390</v>
      </c>
      <c r="Q39" s="7" t="s">
        <v>108</v>
      </c>
    </row>
    <row r="40" customFormat="false" ht="15" hidden="false" customHeight="false" outlineLevel="0" collapsed="false">
      <c r="A40" s="7" t="n">
        <v>39</v>
      </c>
      <c r="B40" s="7" t="s">
        <v>109</v>
      </c>
      <c r="C40" s="16" t="s">
        <v>105</v>
      </c>
      <c r="D40" s="7" t="s">
        <v>105</v>
      </c>
      <c r="E40" s="9" t="n">
        <v>1</v>
      </c>
      <c r="F40" s="10" t="n">
        <v>0.235</v>
      </c>
      <c r="G40" s="10" t="n">
        <v>0.2025</v>
      </c>
      <c r="H40" s="10" t="n">
        <v>0.1925</v>
      </c>
      <c r="I40" s="10" t="n">
        <v>0.1825</v>
      </c>
      <c r="J40" s="10" t="n">
        <v>0.1325</v>
      </c>
      <c r="K40" s="10" t="n">
        <v>0.055</v>
      </c>
      <c r="L40" s="10" t="n">
        <v>0</v>
      </c>
      <c r="M40" s="11" t="n">
        <f aca="false">SUM(F40:L40)</f>
        <v>1</v>
      </c>
      <c r="N40" s="12" t="n">
        <f aca="false">F40*Parâmetros!$B$4+G40*Parâmetros!$B$5+H40*Parâmetros!$B$6+I40*Parâmetros!$B$7+J40*Parâmetros!$B$8+K40*Parâmetros!$B$9+L40*Parâmetros!$B$10</f>
        <v>61.415</v>
      </c>
      <c r="O40" s="13" t="n">
        <v>41.2</v>
      </c>
      <c r="P40" s="14" t="n">
        <f aca="false">ROUND(N40*O40,-1)</f>
        <v>2530</v>
      </c>
      <c r="Q40" s="7" t="s">
        <v>110</v>
      </c>
    </row>
    <row r="41" customFormat="false" ht="15" hidden="false" customHeight="false" outlineLevel="0" collapsed="false">
      <c r="A41" s="7" t="n">
        <v>40</v>
      </c>
      <c r="B41" s="7" t="s">
        <v>111</v>
      </c>
      <c r="C41" s="16" t="s">
        <v>105</v>
      </c>
      <c r="D41" s="7" t="s">
        <v>105</v>
      </c>
      <c r="E41" s="9" t="n">
        <v>1</v>
      </c>
      <c r="F41" s="10" t="n">
        <v>0.2125</v>
      </c>
      <c r="G41" s="10" t="n">
        <v>0.19375</v>
      </c>
      <c r="H41" s="10" t="n">
        <v>0.19375</v>
      </c>
      <c r="I41" s="10" t="n">
        <v>0.19375</v>
      </c>
      <c r="J41" s="10" t="n">
        <v>0.14375</v>
      </c>
      <c r="K41" s="10" t="n">
        <v>0.0625</v>
      </c>
      <c r="L41" s="10" t="n">
        <v>0</v>
      </c>
      <c r="M41" s="11" t="n">
        <f aca="false">SUM(F41:L41)</f>
        <v>1</v>
      </c>
      <c r="N41" s="12" t="n">
        <f aca="false">F41*Parâmetros!$B$4+G41*Parâmetros!$B$5+H41*Parâmetros!$B$6+I41*Parâmetros!$B$7+J41*Parâmetros!$B$8+K41*Parâmetros!$B$9+L41*Parâmetros!$B$10</f>
        <v>67.3625</v>
      </c>
      <c r="O41" s="13" t="n">
        <v>39.4</v>
      </c>
      <c r="P41" s="14" t="n">
        <f aca="false">ROUND(N41*O41,-1)</f>
        <v>2650</v>
      </c>
      <c r="Q41" s="7" t="s">
        <v>112</v>
      </c>
    </row>
    <row r="42" customFormat="false" ht="15" hidden="false" customHeight="false" outlineLevel="0" collapsed="false">
      <c r="A42" s="7" t="n">
        <v>41</v>
      </c>
      <c r="B42" s="7" t="s">
        <v>113</v>
      </c>
      <c r="C42" s="16" t="s">
        <v>105</v>
      </c>
      <c r="D42" s="7" t="s">
        <v>105</v>
      </c>
      <c r="E42" s="9" t="n">
        <v>1</v>
      </c>
      <c r="F42" s="10" t="n">
        <v>0.19</v>
      </c>
      <c r="G42" s="10" t="n">
        <v>0.185</v>
      </c>
      <c r="H42" s="10" t="n">
        <v>0.195</v>
      </c>
      <c r="I42" s="10" t="n">
        <v>0.205</v>
      </c>
      <c r="J42" s="10" t="n">
        <v>0.155</v>
      </c>
      <c r="K42" s="10" t="n">
        <v>0.07</v>
      </c>
      <c r="L42" s="10" t="n">
        <v>0</v>
      </c>
      <c r="M42" s="11" t="n">
        <f aca="false">SUM(F42:L42)</f>
        <v>1</v>
      </c>
      <c r="N42" s="12" t="n">
        <f aca="false">F42*Parâmetros!$B$4+G42*Parâmetros!$B$5+H42*Parâmetros!$B$6+I42*Parâmetros!$B$7+J42*Parâmetros!$B$8+K42*Parâmetros!$B$9+L42*Parâmetros!$B$10</f>
        <v>73.31</v>
      </c>
      <c r="O42" s="13" t="n">
        <v>37.5</v>
      </c>
      <c r="P42" s="14" t="n">
        <f aca="false">ROUND(N42*O42,-1)</f>
        <v>2750</v>
      </c>
      <c r="Q42" s="7" t="s">
        <v>114</v>
      </c>
    </row>
    <row r="43" customFormat="false" ht="15" hidden="false" customHeight="false" outlineLevel="0" collapsed="false">
      <c r="A43" s="7" t="n">
        <v>42</v>
      </c>
      <c r="B43" s="7" t="s">
        <v>115</v>
      </c>
      <c r="C43" s="16" t="s">
        <v>105</v>
      </c>
      <c r="D43" s="7" t="s">
        <v>105</v>
      </c>
      <c r="E43" s="9" t="n">
        <v>1</v>
      </c>
      <c r="F43" s="10" t="n">
        <v>0.1675</v>
      </c>
      <c r="G43" s="10" t="n">
        <v>0.17625</v>
      </c>
      <c r="H43" s="10" t="n">
        <v>0.19625</v>
      </c>
      <c r="I43" s="10" t="n">
        <v>0.21625</v>
      </c>
      <c r="J43" s="10" t="n">
        <v>0.16625</v>
      </c>
      <c r="K43" s="10" t="n">
        <v>0.0775</v>
      </c>
      <c r="L43" s="10" t="n">
        <v>0</v>
      </c>
      <c r="M43" s="11" t="n">
        <f aca="false">SUM(F43:L43)</f>
        <v>1</v>
      </c>
      <c r="N43" s="12" t="n">
        <f aca="false">F43*Parâmetros!$B$4+G43*Parâmetros!$B$5+H43*Parâmetros!$B$6+I43*Parâmetros!$B$7+J43*Parâmetros!$B$8+K43*Parâmetros!$B$9+L43*Parâmetros!$B$10</f>
        <v>79.2575</v>
      </c>
      <c r="O43" s="13" t="n">
        <v>35.6</v>
      </c>
      <c r="P43" s="14" t="n">
        <f aca="false">ROUND(N43*O43,-1)</f>
        <v>2820</v>
      </c>
      <c r="Q43" s="7" t="s">
        <v>116</v>
      </c>
    </row>
    <row r="44" customFormat="false" ht="15" hidden="false" customHeight="false" outlineLevel="0" collapsed="false">
      <c r="A44" s="7" t="n">
        <v>43</v>
      </c>
      <c r="B44" s="7" t="s">
        <v>117</v>
      </c>
      <c r="C44" s="16" t="s">
        <v>105</v>
      </c>
      <c r="D44" s="7" t="s">
        <v>105</v>
      </c>
      <c r="E44" s="9" t="n">
        <v>3</v>
      </c>
      <c r="F44" s="10" t="n">
        <v>0.145</v>
      </c>
      <c r="G44" s="10" t="n">
        <v>0.1675</v>
      </c>
      <c r="H44" s="10" t="n">
        <v>0.1975</v>
      </c>
      <c r="I44" s="10" t="n">
        <v>0.2275</v>
      </c>
      <c r="J44" s="10" t="n">
        <v>0.1775</v>
      </c>
      <c r="K44" s="10" t="n">
        <v>0.085</v>
      </c>
      <c r="L44" s="10" t="n">
        <v>0</v>
      </c>
      <c r="M44" s="11" t="n">
        <f aca="false">SUM(F44:L44)</f>
        <v>1</v>
      </c>
      <c r="N44" s="12" t="n">
        <f aca="false">F44*Parâmetros!$B$4+G44*Parâmetros!$B$5+H44*Parâmetros!$B$6+I44*Parâmetros!$B$7+J44*Parâmetros!$B$8+K44*Parâmetros!$B$9+L44*Parâmetros!$B$10</f>
        <v>85.205</v>
      </c>
      <c r="O44" s="13" t="n">
        <v>33.8</v>
      </c>
      <c r="P44" s="14" t="n">
        <f aca="false">ROUND(N44*O44,-1)</f>
        <v>2880</v>
      </c>
      <c r="Q44" s="7" t="s">
        <v>118</v>
      </c>
    </row>
    <row r="45" customFormat="false" ht="15" hidden="false" customHeight="false" outlineLevel="0" collapsed="false">
      <c r="A45" s="7" t="n">
        <v>44</v>
      </c>
      <c r="B45" s="7" t="s">
        <v>119</v>
      </c>
      <c r="C45" s="16" t="s">
        <v>105</v>
      </c>
      <c r="D45" s="7" t="s">
        <v>105</v>
      </c>
      <c r="E45" s="9" t="n">
        <v>5</v>
      </c>
      <c r="F45" s="10" t="n">
        <v>0.1225</v>
      </c>
      <c r="G45" s="10" t="n">
        <v>0.15875</v>
      </c>
      <c r="H45" s="10" t="n">
        <v>0.19875</v>
      </c>
      <c r="I45" s="10" t="n">
        <v>0.23875</v>
      </c>
      <c r="J45" s="10" t="n">
        <v>0.18875</v>
      </c>
      <c r="K45" s="10" t="n">
        <v>0.0925</v>
      </c>
      <c r="L45" s="10" t="n">
        <v>0</v>
      </c>
      <c r="M45" s="11" t="n">
        <f aca="false">SUM(F45:L45)</f>
        <v>1</v>
      </c>
      <c r="N45" s="12" t="n">
        <f aca="false">F45*Parâmetros!$B$4+G45*Parâmetros!$B$5+H45*Parâmetros!$B$6+I45*Parâmetros!$B$7+J45*Parâmetros!$B$8+K45*Parâmetros!$B$9+L45*Parâmetros!$B$10</f>
        <v>91.1525</v>
      </c>
      <c r="O45" s="13" t="n">
        <v>31.9</v>
      </c>
      <c r="P45" s="14" t="n">
        <f aca="false">ROUND(N45*O45,-1)</f>
        <v>2910</v>
      </c>
      <c r="Q45" s="7" t="s">
        <v>120</v>
      </c>
    </row>
    <row r="46" customFormat="false" ht="15" hidden="false" customHeight="false" outlineLevel="0" collapsed="false">
      <c r="A46" s="7" t="n">
        <v>45</v>
      </c>
      <c r="B46" s="7" t="s">
        <v>121</v>
      </c>
      <c r="C46" s="16" t="s">
        <v>105</v>
      </c>
      <c r="D46" s="7" t="s">
        <v>105</v>
      </c>
      <c r="E46" s="9" t="n">
        <v>8</v>
      </c>
      <c r="F46" s="10" t="n">
        <v>0.1</v>
      </c>
      <c r="G46" s="10" t="n">
        <v>0.15</v>
      </c>
      <c r="H46" s="10" t="n">
        <v>0.2</v>
      </c>
      <c r="I46" s="10" t="n">
        <v>0.25</v>
      </c>
      <c r="J46" s="10" t="n">
        <v>0.2</v>
      </c>
      <c r="K46" s="10" t="n">
        <v>0.1</v>
      </c>
      <c r="L46" s="10" t="n">
        <v>0</v>
      </c>
      <c r="M46" s="11" t="n">
        <f aca="false">SUM(F46:L46)</f>
        <v>1</v>
      </c>
      <c r="N46" s="12" t="n">
        <f aca="false">F46*Parâmetros!$B$4+G46*Parâmetros!$B$5+H46*Parâmetros!$B$6+I46*Parâmetros!$B$7+J46*Parâmetros!$B$8+K46*Parâmetros!$B$9+L46*Parâmetros!$B$10</f>
        <v>97.1</v>
      </c>
      <c r="O46" s="13" t="n">
        <v>30</v>
      </c>
      <c r="P46" s="14" t="n">
        <f aca="false">ROUND(N46*O46,-1)</f>
        <v>2910</v>
      </c>
      <c r="Q46" s="7" t="s">
        <v>122</v>
      </c>
    </row>
    <row r="47" customFormat="false" ht="15" hidden="false" customHeight="false" outlineLevel="0" collapsed="false">
      <c r="A47" s="7" t="n">
        <v>46</v>
      </c>
      <c r="B47" s="7" t="s">
        <v>123</v>
      </c>
      <c r="C47" s="17" t="s">
        <v>124</v>
      </c>
      <c r="D47" s="7" t="s">
        <v>125</v>
      </c>
      <c r="E47" s="9" t="n">
        <v>1</v>
      </c>
      <c r="F47" s="10" t="n">
        <v>0.4</v>
      </c>
      <c r="G47" s="10" t="n">
        <v>0.3</v>
      </c>
      <c r="H47" s="10" t="n">
        <v>0.2</v>
      </c>
      <c r="I47" s="10" t="n">
        <v>0.08</v>
      </c>
      <c r="J47" s="10" t="n">
        <v>0.02</v>
      </c>
      <c r="K47" s="10" t="n">
        <v>0</v>
      </c>
      <c r="L47" s="10" t="n">
        <v>0</v>
      </c>
      <c r="M47" s="11" t="n">
        <f aca="false">SUM(F47:L47)</f>
        <v>1</v>
      </c>
      <c r="N47" s="12" t="n">
        <f aca="false">F47*Parâmetros!$B$4+G47*Parâmetros!$B$5+H47*Parâmetros!$B$6+I47*Parâmetros!$B$7+J47*Parâmetros!$B$8+K47*Parâmetros!$B$9+L47*Parâmetros!$B$10</f>
        <v>12.8</v>
      </c>
      <c r="O47" s="9"/>
      <c r="P47" s="18" t="s">
        <v>125</v>
      </c>
      <c r="Q47" s="7" t="s">
        <v>126</v>
      </c>
    </row>
    <row r="48" customFormat="false" ht="15" hidden="false" customHeight="false" outlineLevel="0" collapsed="false">
      <c r="A48" s="7" t="n">
        <v>47</v>
      </c>
      <c r="B48" s="7" t="s">
        <v>127</v>
      </c>
      <c r="C48" s="17" t="s">
        <v>124</v>
      </c>
      <c r="D48" s="7" t="s">
        <v>125</v>
      </c>
      <c r="E48" s="9" t="n">
        <v>1</v>
      </c>
      <c r="F48" s="10" t="n">
        <v>0.8</v>
      </c>
      <c r="G48" s="10" t="n">
        <v>0.15</v>
      </c>
      <c r="H48" s="10" t="n">
        <v>0.04</v>
      </c>
      <c r="I48" s="10" t="n">
        <v>0.009</v>
      </c>
      <c r="J48" s="10" t="n">
        <v>0.001</v>
      </c>
      <c r="K48" s="10" t="n">
        <v>0</v>
      </c>
      <c r="L48" s="10" t="n">
        <v>0</v>
      </c>
      <c r="M48" s="11" t="n">
        <f aca="false">SUM(F48:L48)</f>
        <v>1</v>
      </c>
      <c r="N48" s="12" t="n">
        <f aca="false">F48*Parâmetros!$B$4+G48*Parâmetros!$B$5+H48*Parâmetros!$B$6+I48*Parâmetros!$B$7+J48*Parâmetros!$B$8+K48*Parâmetros!$B$9+L48*Parâmetros!$B$10</f>
        <v>3.02</v>
      </c>
      <c r="O48" s="9"/>
      <c r="P48" s="18" t="s">
        <v>125</v>
      </c>
      <c r="Q48" s="7" t="s">
        <v>128</v>
      </c>
    </row>
    <row r="49" customFormat="false" ht="15" hidden="false" customHeight="false" outlineLevel="0" collapsed="false">
      <c r="A49" s="7" t="n">
        <v>48</v>
      </c>
      <c r="B49" s="7" t="s">
        <v>129</v>
      </c>
      <c r="C49" s="17" t="s">
        <v>124</v>
      </c>
      <c r="D49" s="7" t="s">
        <v>125</v>
      </c>
      <c r="E49" s="9" t="n">
        <v>1</v>
      </c>
      <c r="F49" s="10" t="n">
        <v>0.3</v>
      </c>
      <c r="G49" s="10" t="n">
        <v>0.3</v>
      </c>
      <c r="H49" s="10" t="n">
        <v>0.25</v>
      </c>
      <c r="I49" s="10" t="n">
        <v>0.1</v>
      </c>
      <c r="J49" s="10" t="n">
        <v>0.04</v>
      </c>
      <c r="K49" s="10" t="n">
        <v>0.01</v>
      </c>
      <c r="L49" s="10" t="n">
        <v>0</v>
      </c>
      <c r="M49" s="11" t="n">
        <f aca="false">SUM(F49:L49)</f>
        <v>1</v>
      </c>
      <c r="N49" s="12" t="n">
        <f aca="false">F49*Parâmetros!$B$4+G49*Parâmetros!$B$5+H49*Parâmetros!$B$6+I49*Parâmetros!$B$7+J49*Parâmetros!$B$8+K49*Parâmetros!$B$9+L49*Parâmetros!$B$10</f>
        <v>22.6</v>
      </c>
      <c r="O49" s="9"/>
      <c r="P49" s="18" t="s">
        <v>125</v>
      </c>
      <c r="Q49" s="7" t="s">
        <v>130</v>
      </c>
    </row>
    <row r="50" customFormat="false" ht="15" hidden="false" customHeight="false" outlineLevel="0" collapsed="false">
      <c r="A50" s="7" t="n">
        <v>49</v>
      </c>
      <c r="B50" s="7" t="s">
        <v>131</v>
      </c>
      <c r="C50" s="17" t="s">
        <v>124</v>
      </c>
      <c r="D50" s="7" t="s">
        <v>132</v>
      </c>
      <c r="E50" s="9" t="n">
        <v>1</v>
      </c>
      <c r="F50" s="10" t="n">
        <v>0.55</v>
      </c>
      <c r="G50" s="10" t="n">
        <v>0.24</v>
      </c>
      <c r="H50" s="10" t="n">
        <v>0.12</v>
      </c>
      <c r="I50" s="10" t="n">
        <v>0.06</v>
      </c>
      <c r="J50" s="10" t="n">
        <v>0.025</v>
      </c>
      <c r="K50" s="10" t="n">
        <v>0.005</v>
      </c>
      <c r="L50" s="10" t="n">
        <v>0</v>
      </c>
      <c r="M50" s="11" t="n">
        <f aca="false">SUM(F50:L50)</f>
        <v>1</v>
      </c>
      <c r="N50" s="12" t="n">
        <f aca="false">F50*Parâmetros!$B$4+G50*Parâmetros!$B$5+H50*Parâmetros!$B$6+I50*Parâmetros!$B$7+J50*Parâmetros!$B$8+K50*Parâmetros!$B$9+L50*Parâmetros!$B$10</f>
        <v>13.4</v>
      </c>
      <c r="O50" s="9"/>
      <c r="P50" s="18" t="s">
        <v>132</v>
      </c>
      <c r="Q50" s="7" t="s">
        <v>133</v>
      </c>
    </row>
    <row r="51" customFormat="false" ht="15" hidden="false" customHeight="false" outlineLevel="0" collapsed="false">
      <c r="A51" s="7" t="n">
        <v>50</v>
      </c>
      <c r="B51" s="7" t="s">
        <v>134</v>
      </c>
      <c r="C51" s="17" t="s">
        <v>124</v>
      </c>
      <c r="D51" s="7" t="s">
        <v>132</v>
      </c>
      <c r="E51" s="9" t="n">
        <v>1</v>
      </c>
      <c r="F51" s="10" t="n">
        <v>0.2</v>
      </c>
      <c r="G51" s="10" t="n">
        <v>0.2</v>
      </c>
      <c r="H51" s="10" t="n">
        <v>0.2</v>
      </c>
      <c r="I51" s="10" t="n">
        <v>0.2</v>
      </c>
      <c r="J51" s="10" t="n">
        <v>0.15</v>
      </c>
      <c r="K51" s="10" t="n">
        <v>0.05</v>
      </c>
      <c r="L51" s="10" t="n">
        <v>0</v>
      </c>
      <c r="M51" s="11" t="n">
        <f aca="false">SUM(F51:L51)</f>
        <v>1</v>
      </c>
      <c r="N51" s="12" t="n">
        <f aca="false">F51*Parâmetros!$B$4+G51*Parâmetros!$B$5+H51*Parâmetros!$B$6+I51*Parâmetros!$B$7+J51*Parâmetros!$B$8+K51*Parâmetros!$B$9+L51*Parâmetros!$B$10</f>
        <v>62.5</v>
      </c>
      <c r="O51" s="9"/>
      <c r="P51" s="18" t="s">
        <v>132</v>
      </c>
      <c r="Q51" s="7" t="s">
        <v>135</v>
      </c>
    </row>
    <row r="52" customFormat="false" ht="15" hidden="false" customHeight="false" outlineLevel="0" collapsed="false">
      <c r="A52" s="7" t="n">
        <v>51</v>
      </c>
      <c r="B52" s="7" t="s">
        <v>136</v>
      </c>
      <c r="C52" s="17" t="s">
        <v>124</v>
      </c>
      <c r="D52" s="7" t="s">
        <v>125</v>
      </c>
      <c r="E52" s="9" t="n">
        <v>1</v>
      </c>
      <c r="F52" s="10" t="n">
        <v>0.25</v>
      </c>
      <c r="G52" s="10" t="n">
        <v>0.25</v>
      </c>
      <c r="H52" s="10" t="n">
        <v>0.25</v>
      </c>
      <c r="I52" s="10" t="n">
        <v>0.15</v>
      </c>
      <c r="J52" s="10" t="n">
        <v>0.08</v>
      </c>
      <c r="K52" s="10" t="n">
        <v>0.02</v>
      </c>
      <c r="L52" s="10" t="n">
        <v>0</v>
      </c>
      <c r="M52" s="11" t="n">
        <f aca="false">SUM(F52:L52)</f>
        <v>1</v>
      </c>
      <c r="N52" s="12" t="n">
        <f aca="false">F52*Parâmetros!$B$4+G52*Parâmetros!$B$5+H52*Parâmetros!$B$6+I52*Parâmetros!$B$7+J52*Parâmetros!$B$8+K52*Parâmetros!$B$9+L52*Parâmetros!$B$10</f>
        <v>35.75</v>
      </c>
      <c r="O52" s="9"/>
      <c r="P52" s="18" t="s">
        <v>125</v>
      </c>
      <c r="Q52" s="7" t="s">
        <v>137</v>
      </c>
    </row>
    <row r="53" customFormat="false" ht="15" hidden="false" customHeight="false" outlineLevel="0" collapsed="false">
      <c r="A53" s="7" t="n">
        <v>52</v>
      </c>
      <c r="B53" s="7" t="s">
        <v>138</v>
      </c>
      <c r="C53" s="17" t="s">
        <v>124</v>
      </c>
      <c r="D53" s="7" t="s">
        <v>139</v>
      </c>
      <c r="E53" s="9" t="n">
        <v>1</v>
      </c>
      <c r="F53" s="10" t="n">
        <v>0</v>
      </c>
      <c r="G53" s="10" t="n">
        <v>0</v>
      </c>
      <c r="H53" s="10" t="n">
        <v>0</v>
      </c>
      <c r="I53" s="10" t="n">
        <v>0</v>
      </c>
      <c r="J53" s="10" t="n">
        <v>0</v>
      </c>
      <c r="K53" s="10" t="n">
        <v>0</v>
      </c>
      <c r="L53" s="10" t="n">
        <v>1</v>
      </c>
      <c r="M53" s="11" t="n">
        <f aca="false">SUM(F53:L53)</f>
        <v>1</v>
      </c>
      <c r="N53" s="12" t="n">
        <f aca="false">F53*Parâmetros!$B$4+G53*Parâmetros!$B$5+H53*Parâmetros!$B$6+I53*Parâmetros!$B$7+J53*Parâmetros!$B$8+K53*Parâmetros!$B$9+L53*Parâmetros!$B$10</f>
        <v>10000</v>
      </c>
      <c r="O53" s="9"/>
      <c r="P53" s="18" t="s">
        <v>139</v>
      </c>
      <c r="Q53" s="7" t="s">
        <v>140</v>
      </c>
    </row>
    <row r="54" customFormat="false" ht="15" hidden="false" customHeight="false" outlineLevel="0" collapsed="false">
      <c r="A54" s="7" t="n">
        <v>53</v>
      </c>
      <c r="B54" s="7" t="s">
        <v>141</v>
      </c>
      <c r="C54" s="17" t="s">
        <v>124</v>
      </c>
      <c r="D54" s="7" t="s">
        <v>132</v>
      </c>
      <c r="E54" s="9" t="n">
        <v>3</v>
      </c>
      <c r="F54" s="10" t="n">
        <v>0.4</v>
      </c>
      <c r="G54" s="10" t="n">
        <v>0.25</v>
      </c>
      <c r="H54" s="10" t="n">
        <v>0.18</v>
      </c>
      <c r="I54" s="10" t="n">
        <v>0.1</v>
      </c>
      <c r="J54" s="10" t="n">
        <v>0.05</v>
      </c>
      <c r="K54" s="10" t="n">
        <v>0.02</v>
      </c>
      <c r="L54" s="10" t="n">
        <v>0</v>
      </c>
      <c r="M54" s="11" t="n">
        <f aca="false">SUM(F54:L54)</f>
        <v>1</v>
      </c>
      <c r="N54" s="12" t="n">
        <f aca="false">F54*Parâmetros!$B$4+G54*Parâmetros!$B$5+H54*Parâmetros!$B$6+I54*Parâmetros!$B$7+J54*Parâmetros!$B$8+K54*Parâmetros!$B$9+L54*Parâmetros!$B$10</f>
        <v>27.64</v>
      </c>
      <c r="O54" s="9"/>
      <c r="P54" s="18" t="s">
        <v>132</v>
      </c>
      <c r="Q54" s="7" t="s">
        <v>142</v>
      </c>
    </row>
    <row r="55" customFormat="false" ht="15" hidden="false" customHeight="false" outlineLevel="0" collapsed="false">
      <c r="A55" s="7" t="n">
        <v>54</v>
      </c>
      <c r="B55" s="7" t="s">
        <v>143</v>
      </c>
      <c r="C55" s="17" t="s">
        <v>124</v>
      </c>
      <c r="D55" s="7" t="s">
        <v>144</v>
      </c>
      <c r="E55" s="9" t="n">
        <v>1</v>
      </c>
      <c r="F55" s="10" t="n">
        <v>0.3</v>
      </c>
      <c r="G55" s="10" t="n">
        <v>0.25</v>
      </c>
      <c r="H55" s="10" t="n">
        <v>0.2</v>
      </c>
      <c r="I55" s="10" t="n">
        <v>0.15</v>
      </c>
      <c r="J55" s="10" t="n">
        <v>0.08</v>
      </c>
      <c r="K55" s="10" t="n">
        <v>0.02</v>
      </c>
      <c r="L55" s="10" t="n">
        <v>0</v>
      </c>
      <c r="M55" s="11" t="n">
        <f aca="false">SUM(F55:L55)</f>
        <v>1</v>
      </c>
      <c r="N55" s="12" t="n">
        <f aca="false">F55*Parâmetros!$B$4+G55*Parâmetros!$B$5+H55*Parâmetros!$B$6+I55*Parâmetros!$B$7+J55*Parâmetros!$B$8+K55*Parâmetros!$B$9+L55*Parâmetros!$B$10</f>
        <v>34.9</v>
      </c>
      <c r="O55" s="9"/>
      <c r="P55" s="18" t="s">
        <v>125</v>
      </c>
      <c r="Q55" s="7" t="s">
        <v>145</v>
      </c>
    </row>
    <row r="56" customFormat="false" ht="15" hidden="false" customHeight="false" outlineLevel="0" collapsed="false">
      <c r="A56" s="7" t="n">
        <v>55</v>
      </c>
      <c r="B56" s="7" t="s">
        <v>146</v>
      </c>
      <c r="C56" s="17" t="s">
        <v>124</v>
      </c>
      <c r="D56" s="7" t="s">
        <v>147</v>
      </c>
      <c r="E56" s="9" t="n">
        <v>1</v>
      </c>
      <c r="F56" s="10" t="n">
        <v>0.35</v>
      </c>
      <c r="G56" s="10" t="n">
        <v>0.28</v>
      </c>
      <c r="H56" s="10" t="n">
        <v>0.2</v>
      </c>
      <c r="I56" s="10" t="n">
        <v>0.12</v>
      </c>
      <c r="J56" s="10" t="n">
        <v>0.04</v>
      </c>
      <c r="K56" s="10" t="n">
        <v>0.01</v>
      </c>
      <c r="L56" s="10" t="n">
        <v>0</v>
      </c>
      <c r="M56" s="11" t="n">
        <f aca="false">SUM(F56:L56)</f>
        <v>1</v>
      </c>
      <c r="N56" s="12" t="n">
        <f aca="false">F56*Parâmetros!$B$4+G56*Parâmetros!$B$5+H56*Parâmetros!$B$6+I56*Parâmetros!$B$7+J56*Parâmetros!$B$8+K56*Parâmetros!$B$9+L56*Parâmetros!$B$10</f>
        <v>22.63</v>
      </c>
      <c r="O56" s="9"/>
      <c r="P56" s="18" t="s">
        <v>147</v>
      </c>
      <c r="Q56" s="7" t="s">
        <v>148</v>
      </c>
    </row>
    <row r="57" customFormat="false" ht="15" hidden="false" customHeight="false" outlineLevel="0" collapsed="false">
      <c r="A57" s="7" t="n">
        <v>56</v>
      </c>
      <c r="B57" s="7" t="s">
        <v>149</v>
      </c>
      <c r="C57" s="17" t="s">
        <v>124</v>
      </c>
      <c r="D57" s="7" t="s">
        <v>147</v>
      </c>
      <c r="E57" s="9" t="n">
        <v>1</v>
      </c>
      <c r="F57" s="10" t="n">
        <v>0.35</v>
      </c>
      <c r="G57" s="10" t="n">
        <v>0.27</v>
      </c>
      <c r="H57" s="10" t="n">
        <v>0.2</v>
      </c>
      <c r="I57" s="10" t="n">
        <v>0.12</v>
      </c>
      <c r="J57" s="10" t="n">
        <v>0.05</v>
      </c>
      <c r="K57" s="10" t="n">
        <v>0.01</v>
      </c>
      <c r="L57" s="10" t="n">
        <v>0</v>
      </c>
      <c r="M57" s="11" t="n">
        <f aca="false">SUM(F57:L57)</f>
        <v>1</v>
      </c>
      <c r="N57" s="12" t="n">
        <f aca="false">F57*Parâmetros!$B$4+G57*Parâmetros!$B$5+H57*Parâmetros!$B$6+I57*Parâmetros!$B$7+J57*Parâmetros!$B$8+K57*Parâmetros!$B$9+L57*Parâmetros!$B$10</f>
        <v>24.07</v>
      </c>
      <c r="O57" s="9"/>
      <c r="P57" s="18" t="s">
        <v>147</v>
      </c>
      <c r="Q57" s="7" t="s">
        <v>150</v>
      </c>
    </row>
    <row r="58" customFormat="false" ht="15" hidden="false" customHeight="false" outlineLevel="0" collapsed="false">
      <c r="A58" s="7" t="n">
        <v>57</v>
      </c>
      <c r="B58" s="7" t="s">
        <v>151</v>
      </c>
      <c r="C58" s="17" t="s">
        <v>124</v>
      </c>
      <c r="D58" s="7" t="s">
        <v>147</v>
      </c>
      <c r="E58" s="9" t="n">
        <v>1</v>
      </c>
      <c r="F58" s="10" t="n">
        <v>0.32</v>
      </c>
      <c r="G58" s="10" t="n">
        <v>0.28</v>
      </c>
      <c r="H58" s="10" t="n">
        <v>0.2</v>
      </c>
      <c r="I58" s="10" t="n">
        <v>0.13</v>
      </c>
      <c r="J58" s="10" t="n">
        <v>0.06</v>
      </c>
      <c r="K58" s="10" t="n">
        <v>0.01</v>
      </c>
      <c r="L58" s="10" t="n">
        <v>0</v>
      </c>
      <c r="M58" s="11" t="n">
        <f aca="false">SUM(F58:L58)</f>
        <v>1</v>
      </c>
      <c r="N58" s="12" t="n">
        <f aca="false">F58*Parâmetros!$B$4+G58*Parâmetros!$B$5+H58*Parâmetros!$B$6+I58*Parâmetros!$B$7+J58*Parâmetros!$B$8+K58*Parâmetros!$B$9+L58*Parâmetros!$B$10</f>
        <v>26.1</v>
      </c>
      <c r="O58" s="9"/>
      <c r="P58" s="18" t="s">
        <v>147</v>
      </c>
      <c r="Q58" s="7" t="s">
        <v>152</v>
      </c>
    </row>
    <row r="59" customFormat="false" ht="15" hidden="false" customHeight="false" outlineLevel="0" collapsed="false">
      <c r="A59" s="7" t="n">
        <v>58</v>
      </c>
      <c r="B59" s="7" t="s">
        <v>153</v>
      </c>
      <c r="C59" s="17" t="s">
        <v>124</v>
      </c>
      <c r="D59" s="7" t="s">
        <v>147</v>
      </c>
      <c r="E59" s="9" t="n">
        <v>1</v>
      </c>
      <c r="F59" s="10" t="n">
        <v>0.35</v>
      </c>
      <c r="G59" s="10" t="n">
        <v>0.27</v>
      </c>
      <c r="H59" s="10" t="n">
        <v>0.2</v>
      </c>
      <c r="I59" s="10" t="n">
        <v>0.12</v>
      </c>
      <c r="J59" s="10" t="n">
        <v>0.05</v>
      </c>
      <c r="K59" s="10" t="n">
        <v>0.01</v>
      </c>
      <c r="L59" s="10" t="n">
        <v>0</v>
      </c>
      <c r="M59" s="11" t="n">
        <f aca="false">SUM(F59:L59)</f>
        <v>1</v>
      </c>
      <c r="N59" s="12" t="n">
        <f aca="false">F59*Parâmetros!$B$4+G59*Parâmetros!$B$5+H59*Parâmetros!$B$6+I59*Parâmetros!$B$7+J59*Parâmetros!$B$8+K59*Parâmetros!$B$9+L59*Parâmetros!$B$10</f>
        <v>24.07</v>
      </c>
      <c r="O59" s="9"/>
      <c r="P59" s="18" t="s">
        <v>147</v>
      </c>
      <c r="Q59" s="7" t="s">
        <v>154</v>
      </c>
    </row>
    <row r="60" customFormat="false" ht="15" hidden="false" customHeight="false" outlineLevel="0" collapsed="false">
      <c r="A60" s="7" t="n">
        <v>59</v>
      </c>
      <c r="B60" s="7" t="s">
        <v>155</v>
      </c>
      <c r="C60" s="17" t="s">
        <v>124</v>
      </c>
      <c r="D60" s="7" t="s">
        <v>125</v>
      </c>
      <c r="E60" s="9" t="n">
        <v>1</v>
      </c>
      <c r="F60" s="10" t="n">
        <v>0.2</v>
      </c>
      <c r="G60" s="10" t="n">
        <v>0.3</v>
      </c>
      <c r="H60" s="10" t="n">
        <v>0.25</v>
      </c>
      <c r="I60" s="10" t="n">
        <v>0.15</v>
      </c>
      <c r="J60" s="10" t="n">
        <v>0.08</v>
      </c>
      <c r="K60" s="10" t="n">
        <v>0.02</v>
      </c>
      <c r="L60" s="10" t="n">
        <v>0</v>
      </c>
      <c r="M60" s="11" t="n">
        <f aca="false">SUM(F60:L60)</f>
        <v>1</v>
      </c>
      <c r="N60" s="12" t="n">
        <f aca="false">F60*Parâmetros!$B$4+G60*Parâmetros!$B$5+H60*Parâmetros!$B$6+I60*Parâmetros!$B$7+J60*Parâmetros!$B$8+K60*Parâmetros!$B$9+L60*Parâmetros!$B$10</f>
        <v>36</v>
      </c>
      <c r="O60" s="9"/>
      <c r="P60" s="18" t="s">
        <v>125</v>
      </c>
      <c r="Q60" s="7" t="s">
        <v>156</v>
      </c>
    </row>
    <row r="61" customFormat="false" ht="15" hidden="false" customHeight="false" outlineLevel="0" collapsed="false">
      <c r="A61" s="7" t="n">
        <v>60</v>
      </c>
      <c r="B61" s="7" t="s">
        <v>157</v>
      </c>
      <c r="C61" s="17" t="s">
        <v>124</v>
      </c>
      <c r="D61" s="7" t="s">
        <v>125</v>
      </c>
      <c r="E61" s="9" t="n">
        <v>1</v>
      </c>
      <c r="F61" s="10" t="n">
        <v>0.3</v>
      </c>
      <c r="G61" s="10" t="n">
        <v>0.3</v>
      </c>
      <c r="H61" s="10" t="n">
        <v>0.22</v>
      </c>
      <c r="I61" s="10" t="n">
        <v>0.12</v>
      </c>
      <c r="J61" s="10" t="n">
        <v>0.05</v>
      </c>
      <c r="K61" s="10" t="n">
        <v>0.01</v>
      </c>
      <c r="L61" s="10" t="n">
        <v>0</v>
      </c>
      <c r="M61" s="11" t="n">
        <f aca="false">SUM(F61:L61)</f>
        <v>1</v>
      </c>
      <c r="N61" s="12" t="n">
        <f aca="false">F61*Parâmetros!$B$4+G61*Parâmetros!$B$5+H61*Parâmetros!$B$6+I61*Parâmetros!$B$7+J61*Parâmetros!$B$8+K61*Parâmetros!$B$9+L61*Parâmetros!$B$10</f>
        <v>24.56</v>
      </c>
      <c r="O61" s="9"/>
      <c r="P61" s="18" t="s">
        <v>125</v>
      </c>
      <c r="Q61" s="7" t="s">
        <v>158</v>
      </c>
    </row>
  </sheetData>
  <autoFilter ref="A1:Q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9" t="s">
        <v>159</v>
      </c>
    </row>
    <row r="2" customFormat="false" ht="15" hidden="false" customHeight="false" outlineLevel="0" collapsed="false">
      <c r="A2" s="20"/>
    </row>
    <row r="3" customFormat="false" ht="15" hidden="false" customHeight="false" outlineLevel="0" collapsed="false">
      <c r="A3" s="20" t="s">
        <v>160</v>
      </c>
    </row>
    <row r="4" customFormat="false" ht="15" hidden="false" customHeight="false" outlineLevel="0" collapsed="false">
      <c r="A4" s="20" t="s">
        <v>161</v>
      </c>
    </row>
    <row r="5" customFormat="false" ht="15" hidden="false" customHeight="false" outlineLevel="0" collapsed="false">
      <c r="A5" s="20" t="s">
        <v>162</v>
      </c>
    </row>
    <row r="6" customFormat="false" ht="15" hidden="false" customHeight="false" outlineLevel="0" collapsed="false">
      <c r="A6" s="20" t="s">
        <v>163</v>
      </c>
    </row>
    <row r="7" customFormat="false" ht="15" hidden="false" customHeight="false" outlineLevel="0" collapsed="false">
      <c r="A7" s="20" t="s">
        <v>164</v>
      </c>
    </row>
    <row r="8" customFormat="false" ht="15" hidden="false" customHeight="false" outlineLevel="0" collapsed="false">
      <c r="A8" s="20" t="s">
        <v>165</v>
      </c>
    </row>
    <row r="9" customFormat="false" ht="15" hidden="false" customHeight="false" outlineLevel="0" collapsed="false">
      <c r="A9" s="20" t="s">
        <v>166</v>
      </c>
    </row>
    <row r="10" customFormat="false" ht="15" hidden="false" customHeight="false" outlineLevel="0" collapsed="false">
      <c r="A10" s="20"/>
    </row>
    <row r="11" customFormat="false" ht="15" hidden="false" customHeight="false" outlineLevel="0" collapsed="false">
      <c r="A11" s="20" t="s">
        <v>167</v>
      </c>
    </row>
    <row r="12" customFormat="false" ht="15" hidden="false" customHeight="false" outlineLevel="0" collapsed="false">
      <c r="A12" s="20" t="s">
        <v>168</v>
      </c>
    </row>
    <row r="13" customFormat="false" ht="15" hidden="false" customHeight="false" outlineLevel="0" collapsed="false">
      <c r="A13" s="20" t="s">
        <v>169</v>
      </c>
    </row>
    <row r="14" customFormat="false" ht="15" hidden="false" customHeight="false" outlineLevel="0" collapsed="false">
      <c r="A14" s="20" t="s">
        <v>170</v>
      </c>
    </row>
    <row r="15" customFormat="false" ht="15" hidden="false" customHeight="false" outlineLevel="0" collapsed="false">
      <c r="A15" s="20" t="s">
        <v>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2026-07-18T00:41:48Z</dcterms:created>
  <dc:creator>openpyxl</dc:creator>
  <dc:description/>
  <dc:language>en-US</dc:language>
  <cp:lastModifiedBy/>
  <dcterms:modified xsi:type="dcterms:W3CDTF">2026-07-18T00:41:48Z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